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383" documentId="8_{C2D13912-E1F9-44BA-8A54-047240FABECB}" xr6:coauthVersionLast="47" xr6:coauthVersionMax="47" xr10:uidLastSave="{1F91D357-9F88-41DB-8E61-7EE1EFFC50B8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Consolidado!$A$1:$AU$209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82" i="32" l="1"/>
  <c r="AN182" i="32"/>
  <c r="AO182" i="32"/>
  <c r="AP182" i="32"/>
  <c r="AU182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77" i="32"/>
  <c r="AN177" i="32"/>
  <c r="AO177" i="32"/>
  <c r="AP177" i="32"/>
  <c r="AU177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U173" i="32"/>
  <c r="AQ173" i="32" s="1"/>
  <c r="AM173" i="32"/>
  <c r="AN173" i="32"/>
  <c r="AO173" i="32"/>
  <c r="AP173" i="32"/>
  <c r="AM171" i="32"/>
  <c r="AN171" i="32"/>
  <c r="AO171" i="32"/>
  <c r="AP171" i="32"/>
  <c r="AU171" i="32"/>
  <c r="AM172" i="32"/>
  <c r="AN172" i="32"/>
  <c r="AO172" i="32"/>
  <c r="AP172" i="32"/>
  <c r="AU172" i="32"/>
  <c r="AM170" i="32"/>
  <c r="AN170" i="32"/>
  <c r="AO170" i="32"/>
  <c r="AP170" i="32"/>
  <c r="AU170" i="32"/>
  <c r="AU169" i="32"/>
  <c r="AT169" i="32" s="1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T167" i="32" s="1"/>
  <c r="AP167" i="32"/>
  <c r="AO167" i="32"/>
  <c r="AN167" i="32"/>
  <c r="AM167" i="32"/>
  <c r="AU166" i="32"/>
  <c r="AT166" i="32" s="1"/>
  <c r="AP166" i="32"/>
  <c r="AO166" i="32"/>
  <c r="AN166" i="32"/>
  <c r="AM166" i="32"/>
  <c r="AU165" i="32"/>
  <c r="AP165" i="32"/>
  <c r="AO165" i="32"/>
  <c r="AN165" i="32"/>
  <c r="AM165" i="32"/>
  <c r="AU164" i="32"/>
  <c r="AS164" i="32" s="1"/>
  <c r="AP164" i="32"/>
  <c r="AO164" i="32"/>
  <c r="AN164" i="32"/>
  <c r="AM164" i="32"/>
  <c r="AU163" i="32"/>
  <c r="AS163" i="32" s="1"/>
  <c r="AP163" i="32"/>
  <c r="AO163" i="32"/>
  <c r="AN163" i="32"/>
  <c r="AM163" i="32"/>
  <c r="AU162" i="32"/>
  <c r="AT162" i="32" s="1"/>
  <c r="AP162" i="32"/>
  <c r="AO162" i="32"/>
  <c r="AN162" i="32"/>
  <c r="AM162" i="32"/>
  <c r="AU161" i="32"/>
  <c r="AT161" i="32" s="1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T159" i="32" s="1"/>
  <c r="AP159" i="32"/>
  <c r="AO159" i="32"/>
  <c r="AN159" i="32"/>
  <c r="AM159" i="32"/>
  <c r="AU158" i="32"/>
  <c r="AT158" i="32" s="1"/>
  <c r="AP158" i="32"/>
  <c r="AO158" i="32"/>
  <c r="AN158" i="32"/>
  <c r="AM158" i="32"/>
  <c r="AU157" i="32"/>
  <c r="AP157" i="32"/>
  <c r="AO157" i="32"/>
  <c r="AN157" i="32"/>
  <c r="AM157" i="32"/>
  <c r="AU156" i="32"/>
  <c r="AR156" i="32" s="1"/>
  <c r="AP156" i="32"/>
  <c r="AO156" i="32"/>
  <c r="AN156" i="32"/>
  <c r="AM156" i="32"/>
  <c r="AU155" i="32"/>
  <c r="AS155" i="32" s="1"/>
  <c r="AP155" i="32"/>
  <c r="AO155" i="32"/>
  <c r="AN155" i="32"/>
  <c r="AM155" i="32"/>
  <c r="AU154" i="32"/>
  <c r="AT154" i="32" s="1"/>
  <c r="AP154" i="32"/>
  <c r="AO154" i="32"/>
  <c r="AN154" i="32"/>
  <c r="AM154" i="32"/>
  <c r="AU153" i="32"/>
  <c r="AT153" i="32" s="1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T151" i="32" s="1"/>
  <c r="AP151" i="32"/>
  <c r="AO151" i="32"/>
  <c r="AN151" i="32"/>
  <c r="AM151" i="32"/>
  <c r="AU150" i="32"/>
  <c r="AT150" i="32" s="1"/>
  <c r="AP150" i="32"/>
  <c r="AO150" i="32"/>
  <c r="AN150" i="32"/>
  <c r="AM150" i="32"/>
  <c r="AU149" i="32"/>
  <c r="AP149" i="32"/>
  <c r="AO149" i="32"/>
  <c r="AN149" i="32"/>
  <c r="AM149" i="32"/>
  <c r="AU148" i="32"/>
  <c r="AR148" i="32" s="1"/>
  <c r="AP148" i="32"/>
  <c r="AO148" i="32"/>
  <c r="AN148" i="32"/>
  <c r="AM148" i="32"/>
  <c r="AU147" i="32"/>
  <c r="AS147" i="32" s="1"/>
  <c r="AP147" i="32"/>
  <c r="AO147" i="32"/>
  <c r="AN147" i="32"/>
  <c r="AM147" i="32"/>
  <c r="AU146" i="32"/>
  <c r="AT146" i="32" s="1"/>
  <c r="AP146" i="32"/>
  <c r="AO146" i="32"/>
  <c r="AN146" i="32"/>
  <c r="AM146" i="32"/>
  <c r="AU145" i="32"/>
  <c r="AT145" i="32" s="1"/>
  <c r="AP145" i="32"/>
  <c r="AO145" i="32"/>
  <c r="AN145" i="32"/>
  <c r="AM145" i="32"/>
  <c r="AU144" i="32"/>
  <c r="AT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T142" i="32" s="1"/>
  <c r="AP142" i="32"/>
  <c r="AO142" i="32"/>
  <c r="AN142" i="32"/>
  <c r="AM142" i="32"/>
  <c r="AU141" i="32"/>
  <c r="AP141" i="32"/>
  <c r="AO141" i="32"/>
  <c r="AN141" i="32"/>
  <c r="AM141" i="32"/>
  <c r="AU140" i="32"/>
  <c r="AR140" i="32" s="1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T138" i="32" s="1"/>
  <c r="AP138" i="32"/>
  <c r="AO138" i="32"/>
  <c r="AN138" i="32"/>
  <c r="AM138" i="32"/>
  <c r="AU137" i="32"/>
  <c r="AT137" i="32" s="1"/>
  <c r="AP137" i="32"/>
  <c r="AO137" i="32"/>
  <c r="AN137" i="32"/>
  <c r="AM137" i="32"/>
  <c r="AU136" i="32"/>
  <c r="AT136" i="32" s="1"/>
  <c r="AP136" i="32"/>
  <c r="AO136" i="32"/>
  <c r="AN136" i="32"/>
  <c r="AM136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P133" i="32"/>
  <c r="AO133" i="32"/>
  <c r="AN133" i="32"/>
  <c r="AM133" i="32"/>
  <c r="AU132" i="32"/>
  <c r="AR132" i="32" s="1"/>
  <c r="AP132" i="32"/>
  <c r="AO132" i="32"/>
  <c r="AN132" i="32"/>
  <c r="AM132" i="32"/>
  <c r="AU131" i="32"/>
  <c r="AS131" i="32" s="1"/>
  <c r="AP131" i="32"/>
  <c r="AO131" i="32"/>
  <c r="AN131" i="32"/>
  <c r="AM131" i="32"/>
  <c r="AU130" i="32"/>
  <c r="AT130" i="32" s="1"/>
  <c r="AP130" i="32"/>
  <c r="AO130" i="32"/>
  <c r="AN130" i="32"/>
  <c r="AM130" i="32"/>
  <c r="AU129" i="32"/>
  <c r="AT129" i="32" s="1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T127" i="32" s="1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P125" i="32"/>
  <c r="AO125" i="32"/>
  <c r="AN125" i="32"/>
  <c r="AM125" i="32"/>
  <c r="AU124" i="32"/>
  <c r="AR124" i="32" s="1"/>
  <c r="AP124" i="32"/>
  <c r="AO124" i="32"/>
  <c r="AN124" i="32"/>
  <c r="AM124" i="32"/>
  <c r="AU123" i="32"/>
  <c r="AS123" i="32" s="1"/>
  <c r="AP123" i="32"/>
  <c r="AO123" i="32"/>
  <c r="AN123" i="32"/>
  <c r="AM123" i="32"/>
  <c r="AU122" i="32"/>
  <c r="AT122" i="32" s="1"/>
  <c r="AP122" i="32"/>
  <c r="AO122" i="32"/>
  <c r="AN122" i="32"/>
  <c r="AM122" i="32"/>
  <c r="AU121" i="32"/>
  <c r="AT121" i="32" s="1"/>
  <c r="AP121" i="32"/>
  <c r="AO121" i="32"/>
  <c r="AN121" i="32"/>
  <c r="AM121" i="32"/>
  <c r="AU120" i="32"/>
  <c r="AT120" i="32" s="1"/>
  <c r="AP120" i="32"/>
  <c r="AO120" i="32"/>
  <c r="AN120" i="32"/>
  <c r="AM120" i="32"/>
  <c r="AU119" i="32"/>
  <c r="AT119" i="32" s="1"/>
  <c r="AP119" i="32"/>
  <c r="AO119" i="32"/>
  <c r="AN119" i="32"/>
  <c r="AM119" i="32"/>
  <c r="AU118" i="32"/>
  <c r="AP118" i="32"/>
  <c r="AO118" i="32"/>
  <c r="AN118" i="32"/>
  <c r="AM118" i="32"/>
  <c r="AU117" i="32"/>
  <c r="AP117" i="32"/>
  <c r="AO117" i="32"/>
  <c r="AN117" i="32"/>
  <c r="AM117" i="32"/>
  <c r="AU116" i="32"/>
  <c r="AR116" i="32" s="1"/>
  <c r="AP116" i="32"/>
  <c r="AO116" i="32"/>
  <c r="AN116" i="32"/>
  <c r="AM116" i="32"/>
  <c r="AU115" i="32"/>
  <c r="AS115" i="32" s="1"/>
  <c r="AP115" i="32"/>
  <c r="AO115" i="32"/>
  <c r="AN115" i="32"/>
  <c r="AM115" i="32"/>
  <c r="AU114" i="32"/>
  <c r="AT114" i="32" s="1"/>
  <c r="AP114" i="32"/>
  <c r="AO114" i="32"/>
  <c r="AN114" i="32"/>
  <c r="AM114" i="32"/>
  <c r="AU113" i="32"/>
  <c r="AT113" i="32" s="1"/>
  <c r="AP113" i="32"/>
  <c r="AO113" i="32"/>
  <c r="AN113" i="32"/>
  <c r="AM113" i="32"/>
  <c r="AU112" i="32"/>
  <c r="AT112" i="32" s="1"/>
  <c r="AP112" i="32"/>
  <c r="AO112" i="32"/>
  <c r="AN112" i="32"/>
  <c r="AM112" i="32"/>
  <c r="AU111" i="32"/>
  <c r="AT111" i="32" s="1"/>
  <c r="AP111" i="32"/>
  <c r="AO111" i="32"/>
  <c r="AN111" i="32"/>
  <c r="AM111" i="32"/>
  <c r="AU110" i="32"/>
  <c r="AP110" i="32"/>
  <c r="AO110" i="32"/>
  <c r="AN110" i="32"/>
  <c r="AM110" i="32"/>
  <c r="AU109" i="32"/>
  <c r="AP109" i="32"/>
  <c r="AO109" i="32"/>
  <c r="AN109" i="32"/>
  <c r="AM109" i="32"/>
  <c r="AU108" i="32"/>
  <c r="AR108" i="32" s="1"/>
  <c r="AP108" i="32"/>
  <c r="AO108" i="32"/>
  <c r="AN108" i="32"/>
  <c r="AM108" i="32"/>
  <c r="AU107" i="32"/>
  <c r="AS107" i="32" s="1"/>
  <c r="AP107" i="32"/>
  <c r="AO107" i="32"/>
  <c r="AN107" i="32"/>
  <c r="AM107" i="32"/>
  <c r="AU106" i="32"/>
  <c r="AT106" i="32" s="1"/>
  <c r="AP106" i="32"/>
  <c r="AO106" i="32"/>
  <c r="AN106" i="32"/>
  <c r="AM106" i="32"/>
  <c r="AU105" i="32"/>
  <c r="AT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T103" i="32" s="1"/>
  <c r="AP103" i="32"/>
  <c r="AO103" i="32"/>
  <c r="AN103" i="32"/>
  <c r="AM103" i="32"/>
  <c r="AU102" i="32"/>
  <c r="AP102" i="32"/>
  <c r="AO102" i="32"/>
  <c r="AN102" i="32"/>
  <c r="AM102" i="32"/>
  <c r="AU101" i="32"/>
  <c r="AP101" i="32"/>
  <c r="AO101" i="32"/>
  <c r="AN101" i="32"/>
  <c r="AM101" i="32"/>
  <c r="AU100" i="32"/>
  <c r="AR100" i="32" s="1"/>
  <c r="AP100" i="32"/>
  <c r="AO100" i="32"/>
  <c r="AN100" i="32"/>
  <c r="AM100" i="32"/>
  <c r="AU99" i="32"/>
  <c r="AS99" i="32" s="1"/>
  <c r="AP99" i="32"/>
  <c r="AO99" i="32"/>
  <c r="AN99" i="32"/>
  <c r="AM99" i="32"/>
  <c r="AU98" i="32"/>
  <c r="AT98" i="32" s="1"/>
  <c r="AP98" i="32"/>
  <c r="AO98" i="32"/>
  <c r="AN98" i="32"/>
  <c r="AM98" i="32"/>
  <c r="AU97" i="32"/>
  <c r="AT97" i="32" s="1"/>
  <c r="AP97" i="32"/>
  <c r="AO97" i="32"/>
  <c r="AN97" i="32"/>
  <c r="AM97" i="32"/>
  <c r="AU96" i="32"/>
  <c r="AT96" i="32" s="1"/>
  <c r="AP96" i="32"/>
  <c r="AO96" i="32"/>
  <c r="AN96" i="32"/>
  <c r="AM96" i="32"/>
  <c r="AU95" i="32"/>
  <c r="AT95" i="32" s="1"/>
  <c r="AP95" i="32"/>
  <c r="AO95" i="32"/>
  <c r="AN95" i="32"/>
  <c r="AM95" i="32"/>
  <c r="AU94" i="32"/>
  <c r="AP94" i="32"/>
  <c r="AO94" i="32"/>
  <c r="AN94" i="32"/>
  <c r="AM94" i="32"/>
  <c r="AU93" i="32"/>
  <c r="AQ93" i="32" s="1"/>
  <c r="AP93" i="32"/>
  <c r="AO93" i="32"/>
  <c r="AN93" i="32"/>
  <c r="AM93" i="32"/>
  <c r="AU92" i="32"/>
  <c r="AR92" i="32" s="1"/>
  <c r="AP92" i="32"/>
  <c r="AO92" i="32"/>
  <c r="AN92" i="32"/>
  <c r="AM92" i="32"/>
  <c r="AU91" i="32"/>
  <c r="AS91" i="32" s="1"/>
  <c r="AP91" i="32"/>
  <c r="AO91" i="32"/>
  <c r="AN91" i="32"/>
  <c r="AM91" i="32"/>
  <c r="AU90" i="32"/>
  <c r="AT90" i="32" s="1"/>
  <c r="AP90" i="32"/>
  <c r="AO90" i="32"/>
  <c r="AN90" i="32"/>
  <c r="AM90" i="32"/>
  <c r="AU89" i="32"/>
  <c r="AP89" i="32"/>
  <c r="AO89" i="32"/>
  <c r="AN89" i="32"/>
  <c r="AM89" i="32"/>
  <c r="AU88" i="32"/>
  <c r="AS88" i="32" s="1"/>
  <c r="AP88" i="32"/>
  <c r="AO88" i="32"/>
  <c r="AN88" i="32"/>
  <c r="AM88" i="32"/>
  <c r="AU87" i="32"/>
  <c r="AT87" i="32" s="1"/>
  <c r="AP87" i="32"/>
  <c r="AO87" i="32"/>
  <c r="AN87" i="32"/>
  <c r="AM87" i="32"/>
  <c r="AU86" i="32"/>
  <c r="AP86" i="32"/>
  <c r="AO86" i="32"/>
  <c r="AN86" i="32"/>
  <c r="AM86" i="32"/>
  <c r="AU85" i="32"/>
  <c r="AQ85" i="32" s="1"/>
  <c r="AP85" i="32"/>
  <c r="AO85" i="32"/>
  <c r="AN85" i="32"/>
  <c r="AM85" i="32"/>
  <c r="AU84" i="32"/>
  <c r="AR84" i="32" s="1"/>
  <c r="AP84" i="32"/>
  <c r="AO84" i="32"/>
  <c r="AN84" i="32"/>
  <c r="AM84" i="32"/>
  <c r="AU83" i="32"/>
  <c r="AS83" i="32" s="1"/>
  <c r="AP83" i="32"/>
  <c r="AO83" i="32"/>
  <c r="AN83" i="32"/>
  <c r="AM83" i="32"/>
  <c r="AU82" i="32"/>
  <c r="AT82" i="32" s="1"/>
  <c r="AP82" i="32"/>
  <c r="AO82" i="32"/>
  <c r="AN82" i="32"/>
  <c r="AM82" i="32"/>
  <c r="AU81" i="32"/>
  <c r="AP81" i="32"/>
  <c r="AO81" i="32"/>
  <c r="AN81" i="32"/>
  <c r="AM81" i="32"/>
  <c r="AU80" i="32"/>
  <c r="AS80" i="32" s="1"/>
  <c r="AP80" i="32"/>
  <c r="AO80" i="32"/>
  <c r="AN80" i="32"/>
  <c r="AM80" i="32"/>
  <c r="AU79" i="32"/>
  <c r="AT79" i="32" s="1"/>
  <c r="AP79" i="32"/>
  <c r="AO79" i="32"/>
  <c r="AN79" i="32"/>
  <c r="AM79" i="32"/>
  <c r="AU78" i="32"/>
  <c r="AP78" i="32"/>
  <c r="AO78" i="32"/>
  <c r="AN78" i="32"/>
  <c r="AM78" i="32"/>
  <c r="AU77" i="32"/>
  <c r="AQ77" i="32" s="1"/>
  <c r="AP77" i="32"/>
  <c r="AO77" i="32"/>
  <c r="AN77" i="32"/>
  <c r="AM77" i="32"/>
  <c r="AU76" i="32"/>
  <c r="AR76" i="32" s="1"/>
  <c r="AP76" i="32"/>
  <c r="AO76" i="32"/>
  <c r="AN76" i="32"/>
  <c r="AM76" i="32"/>
  <c r="AU75" i="32"/>
  <c r="AS75" i="32" s="1"/>
  <c r="AP75" i="32"/>
  <c r="AO75" i="32"/>
  <c r="AN75" i="32"/>
  <c r="AM75" i="32"/>
  <c r="AU74" i="32"/>
  <c r="AT74" i="32" s="1"/>
  <c r="AP74" i="32"/>
  <c r="AO74" i="32"/>
  <c r="AN74" i="32"/>
  <c r="AM74" i="32"/>
  <c r="AU73" i="32"/>
  <c r="AP73" i="32"/>
  <c r="AO73" i="32"/>
  <c r="AN73" i="32"/>
  <c r="AM73" i="32"/>
  <c r="AU72" i="32"/>
  <c r="AP72" i="32"/>
  <c r="AO72" i="32"/>
  <c r="AN72" i="32"/>
  <c r="AM72" i="32"/>
  <c r="AU71" i="32"/>
  <c r="AT71" i="32" s="1"/>
  <c r="AP71" i="32"/>
  <c r="AO71" i="32"/>
  <c r="AN71" i="32"/>
  <c r="AM71" i="32"/>
  <c r="AU70" i="32"/>
  <c r="AP70" i="32"/>
  <c r="AO70" i="32"/>
  <c r="AN70" i="32"/>
  <c r="AM70" i="32"/>
  <c r="AU69" i="32"/>
  <c r="AQ69" i="32" s="1"/>
  <c r="AP69" i="32"/>
  <c r="AO69" i="32"/>
  <c r="AN69" i="32"/>
  <c r="AM69" i="32"/>
  <c r="AU68" i="32"/>
  <c r="AR68" i="32" s="1"/>
  <c r="AP68" i="32"/>
  <c r="AO68" i="32"/>
  <c r="AN68" i="32"/>
  <c r="AM68" i="32"/>
  <c r="AU67" i="32"/>
  <c r="AS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P65" i="32"/>
  <c r="AO65" i="32"/>
  <c r="AN65" i="32"/>
  <c r="AM65" i="32"/>
  <c r="AU64" i="32"/>
  <c r="AS64" i="32" s="1"/>
  <c r="AP64" i="32"/>
  <c r="AO64" i="32"/>
  <c r="AN64" i="32"/>
  <c r="AM64" i="32"/>
  <c r="AU63" i="32"/>
  <c r="AT63" i="32" s="1"/>
  <c r="AP63" i="32"/>
  <c r="AO63" i="32"/>
  <c r="AN63" i="32"/>
  <c r="AM63" i="32"/>
  <c r="AU62" i="32"/>
  <c r="AQ62" i="32" s="1"/>
  <c r="AP62" i="32"/>
  <c r="AO62" i="32"/>
  <c r="AN62" i="32"/>
  <c r="AM62" i="32"/>
  <c r="AU61" i="32"/>
  <c r="AQ61" i="32" s="1"/>
  <c r="AP61" i="32"/>
  <c r="AO61" i="32"/>
  <c r="AN61" i="32"/>
  <c r="AM61" i="32"/>
  <c r="AU60" i="32"/>
  <c r="AR60" i="32" s="1"/>
  <c r="AP60" i="32"/>
  <c r="AO60" i="32"/>
  <c r="AN60" i="32"/>
  <c r="AM60" i="32"/>
  <c r="AU59" i="32"/>
  <c r="AS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P57" i="32"/>
  <c r="AO57" i="32"/>
  <c r="AN57" i="32"/>
  <c r="AM57" i="32"/>
  <c r="AU56" i="32"/>
  <c r="AS56" i="32" s="1"/>
  <c r="AP56" i="32"/>
  <c r="AO56" i="32"/>
  <c r="AN56" i="32"/>
  <c r="AM56" i="32"/>
  <c r="AU55" i="32"/>
  <c r="AT55" i="32" s="1"/>
  <c r="AP55" i="32"/>
  <c r="AO55" i="32"/>
  <c r="AN55" i="32"/>
  <c r="AM55" i="32"/>
  <c r="AU54" i="32"/>
  <c r="AQ54" i="32" s="1"/>
  <c r="AP54" i="32"/>
  <c r="AO54" i="32"/>
  <c r="AN54" i="32"/>
  <c r="AM54" i="32"/>
  <c r="AU53" i="32"/>
  <c r="AQ53" i="32" s="1"/>
  <c r="AP53" i="32"/>
  <c r="AO53" i="32"/>
  <c r="AN53" i="32"/>
  <c r="AM53" i="32"/>
  <c r="AU52" i="32"/>
  <c r="AR52" i="32" s="1"/>
  <c r="AP52" i="32"/>
  <c r="AO52" i="32"/>
  <c r="AN52" i="32"/>
  <c r="AM52" i="32"/>
  <c r="AU51" i="32"/>
  <c r="AS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P49" i="32"/>
  <c r="AO49" i="32"/>
  <c r="AN49" i="32"/>
  <c r="AM49" i="32"/>
  <c r="AU48" i="32"/>
  <c r="AS48" i="32" s="1"/>
  <c r="AP48" i="32"/>
  <c r="AO48" i="32"/>
  <c r="AN48" i="32"/>
  <c r="AM48" i="32"/>
  <c r="AU47" i="32"/>
  <c r="AT47" i="32" s="1"/>
  <c r="AP47" i="32"/>
  <c r="AO47" i="32"/>
  <c r="AN47" i="32"/>
  <c r="AM47" i="32"/>
  <c r="AU46" i="32"/>
  <c r="AQ46" i="32" s="1"/>
  <c r="AP46" i="32"/>
  <c r="AO46" i="32"/>
  <c r="AN46" i="32"/>
  <c r="AM46" i="32"/>
  <c r="AU45" i="32"/>
  <c r="AQ45" i="32" s="1"/>
  <c r="AP45" i="32"/>
  <c r="AO45" i="32"/>
  <c r="AN45" i="32"/>
  <c r="AM45" i="32"/>
  <c r="AU44" i="32"/>
  <c r="AR44" i="32" s="1"/>
  <c r="AP44" i="32"/>
  <c r="AO44" i="32"/>
  <c r="AN44" i="32"/>
  <c r="AM44" i="32"/>
  <c r="AU43" i="32"/>
  <c r="AS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P41" i="32"/>
  <c r="AO41" i="32"/>
  <c r="AN41" i="32"/>
  <c r="AM41" i="32"/>
  <c r="AU40" i="32"/>
  <c r="AS40" i="32" s="1"/>
  <c r="AP40" i="32"/>
  <c r="AO40" i="32"/>
  <c r="AN40" i="32"/>
  <c r="AM40" i="32"/>
  <c r="AU39" i="32"/>
  <c r="AT39" i="32" s="1"/>
  <c r="AP39" i="32"/>
  <c r="AO39" i="32"/>
  <c r="AN39" i="32"/>
  <c r="AM39" i="32"/>
  <c r="AU38" i="32"/>
  <c r="AQ38" i="32" s="1"/>
  <c r="AP38" i="32"/>
  <c r="AO38" i="32"/>
  <c r="AN38" i="32"/>
  <c r="AM38" i="32"/>
  <c r="AU37" i="32"/>
  <c r="AQ37" i="32" s="1"/>
  <c r="AP37" i="32"/>
  <c r="AO37" i="32"/>
  <c r="AN37" i="32"/>
  <c r="AM37" i="32"/>
  <c r="AU36" i="32"/>
  <c r="AR36" i="32" s="1"/>
  <c r="AP36" i="32"/>
  <c r="AO36" i="32"/>
  <c r="AN36" i="32"/>
  <c r="AM36" i="32"/>
  <c r="AU35" i="32"/>
  <c r="AS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P33" i="32"/>
  <c r="AO33" i="32"/>
  <c r="AN33" i="32"/>
  <c r="AM33" i="32"/>
  <c r="AU32" i="32"/>
  <c r="AS32" i="32" s="1"/>
  <c r="AP32" i="32"/>
  <c r="AO32" i="32"/>
  <c r="AN32" i="32"/>
  <c r="AM32" i="32"/>
  <c r="AU31" i="32"/>
  <c r="AT31" i="32" s="1"/>
  <c r="AP31" i="32"/>
  <c r="AO31" i="32"/>
  <c r="AN31" i="32"/>
  <c r="AM31" i="32"/>
  <c r="AU30" i="32"/>
  <c r="AQ30" i="32" s="1"/>
  <c r="AP30" i="32"/>
  <c r="AO30" i="32"/>
  <c r="AN30" i="32"/>
  <c r="AM30" i="32"/>
  <c r="AU29" i="32"/>
  <c r="AQ29" i="32" s="1"/>
  <c r="AP29" i="32"/>
  <c r="AO29" i="32"/>
  <c r="AN29" i="32"/>
  <c r="AM29" i="32"/>
  <c r="AU28" i="32"/>
  <c r="AR28" i="32" s="1"/>
  <c r="AP28" i="32"/>
  <c r="AO28" i="32"/>
  <c r="AN28" i="32"/>
  <c r="AM28" i="32"/>
  <c r="AU27" i="32"/>
  <c r="AS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P25" i="32"/>
  <c r="AO25" i="32"/>
  <c r="AN25" i="32"/>
  <c r="AM25" i="32"/>
  <c r="AU24" i="32"/>
  <c r="AS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Q22" i="32" s="1"/>
  <c r="AP22" i="32"/>
  <c r="AO22" i="32"/>
  <c r="AN22" i="32"/>
  <c r="AM22" i="32"/>
  <c r="AU21" i="32"/>
  <c r="AQ21" i="32" s="1"/>
  <c r="AP21" i="32"/>
  <c r="AO21" i="32"/>
  <c r="AN21" i="32"/>
  <c r="AM21" i="32"/>
  <c r="AU20" i="32"/>
  <c r="AR20" i="32" s="1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P17" i="32"/>
  <c r="AO17" i="32"/>
  <c r="AN17" i="32"/>
  <c r="AM17" i="32"/>
  <c r="AU16" i="32"/>
  <c r="AS16" i="32" s="1"/>
  <c r="AP16" i="32"/>
  <c r="AO16" i="32"/>
  <c r="AN16" i="32"/>
  <c r="AM16" i="32"/>
  <c r="AU15" i="32"/>
  <c r="AT15" i="32" s="1"/>
  <c r="AP15" i="32"/>
  <c r="AO15" i="32"/>
  <c r="AN15" i="32"/>
  <c r="AM15" i="32"/>
  <c r="AU14" i="32"/>
  <c r="AQ14" i="32" s="1"/>
  <c r="AP14" i="32"/>
  <c r="AO14" i="32"/>
  <c r="AN14" i="32"/>
  <c r="AM14" i="32"/>
  <c r="AU13" i="32"/>
  <c r="AQ13" i="32" s="1"/>
  <c r="AP13" i="32"/>
  <c r="AO13" i="32"/>
  <c r="AN13" i="32"/>
  <c r="AM13" i="32"/>
  <c r="AU12" i="32"/>
  <c r="AR12" i="32" s="1"/>
  <c r="AP12" i="32"/>
  <c r="AO12" i="32"/>
  <c r="AN12" i="32"/>
  <c r="AM12" i="32"/>
  <c r="AU11" i="32"/>
  <c r="AS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P9" i="32"/>
  <c r="AO9" i="32"/>
  <c r="AN9" i="32"/>
  <c r="AM9" i="32"/>
  <c r="AU8" i="32"/>
  <c r="AS8" i="32" s="1"/>
  <c r="AP8" i="32"/>
  <c r="AO8" i="32"/>
  <c r="AN8" i="32"/>
  <c r="AM8" i="32"/>
  <c r="AU7" i="32"/>
  <c r="AT7" i="32" s="1"/>
  <c r="AP7" i="32"/>
  <c r="AO7" i="32"/>
  <c r="AN7" i="32"/>
  <c r="AM7" i="32"/>
  <c r="AU6" i="32"/>
  <c r="AQ6" i="32" s="1"/>
  <c r="AP6" i="32"/>
  <c r="AO6" i="32"/>
  <c r="AN6" i="32"/>
  <c r="AM6" i="32"/>
  <c r="AU5" i="32"/>
  <c r="AQ5" i="32" s="1"/>
  <c r="AP5" i="32"/>
  <c r="AO5" i="32"/>
  <c r="AN5" i="32"/>
  <c r="AM5" i="32"/>
  <c r="AU4" i="32"/>
  <c r="AR4" i="32" s="1"/>
  <c r="AP4" i="32"/>
  <c r="AO4" i="32"/>
  <c r="AN4" i="32"/>
  <c r="AM4" i="32"/>
  <c r="AU3" i="32"/>
  <c r="AS3" i="32" s="1"/>
  <c r="AP3" i="32"/>
  <c r="AO3" i="32"/>
  <c r="AN3" i="32"/>
  <c r="AM3" i="32"/>
  <c r="AP2" i="32"/>
  <c r="AO2" i="32"/>
  <c r="G73" i="54"/>
  <c r="F73" i="54"/>
  <c r="E73" i="54"/>
  <c r="D73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5" i="54"/>
  <c r="F105" i="54"/>
  <c r="E105" i="54"/>
  <c r="D105" i="54"/>
  <c r="C105" i="54"/>
  <c r="L110" i="54"/>
  <c r="L109" i="54"/>
  <c r="L108" i="54"/>
  <c r="L107" i="54"/>
  <c r="L105" i="54"/>
  <c r="L73" i="54"/>
  <c r="C73" i="54"/>
  <c r="L60" i="54"/>
  <c r="L58" i="54"/>
  <c r="L57" i="54"/>
  <c r="G60" i="54"/>
  <c r="F60" i="54"/>
  <c r="E60" i="54"/>
  <c r="D60" i="54"/>
  <c r="C60" i="54"/>
  <c r="G58" i="54"/>
  <c r="F58" i="54"/>
  <c r="E58" i="54"/>
  <c r="D58" i="54"/>
  <c r="C58" i="54"/>
  <c r="G57" i="54"/>
  <c r="F57" i="54"/>
  <c r="E57" i="54"/>
  <c r="D57" i="54"/>
  <c r="C57" i="54"/>
  <c r="T39" i="54"/>
  <c r="T35" i="54"/>
  <c r="T34" i="54"/>
  <c r="T33" i="54"/>
  <c r="T32" i="54"/>
  <c r="T31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U2" i="32" s="1"/>
  <c r="AT2" i="32" s="1"/>
  <c r="E75" i="54" l="1"/>
  <c r="AQ182" i="32"/>
  <c r="AR182" i="32"/>
  <c r="AS182" i="32"/>
  <c r="AT182" i="32"/>
  <c r="AQ181" i="32"/>
  <c r="AR181" i="32"/>
  <c r="AS181" i="32"/>
  <c r="AT181" i="32"/>
  <c r="AQ180" i="32"/>
  <c r="AR180" i="32"/>
  <c r="AS180" i="32"/>
  <c r="AT180" i="32"/>
  <c r="AQ179" i="32"/>
  <c r="AR179" i="32"/>
  <c r="AS179" i="32"/>
  <c r="AT179" i="32"/>
  <c r="AQ178" i="32"/>
  <c r="AR178" i="32"/>
  <c r="AS178" i="32"/>
  <c r="AT178" i="32"/>
  <c r="AQ177" i="32"/>
  <c r="AR177" i="32"/>
  <c r="AS177" i="32"/>
  <c r="AT177" i="32"/>
  <c r="F56" i="54"/>
  <c r="AQ209" i="32"/>
  <c r="AR209" i="32"/>
  <c r="AS209" i="32"/>
  <c r="AT209" i="32"/>
  <c r="AQ208" i="32"/>
  <c r="AR208" i="32"/>
  <c r="AS208" i="32"/>
  <c r="AT208" i="32"/>
  <c r="AQ207" i="32"/>
  <c r="AR207" i="32"/>
  <c r="AS207" i="32"/>
  <c r="AT207" i="32"/>
  <c r="AQ206" i="32"/>
  <c r="AR206" i="32"/>
  <c r="AS206" i="32"/>
  <c r="AT206" i="32"/>
  <c r="AQ205" i="32"/>
  <c r="AR205" i="32"/>
  <c r="AS205" i="32"/>
  <c r="AT205" i="32"/>
  <c r="AQ204" i="32"/>
  <c r="AR204" i="32"/>
  <c r="AS204" i="32"/>
  <c r="AT204" i="32"/>
  <c r="AQ203" i="32"/>
  <c r="AR203" i="32"/>
  <c r="AS203" i="32"/>
  <c r="AT203" i="32"/>
  <c r="AQ202" i="32"/>
  <c r="AR202" i="32"/>
  <c r="AS202" i="32"/>
  <c r="AT202" i="32"/>
  <c r="AQ201" i="32"/>
  <c r="AR201" i="32"/>
  <c r="AS201" i="32"/>
  <c r="AT201" i="32"/>
  <c r="AQ200" i="32"/>
  <c r="AR200" i="32"/>
  <c r="AS200" i="32"/>
  <c r="AT200" i="32"/>
  <c r="AQ199" i="32"/>
  <c r="AR199" i="32"/>
  <c r="AS199" i="32"/>
  <c r="AT199" i="32"/>
  <c r="AQ198" i="32"/>
  <c r="AR198" i="32"/>
  <c r="AS198" i="32"/>
  <c r="AT198" i="32"/>
  <c r="AQ197" i="32"/>
  <c r="AR197" i="32"/>
  <c r="AS197" i="32"/>
  <c r="AT197" i="32"/>
  <c r="AQ196" i="32"/>
  <c r="AR196" i="32"/>
  <c r="AS196" i="32"/>
  <c r="AT196" i="32"/>
  <c r="AQ195" i="32"/>
  <c r="AR195" i="32"/>
  <c r="AS195" i="32"/>
  <c r="AT195" i="32"/>
  <c r="AQ194" i="32"/>
  <c r="AR194" i="32"/>
  <c r="AS194" i="32"/>
  <c r="AT194" i="32"/>
  <c r="AQ193" i="32"/>
  <c r="AR193" i="32"/>
  <c r="AS193" i="32"/>
  <c r="AT193" i="32"/>
  <c r="AQ192" i="32"/>
  <c r="AR192" i="32"/>
  <c r="AS192" i="32"/>
  <c r="AT192" i="32"/>
  <c r="AQ191" i="32"/>
  <c r="AR191" i="32"/>
  <c r="AS191" i="32"/>
  <c r="AT191" i="32"/>
  <c r="AQ190" i="32"/>
  <c r="AR190" i="32"/>
  <c r="AS190" i="32"/>
  <c r="AT190" i="32"/>
  <c r="AQ189" i="32"/>
  <c r="AR189" i="32"/>
  <c r="AS189" i="32"/>
  <c r="AT189" i="32"/>
  <c r="AQ188" i="32"/>
  <c r="AR188" i="32"/>
  <c r="AS188" i="32"/>
  <c r="AT188" i="32"/>
  <c r="AQ187" i="32"/>
  <c r="AR187" i="32"/>
  <c r="AS187" i="32"/>
  <c r="AT187" i="32"/>
  <c r="AQ186" i="32"/>
  <c r="AR186" i="32"/>
  <c r="AS186" i="32"/>
  <c r="AT186" i="32"/>
  <c r="AQ185" i="32"/>
  <c r="AR185" i="32"/>
  <c r="AS185" i="32"/>
  <c r="AT185" i="32"/>
  <c r="AQ184" i="32"/>
  <c r="AR184" i="32"/>
  <c r="AS184" i="32"/>
  <c r="AT184" i="32"/>
  <c r="AQ183" i="32"/>
  <c r="AR183" i="32"/>
  <c r="AS183" i="32"/>
  <c r="AT183" i="32"/>
  <c r="AQ176" i="32"/>
  <c r="AR176" i="32"/>
  <c r="AS176" i="32"/>
  <c r="AT176" i="32"/>
  <c r="AQ175" i="32"/>
  <c r="AR175" i="32"/>
  <c r="AS175" i="32"/>
  <c r="AT175" i="32"/>
  <c r="AQ174" i="32"/>
  <c r="AR174" i="32"/>
  <c r="AS174" i="32"/>
  <c r="AT174" i="32"/>
  <c r="E56" i="54"/>
  <c r="D56" i="54"/>
  <c r="G56" i="54"/>
  <c r="L75" i="54"/>
  <c r="C75" i="54"/>
  <c r="C61" i="54"/>
  <c r="D75" i="54"/>
  <c r="F75" i="54"/>
  <c r="G75" i="54"/>
  <c r="C56" i="54"/>
  <c r="G93" i="54"/>
  <c r="F59" i="54"/>
  <c r="G59" i="54"/>
  <c r="L93" i="54"/>
  <c r="F93" i="54"/>
  <c r="E59" i="54"/>
  <c r="F95" i="54"/>
  <c r="L106" i="54"/>
  <c r="C59" i="54"/>
  <c r="L56" i="54"/>
  <c r="D59" i="54"/>
  <c r="C93" i="54"/>
  <c r="L59" i="54"/>
  <c r="D93" i="54"/>
  <c r="F74" i="54"/>
  <c r="E93" i="54"/>
  <c r="AT173" i="32"/>
  <c r="AS173" i="32"/>
  <c r="AR173" i="32"/>
  <c r="G106" i="54"/>
  <c r="D95" i="54"/>
  <c r="AQ172" i="32"/>
  <c r="AR172" i="32"/>
  <c r="AS172" i="32"/>
  <c r="AT172" i="32"/>
  <c r="AQ171" i="32"/>
  <c r="AR171" i="32"/>
  <c r="AS171" i="32"/>
  <c r="AT171" i="32"/>
  <c r="AQ9" i="32"/>
  <c r="AR9" i="32"/>
  <c r="AQ159" i="32"/>
  <c r="AS9" i="32"/>
  <c r="AQ117" i="32"/>
  <c r="AR159" i="32"/>
  <c r="AQ126" i="32"/>
  <c r="AQ157" i="32"/>
  <c r="AS85" i="32"/>
  <c r="AR62" i="32"/>
  <c r="AQ40" i="32"/>
  <c r="AT100" i="32"/>
  <c r="AT85" i="32"/>
  <c r="AT9" i="32"/>
  <c r="AS157" i="32"/>
  <c r="AR157" i="32"/>
  <c r="AR88" i="32"/>
  <c r="AQ88" i="32"/>
  <c r="AR134" i="32"/>
  <c r="AQ55" i="32"/>
  <c r="AS46" i="32"/>
  <c r="AT40" i="32"/>
  <c r="AT88" i="32"/>
  <c r="AT14" i="32"/>
  <c r="AT157" i="32"/>
  <c r="AR55" i="32"/>
  <c r="AR42" i="32"/>
  <c r="AQ42" i="32"/>
  <c r="AR118" i="32"/>
  <c r="AS62" i="32"/>
  <c r="AS45" i="32"/>
  <c r="AQ118" i="32"/>
  <c r="AR46" i="32"/>
  <c r="AT22" i="32"/>
  <c r="AS22" i="32"/>
  <c r="AR22" i="32"/>
  <c r="AR14" i="32"/>
  <c r="AQ7" i="32"/>
  <c r="AR133" i="32"/>
  <c r="AS14" i="32"/>
  <c r="AT140" i="32"/>
  <c r="AR40" i="32"/>
  <c r="AR17" i="32"/>
  <c r="AQ17" i="32"/>
  <c r="AQ133" i="32"/>
  <c r="AQ134" i="32"/>
  <c r="AQ105" i="32"/>
  <c r="AR126" i="32"/>
  <c r="AS126" i="32"/>
  <c r="AT165" i="32"/>
  <c r="AQ151" i="32"/>
  <c r="AR150" i="32"/>
  <c r="AT149" i="32"/>
  <c r="AR149" i="32"/>
  <c r="AQ143" i="32"/>
  <c r="AT133" i="32"/>
  <c r="AS133" i="32"/>
  <c r="AR127" i="32"/>
  <c r="AQ127" i="32"/>
  <c r="AS117" i="32"/>
  <c r="AR112" i="32"/>
  <c r="AQ112" i="32"/>
  <c r="AR111" i="32"/>
  <c r="AQ103" i="32"/>
  <c r="AQ94" i="32"/>
  <c r="AT92" i="32"/>
  <c r="AT89" i="32"/>
  <c r="AS89" i="32"/>
  <c r="AQ89" i="32"/>
  <c r="AR87" i="32"/>
  <c r="AS81" i="32"/>
  <c r="AS79" i="32"/>
  <c r="AT76" i="32"/>
  <c r="AT72" i="32"/>
  <c r="AR70" i="32"/>
  <c r="AR65" i="32"/>
  <c r="AR63" i="32"/>
  <c r="AQ63" i="32"/>
  <c r="AT52" i="32"/>
  <c r="AT37" i="32"/>
  <c r="AT32" i="32"/>
  <c r="AT17" i="32"/>
  <c r="AS17" i="32"/>
  <c r="AS166" i="32"/>
  <c r="AQ150" i="32"/>
  <c r="AQ168" i="32"/>
  <c r="AR167" i="32"/>
  <c r="AQ167" i="32"/>
  <c r="AQ152" i="32"/>
  <c r="AT141" i="32"/>
  <c r="AS141" i="32"/>
  <c r="AR141" i="32"/>
  <c r="AQ141" i="32"/>
  <c r="AS125" i="32"/>
  <c r="AQ125" i="32"/>
  <c r="AT94" i="32"/>
  <c r="AS94" i="32"/>
  <c r="AS86" i="32"/>
  <c r="AT80" i="32"/>
  <c r="AQ71" i="32"/>
  <c r="AQ57" i="32"/>
  <c r="AT49" i="32"/>
  <c r="AS49" i="32"/>
  <c r="AQ49" i="32"/>
  <c r="AS42" i="32"/>
  <c r="AR39" i="32"/>
  <c r="AT33" i="32"/>
  <c r="AR33" i="32"/>
  <c r="AR31" i="32"/>
  <c r="AR23" i="32"/>
  <c r="AT16" i="32"/>
  <c r="AT12" i="32"/>
  <c r="AT6" i="32"/>
  <c r="AS6" i="32"/>
  <c r="AR6" i="32"/>
  <c r="AR165" i="32"/>
  <c r="AT164" i="32"/>
  <c r="AR164" i="32"/>
  <c r="AQ164" i="32"/>
  <c r="AT116" i="32"/>
  <c r="AQ111" i="32"/>
  <c r="AS110" i="32"/>
  <c r="AQ110" i="32"/>
  <c r="AR109" i="32"/>
  <c r="AR104" i="32"/>
  <c r="AQ96" i="32"/>
  <c r="AS95" i="32"/>
  <c r="AR95" i="32"/>
  <c r="AQ95" i="32"/>
  <c r="AR94" i="32"/>
  <c r="AS93" i="32"/>
  <c r="AR89" i="32"/>
  <c r="AR82" i="32"/>
  <c r="AR80" i="32"/>
  <c r="AR79" i="32"/>
  <c r="AQ79" i="32"/>
  <c r="AR78" i="32"/>
  <c r="AS77" i="32"/>
  <c r="AR74" i="32"/>
  <c r="AQ73" i="32"/>
  <c r="AR72" i="32"/>
  <c r="AQ72" i="32"/>
  <c r="AS70" i="32"/>
  <c r="AT60" i="32"/>
  <c r="AS50" i="32"/>
  <c r="AR50" i="32"/>
  <c r="AQ50" i="32"/>
  <c r="AR34" i="32"/>
  <c r="AQ34" i="32"/>
  <c r="AR30" i="32"/>
  <c r="AS29" i="32"/>
  <c r="AR26" i="32"/>
  <c r="AQ26" i="32"/>
  <c r="AQ24" i="32"/>
  <c r="AT20" i="32"/>
  <c r="AS18" i="32"/>
  <c r="AR18" i="32"/>
  <c r="AQ18" i="32"/>
  <c r="AQ16" i="32"/>
  <c r="AR15" i="32"/>
  <c r="AQ15" i="32"/>
  <c r="AQ10" i="32"/>
  <c r="AR8" i="32"/>
  <c r="AT5" i="32"/>
  <c r="AS5" i="32"/>
  <c r="AS134" i="32"/>
  <c r="AT148" i="32"/>
  <c r="AR151" i="32"/>
  <c r="AS150" i="32"/>
  <c r="AS149" i="32"/>
  <c r="AQ149" i="32"/>
  <c r="AQ144" i="32"/>
  <c r="AR135" i="32"/>
  <c r="AQ135" i="32"/>
  <c r="AT132" i="32"/>
  <c r="AT125" i="32"/>
  <c r="AR125" i="32"/>
  <c r="AT108" i="32"/>
  <c r="AQ104" i="32"/>
  <c r="AT101" i="32"/>
  <c r="AR101" i="32"/>
  <c r="AQ97" i="32"/>
  <c r="AR96" i="32"/>
  <c r="AR90" i="32"/>
  <c r="AT86" i="32"/>
  <c r="AQ86" i="32"/>
  <c r="AT84" i="32"/>
  <c r="AT81" i="32"/>
  <c r="AQ81" i="32"/>
  <c r="AQ80" i="32"/>
  <c r="AS74" i="32"/>
  <c r="AQ74" i="32"/>
  <c r="AR71" i="32"/>
  <c r="AQ70" i="32"/>
  <c r="AR66" i="32"/>
  <c r="AT57" i="32"/>
  <c r="AR57" i="32"/>
  <c r="AS54" i="32"/>
  <c r="AT53" i="32"/>
  <c r="AT44" i="32"/>
  <c r="AQ39" i="32"/>
  <c r="AS38" i="32"/>
  <c r="AS34" i="32"/>
  <c r="AS33" i="32"/>
  <c r="AT30" i="32"/>
  <c r="AS30" i="32"/>
  <c r="AT29" i="32"/>
  <c r="AS26" i="32"/>
  <c r="AR16" i="32"/>
  <c r="AS10" i="32"/>
  <c r="AR10" i="32"/>
  <c r="AQ8" i="32"/>
  <c r="AT4" i="32"/>
  <c r="AT156" i="32"/>
  <c r="AR120" i="32"/>
  <c r="AS111" i="32"/>
  <c r="AS101" i="32"/>
  <c r="AR86" i="32"/>
  <c r="AT77" i="32"/>
  <c r="AT73" i="32"/>
  <c r="AR73" i="32"/>
  <c r="AS71" i="32"/>
  <c r="AT68" i="32"/>
  <c r="AS65" i="32"/>
  <c r="AQ65" i="32"/>
  <c r="AR64" i="32"/>
  <c r="AT62" i="32"/>
  <c r="AQ58" i="32"/>
  <c r="AT56" i="32"/>
  <c r="AQ56" i="32"/>
  <c r="AT48" i="32"/>
  <c r="AR48" i="32"/>
  <c r="AQ48" i="32"/>
  <c r="AT45" i="32"/>
  <c r="AS37" i="32"/>
  <c r="AQ33" i="32"/>
  <c r="AQ31" i="32"/>
  <c r="AT25" i="32"/>
  <c r="AS25" i="32"/>
  <c r="AR25" i="32"/>
  <c r="AQ25" i="32"/>
  <c r="AR166" i="32"/>
  <c r="AQ165" i="32"/>
  <c r="AS158" i="32"/>
  <c r="AR158" i="32"/>
  <c r="AQ158" i="32"/>
  <c r="AT124" i="32"/>
  <c r="AQ120" i="32"/>
  <c r="AR117" i="32"/>
  <c r="AT109" i="32"/>
  <c r="AS109" i="32"/>
  <c r="AQ109" i="32"/>
  <c r="AS103" i="32"/>
  <c r="AR103" i="32"/>
  <c r="AQ101" i="32"/>
  <c r="AS87" i="32"/>
  <c r="AQ87" i="32"/>
  <c r="AR81" i="32"/>
  <c r="AT78" i="32"/>
  <c r="AS78" i="32"/>
  <c r="AS72" i="32"/>
  <c r="AT61" i="32"/>
  <c r="AS61" i="32"/>
  <c r="AS58" i="32"/>
  <c r="AR58" i="32"/>
  <c r="AT54" i="32"/>
  <c r="AR54" i="32"/>
  <c r="AR38" i="32"/>
  <c r="AR32" i="32"/>
  <c r="AT28" i="32"/>
  <c r="AQ23" i="32"/>
  <c r="AT21" i="32"/>
  <c r="AS21" i="32"/>
  <c r="AS13" i="32"/>
  <c r="AR7" i="32"/>
  <c r="AR143" i="32"/>
  <c r="AQ128" i="32"/>
  <c r="AR119" i="32"/>
  <c r="AQ119" i="32"/>
  <c r="AT117" i="32"/>
  <c r="AT102" i="32"/>
  <c r="AR102" i="32"/>
  <c r="AQ102" i="32"/>
  <c r="AT93" i="32"/>
  <c r="AQ82" i="32"/>
  <c r="AQ78" i="32"/>
  <c r="AT69" i="32"/>
  <c r="AS69" i="32"/>
  <c r="AQ64" i="32"/>
  <c r="AS53" i="32"/>
  <c r="AR49" i="32"/>
  <c r="AT46" i="32"/>
  <c r="AT41" i="32"/>
  <c r="AS41" i="32"/>
  <c r="AQ41" i="32"/>
  <c r="AQ32" i="32"/>
  <c r="AT24" i="32"/>
  <c r="AR24" i="32"/>
  <c r="AS165" i="32"/>
  <c r="AQ160" i="32"/>
  <c r="AS142" i="32"/>
  <c r="AR142" i="32"/>
  <c r="AQ142" i="32"/>
  <c r="AT70" i="32"/>
  <c r="AT65" i="32"/>
  <c r="AS57" i="32"/>
  <c r="AR47" i="32"/>
  <c r="AT36" i="32"/>
  <c r="AT13" i="32"/>
  <c r="AT8" i="32"/>
  <c r="AQ166" i="32"/>
  <c r="AQ136" i="32"/>
  <c r="AT118" i="32"/>
  <c r="AS118" i="32"/>
  <c r="AT110" i="32"/>
  <c r="AR110" i="32"/>
  <c r="AS102" i="32"/>
  <c r="AS73" i="32"/>
  <c r="AS66" i="32"/>
  <c r="AQ66" i="32"/>
  <c r="AT64" i="32"/>
  <c r="AR56" i="32"/>
  <c r="AQ47" i="32"/>
  <c r="AR41" i="32"/>
  <c r="AT38" i="32"/>
  <c r="AQ170" i="32"/>
  <c r="AR170" i="32"/>
  <c r="AS170" i="32"/>
  <c r="AT170" i="32"/>
  <c r="T15" i="54"/>
  <c r="E95" i="54"/>
  <c r="G74" i="54"/>
  <c r="C50" i="54"/>
  <c r="AT3" i="32"/>
  <c r="AS4" i="32"/>
  <c r="AR5" i="32"/>
  <c r="AT11" i="32"/>
  <c r="AS12" i="32"/>
  <c r="AR13" i="32"/>
  <c r="AT19" i="32"/>
  <c r="AS20" i="32"/>
  <c r="AR21" i="32"/>
  <c r="AT27" i="32"/>
  <c r="AS28" i="32"/>
  <c r="AR29" i="32"/>
  <c r="AT35" i="32"/>
  <c r="AS36" i="32"/>
  <c r="AR37" i="32"/>
  <c r="AT43" i="32"/>
  <c r="AS44" i="32"/>
  <c r="AR45" i="32"/>
  <c r="AT51" i="32"/>
  <c r="AS52" i="32"/>
  <c r="AR53" i="32"/>
  <c r="AT59" i="32"/>
  <c r="AS60" i="32"/>
  <c r="AR61" i="32"/>
  <c r="AT67" i="32"/>
  <c r="AS68" i="32"/>
  <c r="AR69" i="32"/>
  <c r="AT75" i="32"/>
  <c r="AS76" i="32"/>
  <c r="AR77" i="32"/>
  <c r="AT83" i="32"/>
  <c r="AS84" i="32"/>
  <c r="AR85" i="32"/>
  <c r="AT91" i="32"/>
  <c r="AS92" i="32"/>
  <c r="AR93" i="32"/>
  <c r="AT99" i="32"/>
  <c r="AS100" i="32"/>
  <c r="AT107" i="32"/>
  <c r="AS108" i="32"/>
  <c r="AT115" i="32"/>
  <c r="AS116" i="32"/>
  <c r="AT123" i="32"/>
  <c r="AS124" i="32"/>
  <c r="AT131" i="32"/>
  <c r="AS132" i="32"/>
  <c r="AT139" i="32"/>
  <c r="AS140" i="32"/>
  <c r="AT147" i="32"/>
  <c r="AS148" i="32"/>
  <c r="AT155" i="32"/>
  <c r="AS156" i="32"/>
  <c r="AT163" i="32"/>
  <c r="D61" i="54"/>
  <c r="G95" i="54"/>
  <c r="T28" i="54"/>
  <c r="T36" i="54"/>
  <c r="E61" i="54"/>
  <c r="L61" i="54"/>
  <c r="C106" i="54"/>
  <c r="AS7" i="32"/>
  <c r="AS15" i="32"/>
  <c r="AS23" i="32"/>
  <c r="AS31" i="32"/>
  <c r="AS39" i="32"/>
  <c r="AS47" i="32"/>
  <c r="AS55" i="32"/>
  <c r="AS63" i="32"/>
  <c r="AQ113" i="32"/>
  <c r="AS119" i="32"/>
  <c r="AQ121" i="32"/>
  <c r="AS127" i="32"/>
  <c r="AR128" i="32"/>
  <c r="AQ129" i="32"/>
  <c r="AS135" i="32"/>
  <c r="AR136" i="32"/>
  <c r="AQ137" i="32"/>
  <c r="AS143" i="32"/>
  <c r="AR144" i="32"/>
  <c r="AQ145" i="32"/>
  <c r="AS151" i="32"/>
  <c r="AR152" i="32"/>
  <c r="AQ153" i="32"/>
  <c r="AS159" i="32"/>
  <c r="AR160" i="32"/>
  <c r="AQ161" i="32"/>
  <c r="AS167" i="32"/>
  <c r="AR168" i="32"/>
  <c r="AQ169" i="32"/>
  <c r="T38" i="54"/>
  <c r="F61" i="54"/>
  <c r="D106" i="54"/>
  <c r="C74" i="54"/>
  <c r="AQ90" i="32"/>
  <c r="AS96" i="32"/>
  <c r="AR97" i="32"/>
  <c r="AQ98" i="32"/>
  <c r="AS104" i="32"/>
  <c r="AR105" i="32"/>
  <c r="AQ106" i="32"/>
  <c r="AS112" i="32"/>
  <c r="AR113" i="32"/>
  <c r="AQ114" i="32"/>
  <c r="AS120" i="32"/>
  <c r="AR121" i="32"/>
  <c r="AQ122" i="32"/>
  <c r="AS128" i="32"/>
  <c r="AR129" i="32"/>
  <c r="AQ130" i="32"/>
  <c r="AS136" i="32"/>
  <c r="AR137" i="32"/>
  <c r="AQ138" i="32"/>
  <c r="AS144" i="32"/>
  <c r="AR145" i="32"/>
  <c r="AQ146" i="32"/>
  <c r="AS152" i="32"/>
  <c r="AR153" i="32"/>
  <c r="AQ154" i="32"/>
  <c r="AS160" i="32"/>
  <c r="AR161" i="32"/>
  <c r="AQ162" i="32"/>
  <c r="AS168" i="32"/>
  <c r="AR169" i="32"/>
  <c r="G61" i="54"/>
  <c r="E106" i="54"/>
  <c r="D74" i="54"/>
  <c r="AQ3" i="32"/>
  <c r="AQ11" i="32"/>
  <c r="AQ19" i="32"/>
  <c r="AQ27" i="32"/>
  <c r="AQ35" i="32"/>
  <c r="AQ43" i="32"/>
  <c r="AQ51" i="32"/>
  <c r="AQ59" i="32"/>
  <c r="AQ67" i="32"/>
  <c r="AQ75" i="32"/>
  <c r="AQ83" i="32"/>
  <c r="AQ91" i="32"/>
  <c r="AS97" i="32"/>
  <c r="AR98" i="32"/>
  <c r="AQ99" i="32"/>
  <c r="AS105" i="32"/>
  <c r="AR106" i="32"/>
  <c r="AQ107" i="32"/>
  <c r="AS113" i="32"/>
  <c r="AR114" i="32"/>
  <c r="AQ115" i="32"/>
  <c r="AS121" i="32"/>
  <c r="AR122" i="32"/>
  <c r="AQ123" i="32"/>
  <c r="AS129" i="32"/>
  <c r="AR130" i="32"/>
  <c r="AQ131" i="32"/>
  <c r="AS137" i="32"/>
  <c r="AR138" i="32"/>
  <c r="AQ139" i="32"/>
  <c r="AS145" i="32"/>
  <c r="AR146" i="32"/>
  <c r="AQ147" i="32"/>
  <c r="AS153" i="32"/>
  <c r="AR154" i="32"/>
  <c r="AQ155" i="32"/>
  <c r="AS161" i="32"/>
  <c r="AR162" i="32"/>
  <c r="AQ163" i="32"/>
  <c r="AS169" i="32"/>
  <c r="X23" i="54"/>
  <c r="L86" i="54"/>
  <c r="F106" i="54"/>
  <c r="C95" i="54"/>
  <c r="L74" i="54"/>
  <c r="E74" i="54"/>
  <c r="AR3" i="32"/>
  <c r="AQ4" i="32"/>
  <c r="AR11" i="32"/>
  <c r="AQ12" i="32"/>
  <c r="AR19" i="32"/>
  <c r="AQ20" i="32"/>
  <c r="AR27" i="32"/>
  <c r="AQ28" i="32"/>
  <c r="AR35" i="32"/>
  <c r="AQ36" i="32"/>
  <c r="AR43" i="32"/>
  <c r="AQ44" i="32"/>
  <c r="AR51" i="32"/>
  <c r="AQ52" i="32"/>
  <c r="AR59" i="32"/>
  <c r="AQ60" i="32"/>
  <c r="AR67" i="32"/>
  <c r="AQ68" i="32"/>
  <c r="AR75" i="32"/>
  <c r="AQ76" i="32"/>
  <c r="AS82" i="32"/>
  <c r="AR83" i="32"/>
  <c r="AQ84" i="32"/>
  <c r="AS90" i="32"/>
  <c r="AR91" i="32"/>
  <c r="AQ92" i="32"/>
  <c r="AS98" i="32"/>
  <c r="AR99" i="32"/>
  <c r="AQ100" i="32"/>
  <c r="AS106" i="32"/>
  <c r="AR107" i="32"/>
  <c r="AQ108" i="32"/>
  <c r="AS114" i="32"/>
  <c r="AR115" i="32"/>
  <c r="AQ116" i="32"/>
  <c r="AS122" i="32"/>
  <c r="AR123" i="32"/>
  <c r="AQ124" i="32"/>
  <c r="AS130" i="32"/>
  <c r="AR131" i="32"/>
  <c r="AQ132" i="32"/>
  <c r="AS138" i="32"/>
  <c r="AR139" i="32"/>
  <c r="AQ140" i="32"/>
  <c r="AS146" i="32"/>
  <c r="AR147" i="32"/>
  <c r="AQ148" i="32"/>
  <c r="AS154" i="32"/>
  <c r="AR155" i="32"/>
  <c r="AQ156" i="32"/>
  <c r="AS162" i="32"/>
  <c r="AR163" i="32"/>
  <c r="X24" i="54"/>
  <c r="L92" i="54"/>
  <c r="L95" i="54"/>
  <c r="G47" i="54"/>
  <c r="L104" i="54"/>
  <c r="T37" i="54"/>
  <c r="C47" i="54"/>
  <c r="D47" i="54"/>
  <c r="E47" i="54"/>
  <c r="F47" i="54"/>
  <c r="AQ2" i="32"/>
  <c r="AR2" i="32"/>
  <c r="AS2" i="32"/>
  <c r="H110" i="54"/>
  <c r="H109" i="54"/>
  <c r="K2" i="49" a="1"/>
  <c r="AM2" i="32"/>
  <c r="AN2" i="32"/>
  <c r="F2" i="49" a="1"/>
  <c r="C67" i="54" l="1"/>
  <c r="L68" i="54"/>
  <c r="C68" i="54"/>
  <c r="D67" i="54"/>
  <c r="C66" i="54"/>
  <c r="F66" i="54"/>
  <c r="L111" i="54"/>
  <c r="E66" i="54"/>
  <c r="F68" i="54"/>
  <c r="G68" i="54"/>
  <c r="D68" i="54"/>
  <c r="D66" i="54"/>
  <c r="E67" i="54"/>
  <c r="G67" i="54"/>
  <c r="G66" i="54"/>
  <c r="E68" i="54"/>
  <c r="L66" i="54"/>
  <c r="L67" i="54"/>
  <c r="F67" i="54"/>
  <c r="F86" i="54"/>
  <c r="E86" i="54"/>
  <c r="G92" i="54"/>
  <c r="D86" i="54"/>
  <c r="F92" i="54"/>
  <c r="C92" i="54"/>
  <c r="E92" i="54"/>
  <c r="D92" i="54"/>
  <c r="C86" i="54"/>
  <c r="G86" i="54"/>
  <c r="H47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AA20" i="49"/>
  <c r="K2" i="49"/>
  <c r="F2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<sst xmlns="http://schemas.openxmlformats.org/spreadsheetml/2006/main" count="4047" uniqueCount="738">
  <si>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</si>
  <si>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</si>
  <si>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</si>
  <si>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</si>
  <si>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</si>
  <si>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</si>
  <si>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</si>
  <si>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</si>
  <si>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</si>
  <si>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</si>
  <si>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</si>
  <si>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</si>
  <si>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</si>
  <si>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</si>
  <si>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</si>
  <si>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</si>
  <si>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</si>
  <si>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</si>
  <si>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</si>
  <si>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</si>
  <si>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</si>
  <si>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</si>
  <si>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</si>
  <si>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</si>
  <si>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</si>
  <si>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</si>
  <si>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</si>
  <si>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</si>
  <si>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</si>
  <si>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</si>
  <si>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</si>
  <si>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</si>
  <si>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</si>
  <si>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</si>
  <si>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</si>
  <si>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</si>
  <si>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</si>
  <si>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</si>
  <si>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</si>
  <si>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</si>
  <si>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</si>
  <si>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</si>
  <si>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</si>
  <si>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</si>
  <si>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</si>
  <si>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</si>
  <si>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</si>
  <si>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</si>
  <si>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Navegação </t>
  </si>
  <si>
    <t>Captado pela Amil/Call Center</t>
  </si>
  <si>
    <t>EDSON YOSHITACA TOYODA</t>
  </si>
  <si>
    <t>M</t>
  </si>
  <si>
    <t>SP</t>
  </si>
  <si>
    <t>NÍVEL 100</t>
  </si>
  <si>
    <t>(11)994260459</t>
  </si>
  <si>
    <t>Gabriela</t>
  </si>
  <si>
    <t>5. Alta por inelegibilidade</t>
  </si>
  <si>
    <t>Contato Com Sucesso</t>
  </si>
  <si>
    <t>Fora da Linha</t>
  </si>
  <si>
    <t>FORA DO ESCOPO</t>
  </si>
  <si>
    <t>Agendada</t>
  </si>
  <si>
    <t>Realizada</t>
  </si>
  <si>
    <t xml:space="preserve">Sim </t>
  </si>
  <si>
    <t>Desflagado</t>
  </si>
  <si>
    <t>Pós-IAM</t>
  </si>
  <si>
    <t>Não</t>
  </si>
  <si>
    <t>Transbordo/Navegação</t>
  </si>
  <si>
    <t>RICARDO POLATO</t>
  </si>
  <si>
    <t>NÍVEL 40</t>
  </si>
  <si>
    <t>(11)992097627</t>
  </si>
  <si>
    <t>1. Aceitou o programa</t>
  </si>
  <si>
    <t>Ativo</t>
  </si>
  <si>
    <t>Não se aplica</t>
  </si>
  <si>
    <t xml:space="preserve">Média </t>
  </si>
  <si>
    <t>Não Informou</t>
  </si>
  <si>
    <t>Confirmado</t>
  </si>
  <si>
    <t>ZENAIDE ALMEIDA DA COSTA</t>
  </si>
  <si>
    <t>F</t>
  </si>
  <si>
    <t xml:space="preserve">RJ </t>
  </si>
  <si>
    <t>NÍVEL 50</t>
  </si>
  <si>
    <t>(21)965111556</t>
  </si>
  <si>
    <t>Amil Espaço Saúde - Tijuca </t>
  </si>
  <si>
    <t>CILEA DA SILVA</t>
  </si>
  <si>
    <t>NÍVEL 60</t>
  </si>
  <si>
    <t>(24)981742559</t>
  </si>
  <si>
    <t xml:space="preserve">Baixa </t>
  </si>
  <si>
    <t>FRANCISCA NEIDE DA SILVA</t>
  </si>
  <si>
    <t>(21)994398421</t>
  </si>
  <si>
    <t>DANIELA NASCIMENTO DE OLIVEIRA</t>
  </si>
  <si>
    <t>(11)960798803</t>
  </si>
  <si>
    <t>Amil Espaço Saúde - Guarulhos</t>
  </si>
  <si>
    <t>ROSEMERY MARIA DANTAS DA SILVA</t>
  </si>
  <si>
    <t>NÍVEL 200</t>
  </si>
  <si>
    <t>(11)959996060</t>
  </si>
  <si>
    <t>MARIA APARECIDA MARTINS</t>
  </si>
  <si>
    <t>NÍVEL 600</t>
  </si>
  <si>
    <t>(11)993577252</t>
  </si>
  <si>
    <t>Amil - Ud Cubatão Sp - Hospital Da Luz </t>
  </si>
  <si>
    <t>ROSIMERI BRAL DOS SANTOS PEREIRA</t>
  </si>
  <si>
    <t>(21)964982469</t>
  </si>
  <si>
    <t>Interno - Amil Geral</t>
  </si>
  <si>
    <t>LUCIANO ALVES MOREIRA</t>
  </si>
  <si>
    <t>(11)979993774</t>
  </si>
  <si>
    <t>MONICA REGINA MARQUES BORGHETI</t>
  </si>
  <si>
    <t>NÍVEL 110</t>
  </si>
  <si>
    <t>(11)931510706</t>
  </si>
  <si>
    <t>WALDEMAR VIANNA</t>
  </si>
  <si>
    <t>NÍVEL 300</t>
  </si>
  <si>
    <t>(21)993062227</t>
  </si>
  <si>
    <t>Hellen</t>
  </si>
  <si>
    <t xml:space="preserve">Não realizada - Falta </t>
  </si>
  <si>
    <t>ALEXSANDRE DE PAULA GUIMARAES</t>
  </si>
  <si>
    <t>(21)997156604</t>
  </si>
  <si>
    <t>EDUARDO ARAUJO DE JESUS</t>
  </si>
  <si>
    <t>NÍVEL 80</t>
  </si>
  <si>
    <t>(11)997620775</t>
  </si>
  <si>
    <t>JORGE TERZI</t>
  </si>
  <si>
    <t>(11)989843772</t>
  </si>
  <si>
    <t>Não realizada - Reagendada</t>
  </si>
  <si>
    <t>ANTONIO JOSE PEREIRA DE JESUS</t>
  </si>
  <si>
    <t>(21)996496184</t>
  </si>
  <si>
    <t>JOSE ANTONIO DIAS CAMARGO</t>
  </si>
  <si>
    <t>(11)982970700</t>
  </si>
  <si>
    <t>ROSEMARY MOURA DO NASCIMENTO</t>
  </si>
  <si>
    <t>(21)964844886</t>
  </si>
  <si>
    <t>THEODOMIRO CAMPOS CARDOSO</t>
  </si>
  <si>
    <t>NÍVEL 380</t>
  </si>
  <si>
    <t>(21)964945889</t>
  </si>
  <si>
    <t>ILDOMAR CLAUDIO SANTOS MARTINS</t>
  </si>
  <si>
    <t>NÍVEL 120</t>
  </si>
  <si>
    <t>(21)992301062</t>
  </si>
  <si>
    <t>WAGNER DA CONCEICAO SILVA</t>
  </si>
  <si>
    <t>NÍVEL 75</t>
  </si>
  <si>
    <t>(21)977358514</t>
  </si>
  <si>
    <t>CLEUSA MACHADO AMORIM DE OLIVEIRA</t>
  </si>
  <si>
    <t>(11)993952904</t>
  </si>
  <si>
    <t>6. Contato sem sucesso</t>
  </si>
  <si>
    <t>MARIA APARECIDA</t>
  </si>
  <si>
    <t>(11)994767598</t>
  </si>
  <si>
    <t>MARCO ANTONIO BORGHI</t>
  </si>
  <si>
    <t>(11)998028730</t>
  </si>
  <si>
    <t>ANTONIO CLAUDIO ARAUJO DA SILVA</t>
  </si>
  <si>
    <t>(11)987270361</t>
  </si>
  <si>
    <t>MAURICIO REGASSI</t>
  </si>
  <si>
    <t>(11)985839922</t>
  </si>
  <si>
    <t>JOSE DA PAZ COSTA DE MIRANDA</t>
  </si>
  <si>
    <t>NÍVEL 750</t>
  </si>
  <si>
    <t>(11)992989955</t>
  </si>
  <si>
    <t>MARCOS AURELIO GOMES</t>
  </si>
  <si>
    <t>(11)999647777</t>
  </si>
  <si>
    <t>IRENE DIAS DE BARROS NUNES</t>
  </si>
  <si>
    <t>NÍVEL 400</t>
  </si>
  <si>
    <t>(11)991879333</t>
  </si>
  <si>
    <t>CLARA MARIA PIMENTA GONCALVES</t>
  </si>
  <si>
    <t>(11)994250562</t>
  </si>
  <si>
    <t>MAURO PINHEIRO</t>
  </si>
  <si>
    <t>(21)970019479</t>
  </si>
  <si>
    <t>WALTAIR BARBOSA FILHO</t>
  </si>
  <si>
    <t>(21)982438385</t>
  </si>
  <si>
    <t>ALEILSON BARBOSA DE SOUZA</t>
  </si>
  <si>
    <t>(21)974117449</t>
  </si>
  <si>
    <t>REINALDO DOS REIS RIBEIRO</t>
  </si>
  <si>
    <t>(21)988885643</t>
  </si>
  <si>
    <t>WALACE MARCIUS SILVA DO VALLE</t>
  </si>
  <si>
    <t>NÍVEL 580</t>
  </si>
  <si>
    <t>(21)999239448</t>
  </si>
  <si>
    <t>LUIZ SERGIO FERNANDES ALVES</t>
  </si>
  <si>
    <t>(21)998441948</t>
  </si>
  <si>
    <t>JORGE JOSE CARNEIRO</t>
  </si>
  <si>
    <t>(21)981613034</t>
  </si>
  <si>
    <t>CHARLES BATISTA DE LIMA</t>
  </si>
  <si>
    <t>(21)996950046</t>
  </si>
  <si>
    <t>MANOEL ANTONIO AMARAL MARQUES</t>
  </si>
  <si>
    <t>(21)985500659</t>
  </si>
  <si>
    <t>PAULO CESAR DA SILVA PESSOA</t>
  </si>
  <si>
    <t>(21)964071335</t>
  </si>
  <si>
    <t>HERVAL MARQUES DE PAIVA JUNIOR</t>
  </si>
  <si>
    <t>(21)993227626</t>
  </si>
  <si>
    <t>JENNIFER LOPEZ FLORENCIO DE LIMA</t>
  </si>
  <si>
    <t>NÍVEL 450</t>
  </si>
  <si>
    <t>(21)987503098</t>
  </si>
  <si>
    <t>ALEXANDRE TAVARES DO NASCIMENTO</t>
  </si>
  <si>
    <t>(21)964145128</t>
  </si>
  <si>
    <t>Contato Sem Sucesso</t>
  </si>
  <si>
    <t>MARIA DA CONCEICAO MACHADO</t>
  </si>
  <si>
    <t>(21)999373735</t>
  </si>
  <si>
    <t>PAULO ROBERTO FERREIRA FRANCA</t>
  </si>
  <si>
    <t>(21)992688465</t>
  </si>
  <si>
    <t>JOEL ALVES DE OLIVEIRA</t>
  </si>
  <si>
    <t>(11)967272446</t>
  </si>
  <si>
    <t>MARCOS EDUARDO CHARRET</t>
  </si>
  <si>
    <t>(21)992055586</t>
  </si>
  <si>
    <t>DEISE DA SILVA NUNES GOMES</t>
  </si>
  <si>
    <t>(21)996735729</t>
  </si>
  <si>
    <t>HERBERT TORREAO DE SOUSA NETO</t>
  </si>
  <si>
    <t>(21)964293704</t>
  </si>
  <si>
    <t>MARCELO GLIOSCI NUNES DA ROCHA</t>
  </si>
  <si>
    <t>(21)999941361</t>
  </si>
  <si>
    <t>NILDA REGINA MAGRO</t>
  </si>
  <si>
    <t>(11)947462759</t>
  </si>
  <si>
    <t>ARY ALVES DE AZEVEDO</t>
  </si>
  <si>
    <t>(11)977432192</t>
  </si>
  <si>
    <t>TERUO MAEKAWA</t>
  </si>
  <si>
    <t>(11)950383300</t>
  </si>
  <si>
    <t>LUIZ FERNANDO DE PAULA</t>
  </si>
  <si>
    <t>(21)998659257</t>
  </si>
  <si>
    <t>LUIZ ANTONIO SALVADOR</t>
  </si>
  <si>
    <t>(21)964148896</t>
  </si>
  <si>
    <t>RENATO PRETEL INOCENTE</t>
  </si>
  <si>
    <t>(11)977189701</t>
  </si>
  <si>
    <t>ISAC DE OLIVEIRA</t>
  </si>
  <si>
    <t>(21)964679641</t>
  </si>
  <si>
    <t>FREDERICO MAURO DE AMORIM</t>
  </si>
  <si>
    <t>(21)980053809</t>
  </si>
  <si>
    <t>BRUNO COELHO MELO</t>
  </si>
  <si>
    <t>(21)995401338</t>
  </si>
  <si>
    <t>MASAHARU YOSHIZAKI</t>
  </si>
  <si>
    <t>(11)971148570</t>
  </si>
  <si>
    <t>PAULO SERGIO RICARDO</t>
  </si>
  <si>
    <t>(11)976354918</t>
  </si>
  <si>
    <t>Amil Espaço Saúde - Tatuapé</t>
  </si>
  <si>
    <t>MARIA DO CARMO DE JESUS DE LIMA</t>
  </si>
  <si>
    <t>(11)983040991</t>
  </si>
  <si>
    <t>Amil Espaço Saúde - Santo Amaro</t>
  </si>
  <si>
    <t>MARCELO PINHEIRO DOS SANTOS</t>
  </si>
  <si>
    <t>(21)994467493</t>
  </si>
  <si>
    <t>JOSEMAR ARAUJO DOS SANTOS</t>
  </si>
  <si>
    <t>(11)986224814</t>
  </si>
  <si>
    <t>LEANDRO DA COSTA GARCIA</t>
  </si>
  <si>
    <t>(11)986121776</t>
  </si>
  <si>
    <t>TIMOTEO DAMASIO BELOTI</t>
  </si>
  <si>
    <t>(11)991957886</t>
  </si>
  <si>
    <t>ANDERSON FONSECA CASTORINO</t>
  </si>
  <si>
    <t>(21)964121655</t>
  </si>
  <si>
    <t>MARCOS MINORU YCIMARU</t>
  </si>
  <si>
    <t>(11)982518789</t>
  </si>
  <si>
    <t>Negativo</t>
  </si>
  <si>
    <t>VICENTE CARLOS PINTO PRATES</t>
  </si>
  <si>
    <t>(11)941837827</t>
  </si>
  <si>
    <t>JOSE DE ARAUJO</t>
  </si>
  <si>
    <t>(11)996214117</t>
  </si>
  <si>
    <t>MARIA DO SOCORRO DE MEDEIROS</t>
  </si>
  <si>
    <t>(11)986454568</t>
  </si>
  <si>
    <t>ANDREA DE TOLEDO CORREIA</t>
  </si>
  <si>
    <t>(11)970509403</t>
  </si>
  <si>
    <t>REINALDO TEIXEIRA DE AGUIAR FILHO</t>
  </si>
  <si>
    <t>(11)996029686</t>
  </si>
  <si>
    <t>DANIELA RODRIGUES RAMOS</t>
  </si>
  <si>
    <t>(21)964703480</t>
  </si>
  <si>
    <t>ANIVALDO PEREIRA SOARES</t>
  </si>
  <si>
    <t>(11)943488104</t>
  </si>
  <si>
    <t>ELZA MARIA DA SILVA DE LIMA</t>
  </si>
  <si>
    <t>(21)-985089690</t>
  </si>
  <si>
    <t>FERNANDO JULIO DA SILVA JUNIOR</t>
  </si>
  <si>
    <t>(11)948708842</t>
  </si>
  <si>
    <t>JOEL MOREIRA BARBOSA</t>
  </si>
  <si>
    <t>(21)974029593</t>
  </si>
  <si>
    <t>JOSE EDUARDO ALVIM CANELLAS</t>
  </si>
  <si>
    <t>NÍVEL 500</t>
  </si>
  <si>
    <t>(21)988686716 2121074405</t>
  </si>
  <si>
    <t>GEORGINO VIEIRA</t>
  </si>
  <si>
    <t>(11)28066496</t>
  </si>
  <si>
    <t>LEVY DE CASTRO</t>
  </si>
  <si>
    <t>(11)981616620</t>
  </si>
  <si>
    <t>THAINA DOS SANTOS NASCIMENTO</t>
  </si>
  <si>
    <t>(11)957578129</t>
  </si>
  <si>
    <t>MARLEIDE GOMES MARINHO FURTADO</t>
  </si>
  <si>
    <t>(21) 970211393   (31)992340550</t>
  </si>
  <si>
    <t>VALMAR VIEIRA DA LUZ</t>
  </si>
  <si>
    <t>(21)998965394</t>
  </si>
  <si>
    <t>ALEDIO PALADINO FILHO</t>
  </si>
  <si>
    <t>RJ</t>
  </si>
  <si>
    <t>SAO JOAO DE MERITI</t>
  </si>
  <si>
    <t>21-996376430</t>
  </si>
  <si>
    <t>AMADOR AFONSO PALHARES</t>
  </si>
  <si>
    <t>SAO PAULO</t>
  </si>
  <si>
    <t>11-985382780</t>
  </si>
  <si>
    <t>CARLOS ALBERTO CARVAJAL CARRASCO</t>
  </si>
  <si>
    <t>TABOAO DA SERRA</t>
  </si>
  <si>
    <t>11-970305169</t>
  </si>
  <si>
    <t>ANDRE LUIZ PORCIONATO</t>
  </si>
  <si>
    <t>11-980208666</t>
  </si>
  <si>
    <t>CAZUMI JOSE HIRATA</t>
  </si>
  <si>
    <t>11-995061936</t>
  </si>
  <si>
    <t>ANTONIO NOBUO MURAKAMI</t>
  </si>
  <si>
    <t>14-997402876</t>
  </si>
  <si>
    <t>CARMEM MARIA DOS SANTOS</t>
  </si>
  <si>
    <t>11-931465716</t>
  </si>
  <si>
    <t>CELSO GONCALVES</t>
  </si>
  <si>
    <t>11-945915733</t>
  </si>
  <si>
    <t>ARIOSVALDO GASTON DA SILVA</t>
  </si>
  <si>
    <t>11-953641926</t>
  </si>
  <si>
    <t>ANTONIO LOPES DE CARVALHO</t>
  </si>
  <si>
    <t>RIO DE JANEIRO</t>
  </si>
  <si>
    <t>21-999890252</t>
  </si>
  <si>
    <t>ANTONIO GUILHERME MOTA BRITTES</t>
  </si>
  <si>
    <t>21-999823151</t>
  </si>
  <si>
    <t>APARECIDA IMACULADA ELIDIO</t>
  </si>
  <si>
    <t>ITAPECERICA DA SERRA</t>
  </si>
  <si>
    <t>11-994005066</t>
  </si>
  <si>
    <t>ALZIRA AMARAL DE CASTRO PEREIRA</t>
  </si>
  <si>
    <t>11-940773163</t>
  </si>
  <si>
    <t>ANTONIO FERREIRA LAURINDO</t>
  </si>
  <si>
    <t>11-51519427</t>
  </si>
  <si>
    <t>ALICE YAMADA JINBARA</t>
  </si>
  <si>
    <t>11-996522032</t>
  </si>
  <si>
    <t>ANTONIO CARLOS FELCHI</t>
  </si>
  <si>
    <t>11-989229457</t>
  </si>
  <si>
    <t>ANTONIO MOACIR MILANI</t>
  </si>
  <si>
    <t>11-988371200</t>
  </si>
  <si>
    <t>ANTONIO RIBEIRO FILHO</t>
  </si>
  <si>
    <t>11-92721845</t>
  </si>
  <si>
    <t>ALZIRA LEITE</t>
  </si>
  <si>
    <t>11-952037071</t>
  </si>
  <si>
    <t>CARMEN MARTINS LOPES NARCIZO</t>
  </si>
  <si>
    <t>11-981886045</t>
  </si>
  <si>
    <t>CARMELA RICETTI BARBOSA DE OLIVEIRA</t>
  </si>
  <si>
    <t>11-999096843</t>
  </si>
  <si>
    <t>ANTONIO MESSIAS DE MORAIS</t>
  </si>
  <si>
    <t>11-996631573</t>
  </si>
  <si>
    <t>ADALECIA ANCELMO FERREIRA</t>
  </si>
  <si>
    <t>PRAIA GRANDE</t>
  </si>
  <si>
    <t>11-998697406</t>
  </si>
  <si>
    <t>ANTONIO FERREIRA SAMPAIO</t>
  </si>
  <si>
    <t>11-967398987</t>
  </si>
  <si>
    <t>ANTONIO CARLOS BATTAGLINI</t>
  </si>
  <si>
    <t>11-99399-9506</t>
  </si>
  <si>
    <t>ALESSANDRO PALENCIANO</t>
  </si>
  <si>
    <t>GUARULHOS</t>
  </si>
  <si>
    <t>11-977932103</t>
  </si>
  <si>
    <t>ADILSON PINTO DE ABREU MACEDO</t>
  </si>
  <si>
    <t>21-99678-9248</t>
  </si>
  <si>
    <t>ANTONIO AFONSO DO CARMO</t>
  </si>
  <si>
    <t>11-970824281</t>
  </si>
  <si>
    <t>APARECIDA MATEUS DOS SANTOS</t>
  </si>
  <si>
    <t>SAO SEBASTIAO</t>
  </si>
  <si>
    <t>12-996132048</t>
  </si>
  <si>
    <t>ANGELO CELSO BRANDAO</t>
  </si>
  <si>
    <t>11-992947820</t>
  </si>
  <si>
    <t>ANA MARIA PEREIRA DE OLIVEIRA</t>
  </si>
  <si>
    <t>21-998922992</t>
  </si>
  <si>
    <t>CILEIDE REGLE RAPOUZO</t>
  </si>
  <si>
    <t>DUQUE DE CAXIAS</t>
  </si>
  <si>
    <t>21-991792750</t>
  </si>
  <si>
    <t>ANTONIO DE ANDRADE SANTOS</t>
  </si>
  <si>
    <t>11-998024274</t>
  </si>
  <si>
    <t>ALAIDE MARIA DA SILVA</t>
  </si>
  <si>
    <t>11-952751350</t>
  </si>
  <si>
    <t>BEATRIZ DE LOURDES ESTEVES PINTO</t>
  </si>
  <si>
    <t>11-973430050</t>
  </si>
  <si>
    <t>ANTONIO CARLOS DA FONSECA</t>
  </si>
  <si>
    <t>11-960781116</t>
  </si>
  <si>
    <t>APARECIDA DAS NEVES NOBREGA</t>
  </si>
  <si>
    <t>11-992475757</t>
  </si>
  <si>
    <t>desconfia de fraude</t>
  </si>
  <si>
    <t>CARLOS ONHA</t>
  </si>
  <si>
    <t>11-997665492</t>
  </si>
  <si>
    <t>RICARDO FELIX ORTUNO</t>
  </si>
  <si>
    <t>7613483878</t>
  </si>
  <si>
    <t>FORA DO ESCOLPO</t>
  </si>
  <si>
    <t>CARLOS ALBERTO DOS SANTOS</t>
  </si>
  <si>
    <t>11-970482629</t>
  </si>
  <si>
    <t>fora do escopo</t>
  </si>
  <si>
    <t>RODRIGO APARECIDO TORRES</t>
  </si>
  <si>
    <t>32582776807</t>
  </si>
  <si>
    <t>11958794978 11958794978 1195879497 1195879497 11958794978</t>
  </si>
  <si>
    <t>MARCO ANTONIO MACHADO</t>
  </si>
  <si>
    <t>63331462853</t>
  </si>
  <si>
    <t>NARCISA BARBOSA SANXES</t>
  </si>
  <si>
    <t>29209459806</t>
  </si>
  <si>
    <t>1129511356 11962277322 11967753577</t>
  </si>
  <si>
    <t>IVONNE BATISTA CAVALCANTE MIRANDEZ</t>
  </si>
  <si>
    <t>28035001833</t>
  </si>
  <si>
    <t>11945346625 1141592465 11945346625 11966142461</t>
  </si>
  <si>
    <t>ELIEGE BARBOSA AZEVEDO OLIVEIRA</t>
  </si>
  <si>
    <t>34029092861</t>
  </si>
  <si>
    <t>11946114070 11946114070</t>
  </si>
  <si>
    <t xml:space="preserve">Alta </t>
  </si>
  <si>
    <t>Amil Paulistano</t>
  </si>
  <si>
    <t>GILBERTO FALCAO DE OLIVEIRA</t>
  </si>
  <si>
    <t>7346775880</t>
  </si>
  <si>
    <t>11999118814 11961841645</t>
  </si>
  <si>
    <t>Amil Espaço Saúde - Ana Rosa </t>
  </si>
  <si>
    <t>ADMILSON DOS SANTOS SILVA</t>
  </si>
  <si>
    <t>35450470835</t>
  </si>
  <si>
    <t>1192155437 11992155437 11992155437 1125974777 11992155437</t>
  </si>
  <si>
    <t>CARLOS ALBERTO DE OLIVEIRA SOUZA</t>
  </si>
  <si>
    <t>MAGE</t>
  </si>
  <si>
    <t>21-967794967</t>
  </si>
  <si>
    <t>Hospital Samaritano - Não Especificado</t>
  </si>
  <si>
    <t>ALMERINDA BAPTISTA PONTIROLLE</t>
  </si>
  <si>
    <t>11-940088539</t>
  </si>
  <si>
    <t>ATAIDE MOREIRA DE SOUZA</t>
  </si>
  <si>
    <t>11-948918371</t>
  </si>
  <si>
    <t>CARLOS GIACOMO BRENO CARBONE</t>
  </si>
  <si>
    <t>11-99996-4229</t>
  </si>
  <si>
    <t>ALZIRA SEVERINA DA CONCEICAO GONCALVES</t>
  </si>
  <si>
    <t>11-972179509</t>
  </si>
  <si>
    <t>ALAN BARREIRA DOS REIS</t>
  </si>
  <si>
    <t>11-985810351</t>
  </si>
  <si>
    <t>PEDRO FERNANDO VALENTE</t>
  </si>
  <si>
    <t>VILA PREL</t>
  </si>
  <si>
    <t>11993916655 1158197384 11991936366</t>
  </si>
  <si>
    <t>Forms Total Care</t>
  </si>
  <si>
    <t>GUILBERSON GIORGI NASCIMENTO CRUZ</t>
  </si>
  <si>
    <t>08524812761</t>
  </si>
  <si>
    <t>NOVA CAMPINAS</t>
  </si>
  <si>
    <t>21-974811846</t>
  </si>
  <si>
    <t>VALDICEA VIANA ABILIO</t>
  </si>
  <si>
    <t>GRAMACHO</t>
  </si>
  <si>
    <t>21-994776842</t>
  </si>
  <si>
    <t>MEDIA</t>
  </si>
  <si>
    <t>MARTHA DOS SANTOS LUCAS</t>
  </si>
  <si>
    <t>CARLOS ALBERTO MOREIRA</t>
  </si>
  <si>
    <t>PIRAJUSSARA</t>
  </si>
  <si>
    <t>CLEIMIDES APARECIDA DE OLIVEIRA SILVA</t>
  </si>
  <si>
    <t>NELSON ANTONIO DOS SANTOS</t>
  </si>
  <si>
    <t>BAIXA</t>
  </si>
  <si>
    <t>WALDYR GONCALVES BRAGA</t>
  </si>
  <si>
    <t>JOSE PEREIRA VIEIRA FILHO</t>
  </si>
  <si>
    <t>029.910.478-87</t>
  </si>
  <si>
    <t>CAMBUCI</t>
  </si>
  <si>
    <t>MARCIA DA SILVA JOAO</t>
  </si>
  <si>
    <t xml:space="preserve"> 084.275.468-74  </t>
  </si>
  <si>
    <t xml:space="preserve">LAUZANE PAULISTA </t>
  </si>
  <si>
    <t>JORGE SHIMIZU</t>
  </si>
  <si>
    <t>887.965.318-00</t>
  </si>
  <si>
    <t>LIBERDADE</t>
  </si>
  <si>
    <t>GUIOMAR FORMIGONI</t>
  </si>
  <si>
    <t>VILA DA SAUDE</t>
  </si>
  <si>
    <t>11992917977 11999043460</t>
  </si>
  <si>
    <t>MARCIA MARIA DA SILVA</t>
  </si>
  <si>
    <t>250.041.208-38</t>
  </si>
  <si>
    <t>SANDRA APARECIDA TUDISCO FERREIRA DA SILVA</t>
  </si>
  <si>
    <t>266.238.108-62</t>
  </si>
  <si>
    <t>ROGERIO FRANCO DE SA</t>
  </si>
  <si>
    <t>022.889.418-20</t>
  </si>
  <si>
    <t>EDSON DOMINGUES</t>
  </si>
  <si>
    <t xml:space="preserve">RIO DE JANEIRO </t>
  </si>
  <si>
    <t>21980805758 21976288326</t>
  </si>
  <si>
    <t>JOSEPH JULIO DOS SANTOS PEREIRA SILVA</t>
  </si>
  <si>
    <t>11957369446 11968020638 11957369446</t>
  </si>
  <si>
    <t>AILTON CARLOS FORTUNATO</t>
  </si>
  <si>
    <t>SANTA CRUZ</t>
  </si>
  <si>
    <t>21971653791 2135124313</t>
  </si>
  <si>
    <t>MARIA OLERINA CARACAS ALVES</t>
  </si>
  <si>
    <t>VILA ESPERANÇA</t>
  </si>
  <si>
    <t>11985129111 11985129111</t>
  </si>
  <si>
    <t>MIRTES BATISTA DA SILVA</t>
  </si>
  <si>
    <t>NOVA IGUAÇU</t>
  </si>
  <si>
    <t>PALHADA</t>
  </si>
  <si>
    <t>ROMILSON TAVARES LOPES</t>
  </si>
  <si>
    <t>AUREO ALEXSANDER GOMES SILVA</t>
  </si>
  <si>
    <t>CAMPO GRANDE</t>
  </si>
  <si>
    <t>OCTAVIANO RIBEIRO DIAS</t>
  </si>
  <si>
    <t>BELA VISTA</t>
  </si>
  <si>
    <t>21999716451 21999140195 21999716451</t>
  </si>
  <si>
    <t>7. Em fase de captação</t>
  </si>
  <si>
    <t>Inativo</t>
  </si>
  <si>
    <t>FRANCISCO LEITE SILVEIRA</t>
  </si>
  <si>
    <t>ROBERTO PEREIRA DA CONCEICAO</t>
  </si>
  <si>
    <t>695.992.548-72</t>
  </si>
  <si>
    <t xml:space="preserve">VILA IRENE </t>
  </si>
  <si>
    <t>GABRIEL CANDIDO TORRES AGOSTINI DA CRUZ</t>
  </si>
  <si>
    <t>SENADOR VASCONCELOS</t>
  </si>
  <si>
    <t>21972056109 21972056109</t>
  </si>
  <si>
    <t>TANIA REGINA APPOLINARIO DA CRUZ</t>
  </si>
  <si>
    <t>RICARDO DE MELO CALADO</t>
  </si>
  <si>
    <t>JARDIM ALMANARA</t>
  </si>
  <si>
    <t>11966065908 11993842105</t>
  </si>
  <si>
    <t>ROSELI FRANCO DE LIMA FIASCHI</t>
  </si>
  <si>
    <t>VILA CAMPO GRANDE</t>
  </si>
  <si>
    <t>11972522892 11999409362</t>
  </si>
  <si>
    <t>VALDIR ROSSI</t>
  </si>
  <si>
    <t>NAO INFORMADO</t>
  </si>
  <si>
    <t>MIRIAN SILVA DO PRADO</t>
  </si>
  <si>
    <t>JARDIM SANTA EDWIGES (GRAJAU)</t>
  </si>
  <si>
    <t>EDUARDO MENDONCA DE OLIVEIRA SILVA</t>
  </si>
  <si>
    <t>020.921.817-77</t>
  </si>
  <si>
    <t xml:space="preserve">TIJUCA </t>
  </si>
  <si>
    <t>MARIA VERISSIMO</t>
  </si>
  <si>
    <t>046.613.718-44</t>
  </si>
  <si>
    <t>PINHEIROS</t>
  </si>
  <si>
    <t>CLAUDIO REYMOND</t>
  </si>
  <si>
    <t>005.878.178-10</t>
  </si>
  <si>
    <t>JARDIM EXCELSIOR</t>
  </si>
  <si>
    <t>AUGUSTO LIMA DA SILVA</t>
  </si>
  <si>
    <t>067.980.213-44</t>
  </si>
  <si>
    <t>Navegação</t>
  </si>
  <si>
    <t>ELIANE NEVES LAMEIRO DE MIRANDA</t>
  </si>
  <si>
    <t>TAQUARA</t>
  </si>
  <si>
    <t>21999810546 21996398203</t>
  </si>
  <si>
    <t>Forms</t>
  </si>
  <si>
    <t>AIMEE APARECIDA CARDIM DE CARVALHO</t>
  </si>
  <si>
    <t>479.278.444-15</t>
  </si>
  <si>
    <t>rio de janeiro</t>
  </si>
  <si>
    <t>FREGUESIA (JACAREPAGUA)</t>
  </si>
  <si>
    <t>ricardo bento meneghini</t>
  </si>
  <si>
    <t>174.313.848-23</t>
  </si>
  <si>
    <t>ITAIM BIBI</t>
  </si>
  <si>
    <t>FRANCISCO JOSE DIB TEIXEIRA</t>
  </si>
  <si>
    <t>797.276.547-20</t>
  </si>
  <si>
    <t>ENCANTADO</t>
  </si>
  <si>
    <t>ANDRE FERREIRA DA CONCEICAO</t>
  </si>
  <si>
    <t>VILA INVERNADA</t>
  </si>
  <si>
    <t>11972686125 1120157743 11972686125</t>
  </si>
  <si>
    <t>JOSE RICARDO MARQUES CAMPEAN</t>
  </si>
  <si>
    <t>021.585.687-20</t>
  </si>
  <si>
    <t>FLAMENGO</t>
  </si>
  <si>
    <t>JOSE HELITON ANDRADE DIAS</t>
  </si>
  <si>
    <t>386.573.507-00</t>
  </si>
  <si>
    <t>JOSENILDO CLEMENTE DE LIMA</t>
  </si>
  <si>
    <t>034.372.064-78</t>
  </si>
  <si>
    <t>COPACABANA</t>
  </si>
  <si>
    <t>MARIA DIVINA CORREA ARAUJO</t>
  </si>
  <si>
    <t>008.348.147-81</t>
  </si>
  <si>
    <t>FRADE (CUNHAMBEBE)</t>
  </si>
  <si>
    <t>equipe cmdp</t>
  </si>
  <si>
    <t>ANTONIO DE PADUA SANTOS</t>
  </si>
  <si>
    <t>949.212.967-15</t>
  </si>
  <si>
    <t xml:space="preserve">BONSUCESSO </t>
  </si>
  <si>
    <t>ANDRE BARBOSA LIBORIO</t>
  </si>
  <si>
    <t>TURIAÇU</t>
  </si>
  <si>
    <t>ANTONIO AIRTON DE SOUSA</t>
  </si>
  <si>
    <t>346.264.093-34</t>
  </si>
  <si>
    <t>VILA NHOCUNE</t>
  </si>
  <si>
    <t>8. Não contactado</t>
  </si>
  <si>
    <t>PATRICIA CARMONA</t>
  </si>
  <si>
    <t>JAGUARE</t>
  </si>
  <si>
    <t>ROBERTO DOS SANTOS ARAUJO</t>
  </si>
  <si>
    <t>033.206.967-26</t>
  </si>
  <si>
    <t>(21) 966656975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</si>
  <si>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</si>
  <si>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</si>
  <si>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</si>
  <si>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</si>
  <si>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</si>
  <si>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</si>
  <si>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</si>
  <si>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</si>
  <si>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</si>
  <si>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</si>
  <si>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</si>
  <si>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</si>
  <si>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</si>
  <si>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</si>
  <si>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</si>
  <si>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</si>
  <si>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</si>
  <si>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</si>
  <si>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</si>
  <si>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</si>
  <si>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</si>
  <si>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</si>
  <si>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</si>
  <si>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</si>
  <si>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</si>
  <si>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</si>
  <si>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</si>
  <si>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</si>
  <si>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</si>
  <si>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</si>
  <si>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</si>
  <si>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</si>
  <si>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</si>
  <si>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</si>
  <si>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</si>
  <si>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</si>
  <si>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</si>
  <si>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</si>
  <si>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</si>
  <si>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</si>
  <si>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</si>
  <si>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Samaritano Higi</t>
  </si>
  <si>
    <t>COI -RJ</t>
  </si>
  <si>
    <t>Externo - Geral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</si>
  <si>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</si>
  <si>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</si>
  <si>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</si>
  <si>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</si>
  <si>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</si>
  <si>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</si>
  <si>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</si>
  <si>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</si>
  <si>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</si>
  <si>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</si>
  <si>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</si>
  <si>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Desistência</t>
  </si>
  <si>
    <t>Sem Preenchimento</t>
  </si>
  <si>
    <t>ORIGEM</t>
  </si>
  <si>
    <t>Casos Prioritário - E-mail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</si>
  <si>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</si>
  <si>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</si>
  <si>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</si>
  <si>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</si>
  <si>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</si>
  <si>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</si>
  <si>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</si>
  <si>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</si>
  <si>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</si>
  <si>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</si>
  <si>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</si>
  <si>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</si>
  <si>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</si>
  <si>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</si>
  <si>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</si>
  <si>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</si>
  <si>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</si>
  <si>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</si>
  <si>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</si>
  <si>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</si>
  <si>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NA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</si>
  <si>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</si>
  <si>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</si>
  <si>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</si>
  <si>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</si>
  <si>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</si>
  <si>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</si>
  <si>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</si>
  <si>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</si>
  <si>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</si>
  <si>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</si>
  <si>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</si>
  <si>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</si>
  <si>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</si>
  <si>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</si>
  <si>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</si>
  <si>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</si>
  <si>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</si>
  <si>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</si>
  <si>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</si>
  <si>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</si>
  <si>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</si>
  <si>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</si>
  <si>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</si>
  <si>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</si>
  <si>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</si>
  <si>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</si>
  <si>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</si>
  <si>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</si>
  <si>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</si>
  <si>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</si>
  <si>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</si>
  <si>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</si>
  <si>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</si>
  <si>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</si>
  <si>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</si>
  <si>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</si>
  <si>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</si>
  <si>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</si>
  <si>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</si>
  <si>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</si>
  <si>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</si>
  <si>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</si>
  <si>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</si>
  <si>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</si>
  <si>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</si>
  <si>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</si>
  <si>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</si>
  <si>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</si>
  <si>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</si>
  <si>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</si>
  <si>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</si>
  <si>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</si>
  <si>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</si>
  <si>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</si>
  <si>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</si>
  <si>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</si>
  <si>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</si>
  <si>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</si>
  <si>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</si>
  <si>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</si>
  <si>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</si>
  <si>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</si>
  <si>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</si>
  <si>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</si>
  <si>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</si>
  <si>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</si>
  <si>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</si>
  <si>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</si>
  <si>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</si>
  <si>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</si>
  <si>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</si>
  <si>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</si>
  <si>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</si>
  <si>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</si>
  <si>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</si>
  <si>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</si>
  <si>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</si>
  <si>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</si>
  <si>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</si>
  <si>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</si>
  <si>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</si>
  <si>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</si>
  <si>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</si>
  <si>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</si>
  <si>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</si>
  <si>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</si>
  <si>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</si>
  <si>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</si>
  <si>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</si>
  <si>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</si>
  <si>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</si>
  <si>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</si>
  <si>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</si>
  <si>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</si>
  <si>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</si>
  <si>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</si>
  <si>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</si>
  <si>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</si>
  <si>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</si>
  <si>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</si>
  <si>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</si>
  <si>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</si>
  <si>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</si>
  <si>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</si>
  <si>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</si>
  <si>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 xml:space="preserve">Amil Espaço Saúde - Santa Helena 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</si>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</sst>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E6873860-4A6C-4021-8006-5F7CE47AF194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7"/>
  <sheetViews>
    <sheetView showGridLines="0" tabSelected="1" zoomScale="70" zoomScaleNormal="70" workbookViewId="0">
      <pane xSplit="6" ySplit="1" topLeftCell="G2" activePane="bottomRight" state="frozen"/>
      <selection pane="topRight"/>
      <selection pane="bottomLeft"/>
      <selection pane="bottomRight" activeCell="R186" sqref="R186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bestFit="1" customWidth="1"/>
    <col min="4" max="4" width="21.6640625" style="29" bestFit="1" customWidth="1"/>
    <col min="5" max="5" width="11.6640625" style="28" bestFit="1" customWidth="1"/>
    <col min="6" max="6" width="39.6640625" style="222" customWidth="1"/>
    <col min="7" max="7" width="11.6640625" style="30" bestFit="1" customWidth="1"/>
    <col min="8" max="8" width="12.6640625" style="27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12.109375" style="29" customWidth="1"/>
    <col min="14" max="14" width="14.6640625" style="31" bestFit="1" customWidth="1"/>
    <col min="15" max="15" width="13.88671875" style="29" customWidth="1"/>
    <col min="16" max="16" width="13.109375" style="32" bestFit="1" customWidth="1"/>
    <col min="17" max="17" width="20.6640625" style="31" customWidth="1"/>
    <col min="18" max="18" width="12.88671875" style="27" customWidth="1"/>
    <col min="19" max="19" width="12.33203125" style="27" customWidth="1"/>
    <col min="20" max="20" width="14.33203125" style="27" customWidth="1"/>
    <col min="21" max="21" width="12.109375" style="27" customWidth="1"/>
    <col min="22" max="24" width="20.5546875" style="27" customWidth="1"/>
    <col min="25" max="25" width="25.5546875" style="33" customWidth="1"/>
    <col min="26" max="26" width="10.6640625" style="31" customWidth="1"/>
    <col min="27" max="27" width="27.44140625" style="27" customWidth="1"/>
    <col min="28" max="28" width="28.33203125" style="29" customWidth="1"/>
    <col min="29" max="29" width="25.33203125" style="191" customWidth="1"/>
    <col min="30" max="30" width="15.109375" style="31" customWidth="1"/>
    <col min="31" max="31" width="18.33203125" style="31" customWidth="1"/>
    <col min="32" max="32" width="30.5546875" style="31" bestFit="1" customWidth="1"/>
    <col min="33" max="33" width="24.88671875" style="31" customWidth="1"/>
    <col min="34" max="34" width="16.109375" style="31" customWidth="1"/>
    <col min="35" max="35" width="23.6640625" style="31" customWidth="1"/>
    <col min="36" max="36" width="8.109375" style="31" customWidth="1"/>
    <col min="37" max="37" width="25.6640625" style="31" customWidth="1"/>
    <col min="38" max="38" width="10.33203125" style="45" customWidth="1"/>
    <col min="39" max="39" width="9.44140625" style="196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19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89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3" t="s">
        <v>34</v>
      </c>
      <c r="AJ1" s="223" t="s">
        <v>35</v>
      </c>
      <c r="AK1" s="223" t="s">
        <v>36</v>
      </c>
      <c r="AL1" s="34" t="s">
        <v>37</v>
      </c>
      <c r="AM1" s="195" t="s">
        <v>38</v>
      </c>
      <c r="AN1" s="34" t="s">
        <v>39</v>
      </c>
      <c r="AO1" s="227" t="s">
        <v>40</v>
      </c>
      <c r="AP1" s="227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 x14ac:dyDescent="0.3">
      <c r="A2" s="87" t="s">
        <v>47</v>
      </c>
      <c r="B2" s="88">
        <v>45998</v>
      </c>
      <c r="C2" s="89" t="s">
        <v>48</v>
      </c>
      <c r="D2" s="89" t="s">
        <v>49</v>
      </c>
      <c r="E2" s="90">
        <v>450231585</v>
      </c>
      <c r="F2" s="220" t="s">
        <v>50</v>
      </c>
      <c r="G2" s="92">
        <v>67336230806</v>
      </c>
      <c r="H2" s="93">
        <v>19988</v>
      </c>
      <c r="I2" s="89">
        <v>71</v>
      </c>
      <c r="J2" s="89" t="s">
        <v>51</v>
      </c>
      <c r="K2" s="89" t="s">
        <v>52</v>
      </c>
      <c r="L2" s="89"/>
      <c r="M2" s="89"/>
      <c r="N2" s="89" t="s">
        <v>53</v>
      </c>
      <c r="O2" s="94" t="s">
        <v>54</v>
      </c>
      <c r="P2" s="95" t="s">
        <v>55</v>
      </c>
      <c r="Q2" s="144" t="s">
        <v>56</v>
      </c>
      <c r="R2" s="96">
        <v>46141</v>
      </c>
      <c r="S2" s="97">
        <v>46153</v>
      </c>
      <c r="T2" s="97" t="s">
        <v>57</v>
      </c>
      <c r="U2" s="97" t="s">
        <v>58</v>
      </c>
      <c r="V2" s="93">
        <v>46111</v>
      </c>
      <c r="W2" s="93">
        <v>46126</v>
      </c>
      <c r="X2" s="93">
        <v>46141</v>
      </c>
      <c r="Y2" s="98" t="s">
        <v>59</v>
      </c>
      <c r="Z2" s="89" t="s">
        <v>60</v>
      </c>
      <c r="AA2" s="97">
        <v>46148</v>
      </c>
      <c r="AB2" s="89" t="s">
        <v>61</v>
      </c>
      <c r="AC2" s="120">
        <v>46153</v>
      </c>
      <c r="AD2" s="89"/>
      <c r="AE2" s="89"/>
      <c r="AF2" s="99"/>
      <c r="AG2" s="99"/>
      <c r="AH2" s="99"/>
      <c r="AI2" s="100" t="s">
        <v>62</v>
      </c>
      <c r="AJ2" s="100" t="s">
        <v>63</v>
      </c>
      <c r="AK2" s="100" t="s">
        <v>47</v>
      </c>
      <c r="AL2" s="45" t="s">
        <v>64</v>
      </c>
      <c r="AM2" s="198" t="str">
        <f t="shared" ref="AM2:AM65" si="0">MONTH(B2)&amp;"/"&amp;YEAR(B2)</f>
        <v>12/2025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4/2026</v>
      </c>
      <c r="AP2" s="45">
        <f t="shared" ref="AP2:AP65" si="3">WEEKNUM(R2)-WEEKNUM(EOMONTH(R2,-1)+1)+1</f>
        <v>5</v>
      </c>
      <c r="AQ2" s="45">
        <f t="shared" ref="AQ2:AQ65" si="4">IF(AU2="S",IF(Q2="1. Aceitou o programa",R2-B2,0),0)</f>
        <v>0</v>
      </c>
      <c r="AR2" s="45">
        <f t="shared" ref="AR2:AR65" si="5">IF(AU2="S",IF(AND(S2&lt;&gt;"",R2&lt;&gt;""),S2-R2,0),0)</f>
        <v>12</v>
      </c>
      <c r="AS2" s="45">
        <f t="shared" ref="AS2:AS65" si="6">IF(AU2="S",IF(Q2="1. Aceitou o programa",IF(OR(X2="Não se Aplica",X2=""),IF(OR(W2="Não se Aplica",W2=""),0,W2-V2),AVERAGE(X2-W2,W2-V2)),0),0)</f>
        <v>0</v>
      </c>
      <c r="AT2" s="45">
        <f t="shared" ref="AT2:AT65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 x14ac:dyDescent="0.3">
      <c r="A3" s="87" t="s">
        <v>65</v>
      </c>
      <c r="B3" s="88">
        <v>46090</v>
      </c>
      <c r="C3" s="89" t="s">
        <v>66</v>
      </c>
      <c r="D3" s="89" t="s">
        <v>49</v>
      </c>
      <c r="E3" s="90">
        <v>81650544</v>
      </c>
      <c r="F3" s="220" t="s">
        <v>67</v>
      </c>
      <c r="G3" s="92">
        <v>28068906835</v>
      </c>
      <c r="H3" s="93">
        <v>28493</v>
      </c>
      <c r="I3" s="89">
        <v>48</v>
      </c>
      <c r="J3" s="89" t="s">
        <v>51</v>
      </c>
      <c r="K3" s="89" t="s">
        <v>52</v>
      </c>
      <c r="L3" s="89"/>
      <c r="M3" s="89"/>
      <c r="N3" s="89" t="s">
        <v>68</v>
      </c>
      <c r="O3" s="94" t="s">
        <v>69</v>
      </c>
      <c r="P3" s="95" t="s">
        <v>55</v>
      </c>
      <c r="Q3" s="144" t="s">
        <v>70</v>
      </c>
      <c r="R3" s="96">
        <v>46098</v>
      </c>
      <c r="S3" s="97"/>
      <c r="T3" s="97" t="s">
        <v>57</v>
      </c>
      <c r="U3" s="97" t="s">
        <v>71</v>
      </c>
      <c r="V3" s="93">
        <v>46098</v>
      </c>
      <c r="W3" s="93" t="s">
        <v>72</v>
      </c>
      <c r="X3" s="93" t="s">
        <v>72</v>
      </c>
      <c r="Y3" s="98"/>
      <c r="Z3" s="89" t="s">
        <v>60</v>
      </c>
      <c r="AA3" s="97">
        <v>46105</v>
      </c>
      <c r="AB3" s="89" t="s">
        <v>61</v>
      </c>
      <c r="AC3" s="120"/>
      <c r="AD3" s="89" t="s">
        <v>73</v>
      </c>
      <c r="AE3" s="89">
        <v>60</v>
      </c>
      <c r="AF3" s="99" t="s">
        <v>74</v>
      </c>
      <c r="AG3" s="99"/>
      <c r="AH3" s="99" t="s">
        <v>75</v>
      </c>
      <c r="AI3" s="100" t="s">
        <v>62</v>
      </c>
      <c r="AJ3" s="100" t="s">
        <v>47</v>
      </c>
      <c r="AK3" s="100" t="s">
        <v>62</v>
      </c>
      <c r="AL3" s="45" t="s">
        <v>64</v>
      </c>
      <c r="AM3" s="198" t="str">
        <f t="shared" si="0"/>
        <v>3/2026</v>
      </c>
      <c r="AN3" s="45">
        <f t="shared" si="1"/>
        <v>2</v>
      </c>
      <c r="AO3" s="45" t="str">
        <f t="shared" si="2"/>
        <v>3/2026</v>
      </c>
      <c r="AP3" s="45">
        <f t="shared" si="3"/>
        <v>3</v>
      </c>
      <c r="AQ3" s="45">
        <f t="shared" si="4"/>
        <v>8</v>
      </c>
      <c r="AR3" s="45">
        <f t="shared" si="5"/>
        <v>0</v>
      </c>
      <c r="AS3" s="45">
        <f t="shared" si="6"/>
        <v>0</v>
      </c>
      <c r="AT3" s="45">
        <f t="shared" si="7"/>
        <v>7</v>
      </c>
      <c r="AU3" s="45" t="str">
        <f>_xlfn.XLOOKUP(U3,'Lista Suspensa'!$AA$20:$AA$23,'Lista Suspensa'!$AB$20:$AB$23,"N/A")</f>
        <v>S</v>
      </c>
    </row>
    <row r="4" spans="1:47" ht="12" customHeight="1" x14ac:dyDescent="0.3">
      <c r="A4" s="87" t="s">
        <v>65</v>
      </c>
      <c r="B4" s="88">
        <v>46090</v>
      </c>
      <c r="C4" s="89" t="s">
        <v>66</v>
      </c>
      <c r="D4" s="89" t="s">
        <v>49</v>
      </c>
      <c r="E4" s="90">
        <v>77189788</v>
      </c>
      <c r="F4" s="220" t="s">
        <v>76</v>
      </c>
      <c r="G4" s="92">
        <v>73774650772</v>
      </c>
      <c r="H4" s="93">
        <v>22977</v>
      </c>
      <c r="I4" s="89">
        <v>63</v>
      </c>
      <c r="J4" s="89" t="s">
        <v>77</v>
      </c>
      <c r="K4" s="89" t="s">
        <v>78</v>
      </c>
      <c r="L4" s="89"/>
      <c r="M4" s="89"/>
      <c r="N4" s="89" t="s">
        <v>79</v>
      </c>
      <c r="O4" s="94" t="s">
        <v>80</v>
      </c>
      <c r="P4" s="95" t="s">
        <v>55</v>
      </c>
      <c r="Q4" s="144" t="s">
        <v>70</v>
      </c>
      <c r="R4" s="96">
        <v>46073</v>
      </c>
      <c r="S4" s="97"/>
      <c r="T4" s="97" t="s">
        <v>57</v>
      </c>
      <c r="U4" s="97" t="s">
        <v>71</v>
      </c>
      <c r="V4" s="93">
        <v>46073</v>
      </c>
      <c r="W4" s="93" t="s">
        <v>72</v>
      </c>
      <c r="X4" s="93" t="s">
        <v>72</v>
      </c>
      <c r="Y4" s="98"/>
      <c r="Z4" s="89" t="s">
        <v>60</v>
      </c>
      <c r="AA4" s="97">
        <v>46105.625</v>
      </c>
      <c r="AB4" s="89" t="s">
        <v>61</v>
      </c>
      <c r="AC4" s="120"/>
      <c r="AD4" s="89" t="s">
        <v>73</v>
      </c>
      <c r="AE4" s="89">
        <v>59</v>
      </c>
      <c r="AF4" s="99" t="s">
        <v>81</v>
      </c>
      <c r="AG4" s="99"/>
      <c r="AH4" s="99" t="s">
        <v>75</v>
      </c>
      <c r="AI4" s="100" t="s">
        <v>62</v>
      </c>
      <c r="AJ4" s="100" t="s">
        <v>47</v>
      </c>
      <c r="AK4" s="100" t="s">
        <v>62</v>
      </c>
      <c r="AL4" s="45" t="s">
        <v>64</v>
      </c>
      <c r="AM4" s="198" t="str">
        <f t="shared" si="0"/>
        <v>3/2026</v>
      </c>
      <c r="AN4" s="45">
        <f t="shared" si="1"/>
        <v>2</v>
      </c>
      <c r="AO4" s="45" t="str">
        <f t="shared" si="2"/>
        <v>2/2026</v>
      </c>
      <c r="AP4" s="45">
        <f t="shared" si="3"/>
        <v>3</v>
      </c>
      <c r="AQ4" s="45">
        <f t="shared" si="4"/>
        <v>-17</v>
      </c>
      <c r="AR4" s="45">
        <f t="shared" si="5"/>
        <v>0</v>
      </c>
      <c r="AS4" s="45">
        <f t="shared" si="6"/>
        <v>0</v>
      </c>
      <c r="AT4" s="45">
        <f t="shared" si="7"/>
        <v>32.625</v>
      </c>
      <c r="AU4" s="45" t="str">
        <f>_xlfn.XLOOKUP(U4,'Lista Suspensa'!$AA$20:$AA$23,'Lista Suspensa'!$AB$20:$AB$23,"N/A")</f>
        <v>S</v>
      </c>
    </row>
    <row r="5" spans="1:47" ht="12" customHeight="1" x14ac:dyDescent="0.3">
      <c r="A5" s="87" t="s">
        <v>65</v>
      </c>
      <c r="B5" s="88">
        <v>46090</v>
      </c>
      <c r="C5" s="89" t="s">
        <v>66</v>
      </c>
      <c r="D5" s="89" t="s">
        <v>49</v>
      </c>
      <c r="E5" s="90">
        <v>81919515</v>
      </c>
      <c r="F5" s="220" t="s">
        <v>82</v>
      </c>
      <c r="G5" s="92">
        <v>28123875720</v>
      </c>
      <c r="H5" s="93">
        <v>17927</v>
      </c>
      <c r="I5" s="89">
        <v>77</v>
      </c>
      <c r="J5" s="89" t="s">
        <v>77</v>
      </c>
      <c r="K5" s="89" t="s">
        <v>78</v>
      </c>
      <c r="L5" s="89"/>
      <c r="M5" s="89"/>
      <c r="N5" s="89" t="s">
        <v>83</v>
      </c>
      <c r="O5" s="94" t="s">
        <v>84</v>
      </c>
      <c r="P5" s="95" t="s">
        <v>55</v>
      </c>
      <c r="Q5" s="144" t="s">
        <v>70</v>
      </c>
      <c r="R5" s="96">
        <v>46073</v>
      </c>
      <c r="S5" s="97"/>
      <c r="T5" s="97" t="s">
        <v>57</v>
      </c>
      <c r="U5" s="97" t="s">
        <v>71</v>
      </c>
      <c r="V5" s="93">
        <v>46073</v>
      </c>
      <c r="W5" s="93" t="s">
        <v>72</v>
      </c>
      <c r="X5" s="93" t="s">
        <v>72</v>
      </c>
      <c r="Y5" s="98"/>
      <c r="Z5" s="89" t="s">
        <v>60</v>
      </c>
      <c r="AA5" s="97">
        <v>46108.583333333336</v>
      </c>
      <c r="AB5" s="89" t="s">
        <v>61</v>
      </c>
      <c r="AC5" s="120"/>
      <c r="AD5" s="89" t="s">
        <v>85</v>
      </c>
      <c r="AE5" s="89">
        <v>62</v>
      </c>
      <c r="AF5" s="99" t="s">
        <v>81</v>
      </c>
      <c r="AG5" s="99"/>
      <c r="AH5" s="99" t="s">
        <v>75</v>
      </c>
      <c r="AI5" s="100" t="s">
        <v>62</v>
      </c>
      <c r="AJ5" s="100" t="s">
        <v>47</v>
      </c>
      <c r="AK5" s="100" t="s">
        <v>62</v>
      </c>
      <c r="AL5" s="45" t="s">
        <v>64</v>
      </c>
      <c r="AM5" s="198" t="str">
        <f t="shared" si="0"/>
        <v>3/2026</v>
      </c>
      <c r="AN5" s="45">
        <f t="shared" si="1"/>
        <v>2</v>
      </c>
      <c r="AO5" s="45" t="str">
        <f t="shared" si="2"/>
        <v>2/2026</v>
      </c>
      <c r="AP5" s="45">
        <f t="shared" si="3"/>
        <v>3</v>
      </c>
      <c r="AQ5" s="45">
        <f t="shared" si="4"/>
        <v>-17</v>
      </c>
      <c r="AR5" s="45">
        <f t="shared" si="5"/>
        <v>0</v>
      </c>
      <c r="AS5" s="45">
        <f t="shared" si="6"/>
        <v>0</v>
      </c>
      <c r="AT5" s="45">
        <f t="shared" si="7"/>
        <v>35.583333333335759</v>
      </c>
      <c r="AU5" s="45" t="str">
        <f>_xlfn.XLOOKUP(U5,'Lista Suspensa'!$AA$20:$AA$23,'Lista Suspensa'!$AB$20:$AB$23,"N/A")</f>
        <v>S</v>
      </c>
    </row>
    <row r="6" spans="1:47" ht="12" customHeight="1" x14ac:dyDescent="0.3">
      <c r="A6" s="87" t="s">
        <v>65</v>
      </c>
      <c r="B6" s="88">
        <v>46090</v>
      </c>
      <c r="C6" s="89" t="s">
        <v>66</v>
      </c>
      <c r="D6" s="89" t="s">
        <v>49</v>
      </c>
      <c r="E6" s="90">
        <v>83109959</v>
      </c>
      <c r="F6" s="220" t="s">
        <v>86</v>
      </c>
      <c r="G6" s="92">
        <v>8368306795</v>
      </c>
      <c r="H6" s="93">
        <v>28014</v>
      </c>
      <c r="I6" s="89">
        <v>49</v>
      </c>
      <c r="J6" s="89" t="s">
        <v>77</v>
      </c>
      <c r="K6" s="89" t="s">
        <v>78</v>
      </c>
      <c r="L6" s="89"/>
      <c r="M6" s="89"/>
      <c r="N6" s="89" t="s">
        <v>83</v>
      </c>
      <c r="O6" s="94" t="s">
        <v>87</v>
      </c>
      <c r="P6" s="95" t="s">
        <v>55</v>
      </c>
      <c r="Q6" s="144" t="s">
        <v>70</v>
      </c>
      <c r="R6" s="96">
        <v>46073</v>
      </c>
      <c r="S6" s="97"/>
      <c r="T6" s="97" t="s">
        <v>57</v>
      </c>
      <c r="U6" s="97" t="s">
        <v>71</v>
      </c>
      <c r="V6" s="93">
        <v>46073</v>
      </c>
      <c r="W6" s="93" t="s">
        <v>72</v>
      </c>
      <c r="X6" s="93" t="s">
        <v>72</v>
      </c>
      <c r="Y6" s="98"/>
      <c r="Z6" s="89" t="s">
        <v>60</v>
      </c>
      <c r="AA6" s="97">
        <v>46111.666666319441</v>
      </c>
      <c r="AB6" s="89" t="s">
        <v>61</v>
      </c>
      <c r="AC6" s="120"/>
      <c r="AD6" s="89" t="s">
        <v>85</v>
      </c>
      <c r="AE6" s="89">
        <v>32</v>
      </c>
      <c r="AF6" s="99"/>
      <c r="AG6" s="99"/>
      <c r="AH6" s="99" t="s">
        <v>75</v>
      </c>
      <c r="AI6" s="100" t="s">
        <v>62</v>
      </c>
      <c r="AJ6" s="100" t="s">
        <v>47</v>
      </c>
      <c r="AK6" s="100" t="s">
        <v>62</v>
      </c>
      <c r="AL6" s="45" t="s">
        <v>64</v>
      </c>
      <c r="AM6" s="198" t="str">
        <f t="shared" si="0"/>
        <v>3/2026</v>
      </c>
      <c r="AN6" s="45">
        <f t="shared" si="1"/>
        <v>2</v>
      </c>
      <c r="AO6" s="45" t="str">
        <f t="shared" si="2"/>
        <v>2/2026</v>
      </c>
      <c r="AP6" s="45">
        <f t="shared" si="3"/>
        <v>3</v>
      </c>
      <c r="AQ6" s="45">
        <f t="shared" si="4"/>
        <v>-17</v>
      </c>
      <c r="AR6" s="45">
        <f t="shared" si="5"/>
        <v>0</v>
      </c>
      <c r="AS6" s="45">
        <f t="shared" si="6"/>
        <v>0</v>
      </c>
      <c r="AT6" s="45">
        <f t="shared" si="7"/>
        <v>38.666666319440992</v>
      </c>
      <c r="AU6" s="45" t="str">
        <f>_xlfn.XLOOKUP(U6,'Lista Suspensa'!$AA$20:$AA$23,'Lista Suspensa'!$AB$20:$AB$23,"N/A")</f>
        <v>S</v>
      </c>
    </row>
    <row r="7" spans="1:47" ht="12" customHeight="1" x14ac:dyDescent="0.3">
      <c r="A7" s="87" t="s">
        <v>65</v>
      </c>
      <c r="B7" s="88">
        <v>46090</v>
      </c>
      <c r="C7" s="89" t="s">
        <v>66</v>
      </c>
      <c r="D7" s="89" t="s">
        <v>49</v>
      </c>
      <c r="E7" s="90">
        <v>83217340</v>
      </c>
      <c r="F7" s="220" t="s">
        <v>88</v>
      </c>
      <c r="G7" s="92">
        <v>27093829899</v>
      </c>
      <c r="H7" s="93">
        <v>29160</v>
      </c>
      <c r="I7" s="89">
        <v>46</v>
      </c>
      <c r="J7" s="89" t="s">
        <v>77</v>
      </c>
      <c r="K7" s="89" t="s">
        <v>52</v>
      </c>
      <c r="L7" s="89"/>
      <c r="M7" s="89"/>
      <c r="N7" s="89" t="s">
        <v>83</v>
      </c>
      <c r="O7" s="94" t="s">
        <v>89</v>
      </c>
      <c r="P7" s="95" t="s">
        <v>55</v>
      </c>
      <c r="Q7" s="144" t="s">
        <v>70</v>
      </c>
      <c r="R7" s="96">
        <v>46073</v>
      </c>
      <c r="S7" s="97"/>
      <c r="T7" s="97" t="s">
        <v>57</v>
      </c>
      <c r="U7" s="97" t="s">
        <v>71</v>
      </c>
      <c r="V7" s="93">
        <v>46073</v>
      </c>
      <c r="W7" s="93" t="s">
        <v>72</v>
      </c>
      <c r="X7" s="93" t="s">
        <v>72</v>
      </c>
      <c r="Y7" s="98"/>
      <c r="Z7" s="89" t="s">
        <v>60</v>
      </c>
      <c r="AA7" s="97">
        <v>46107.638888888891</v>
      </c>
      <c r="AB7" s="89" t="s">
        <v>61</v>
      </c>
      <c r="AC7" s="120"/>
      <c r="AD7" s="89" t="s">
        <v>85</v>
      </c>
      <c r="AE7" s="89">
        <v>62</v>
      </c>
      <c r="AF7" s="99" t="s">
        <v>90</v>
      </c>
      <c r="AG7" s="99"/>
      <c r="AH7" s="99" t="s">
        <v>75</v>
      </c>
      <c r="AI7" s="100" t="s">
        <v>62</v>
      </c>
      <c r="AJ7" s="100" t="s">
        <v>47</v>
      </c>
      <c r="AK7" s="100" t="s">
        <v>62</v>
      </c>
      <c r="AL7" s="45" t="s">
        <v>64</v>
      </c>
      <c r="AM7" s="198" t="str">
        <f t="shared" si="0"/>
        <v>3/2026</v>
      </c>
      <c r="AN7" s="45">
        <f t="shared" si="1"/>
        <v>2</v>
      </c>
      <c r="AO7" s="45" t="str">
        <f t="shared" si="2"/>
        <v>2/2026</v>
      </c>
      <c r="AP7" s="45">
        <f t="shared" si="3"/>
        <v>3</v>
      </c>
      <c r="AQ7" s="45">
        <f t="shared" si="4"/>
        <v>-17</v>
      </c>
      <c r="AR7" s="45">
        <f t="shared" si="5"/>
        <v>0</v>
      </c>
      <c r="AS7" s="45">
        <f t="shared" si="6"/>
        <v>0</v>
      </c>
      <c r="AT7" s="45">
        <f t="shared" si="7"/>
        <v>34.638888888890506</v>
      </c>
      <c r="AU7" s="45" t="str">
        <f>_xlfn.XLOOKUP(U7,'Lista Suspensa'!$AA$20:$AA$23,'Lista Suspensa'!$AB$20:$AB$23,"N/A")</f>
        <v>S</v>
      </c>
    </row>
    <row r="8" spans="1:47" ht="12" customHeight="1" x14ac:dyDescent="0.3">
      <c r="A8" s="87" t="s">
        <v>65</v>
      </c>
      <c r="B8" s="88">
        <v>46090</v>
      </c>
      <c r="C8" s="89" t="s">
        <v>66</v>
      </c>
      <c r="D8" s="89" t="s">
        <v>49</v>
      </c>
      <c r="E8" s="90">
        <v>796546827</v>
      </c>
      <c r="F8" s="220" t="s">
        <v>91</v>
      </c>
      <c r="G8" s="92">
        <v>26422903871</v>
      </c>
      <c r="H8" s="93">
        <v>26812</v>
      </c>
      <c r="I8" s="89">
        <v>52</v>
      </c>
      <c r="J8" s="89" t="s">
        <v>77</v>
      </c>
      <c r="K8" s="89" t="s">
        <v>52</v>
      </c>
      <c r="L8" s="89"/>
      <c r="M8" s="89"/>
      <c r="N8" s="89" t="s">
        <v>92</v>
      </c>
      <c r="O8" s="94" t="s">
        <v>93</v>
      </c>
      <c r="P8" s="95" t="s">
        <v>55</v>
      </c>
      <c r="Q8" s="144" t="s">
        <v>70</v>
      </c>
      <c r="R8" s="96">
        <v>46073</v>
      </c>
      <c r="S8" s="97"/>
      <c r="T8" s="97" t="s">
        <v>57</v>
      </c>
      <c r="U8" s="97" t="s">
        <v>71</v>
      </c>
      <c r="V8" s="93">
        <v>46073</v>
      </c>
      <c r="W8" s="93">
        <v>46154</v>
      </c>
      <c r="X8" s="93" t="s">
        <v>72</v>
      </c>
      <c r="Y8" s="98"/>
      <c r="Z8" s="89" t="s">
        <v>60</v>
      </c>
      <c r="AA8" s="97">
        <v>46107.652777777781</v>
      </c>
      <c r="AB8" s="89" t="s">
        <v>61</v>
      </c>
      <c r="AC8" s="120">
        <v>46153</v>
      </c>
      <c r="AD8" s="89" t="s">
        <v>73</v>
      </c>
      <c r="AE8" s="89">
        <v>39</v>
      </c>
      <c r="AF8" s="99"/>
      <c r="AG8" s="99"/>
      <c r="AH8" s="99"/>
      <c r="AI8" s="100" t="s">
        <v>62</v>
      </c>
      <c r="AJ8" s="100" t="s">
        <v>47</v>
      </c>
      <c r="AK8" s="100" t="s">
        <v>62</v>
      </c>
      <c r="AL8" s="45" t="s">
        <v>64</v>
      </c>
      <c r="AM8" s="198" t="str">
        <f t="shared" si="0"/>
        <v>3/2026</v>
      </c>
      <c r="AN8" s="45">
        <f t="shared" si="1"/>
        <v>2</v>
      </c>
      <c r="AO8" s="45" t="str">
        <f t="shared" si="2"/>
        <v>2/2026</v>
      </c>
      <c r="AP8" s="45">
        <f t="shared" si="3"/>
        <v>3</v>
      </c>
      <c r="AQ8" s="45">
        <f t="shared" si="4"/>
        <v>-17</v>
      </c>
      <c r="AR8" s="45">
        <f t="shared" si="5"/>
        <v>0</v>
      </c>
      <c r="AS8" s="45">
        <f t="shared" si="6"/>
        <v>81</v>
      </c>
      <c r="AT8" s="45">
        <f t="shared" si="7"/>
        <v>34.652777777781012</v>
      </c>
      <c r="AU8" s="45" t="str">
        <f>_xlfn.XLOOKUP(U8,'Lista Suspensa'!$AA$20:$AA$23,'Lista Suspensa'!$AB$20:$AB$23,"N/A")</f>
        <v>S</v>
      </c>
    </row>
    <row r="9" spans="1:47" ht="12" customHeight="1" x14ac:dyDescent="0.3">
      <c r="A9" s="87" t="s">
        <v>65</v>
      </c>
      <c r="B9" s="88">
        <v>46090</v>
      </c>
      <c r="C9" s="89" t="s">
        <v>66</v>
      </c>
      <c r="D9" s="89" t="s">
        <v>49</v>
      </c>
      <c r="E9" s="90">
        <v>301064539</v>
      </c>
      <c r="F9" s="220" t="s">
        <v>94</v>
      </c>
      <c r="G9" s="92">
        <v>58670432820</v>
      </c>
      <c r="H9" s="93">
        <v>15605</v>
      </c>
      <c r="I9" s="89">
        <v>83</v>
      </c>
      <c r="J9" s="89" t="s">
        <v>77</v>
      </c>
      <c r="K9" s="89" t="s">
        <v>52</v>
      </c>
      <c r="L9" s="89"/>
      <c r="M9" s="89"/>
      <c r="N9" s="89" t="s">
        <v>95</v>
      </c>
      <c r="O9" s="94" t="s">
        <v>96</v>
      </c>
      <c r="P9" s="95" t="s">
        <v>55</v>
      </c>
      <c r="Q9" s="144" t="s">
        <v>70</v>
      </c>
      <c r="R9" s="96">
        <v>46142</v>
      </c>
      <c r="S9" s="97"/>
      <c r="T9" s="97" t="s">
        <v>57</v>
      </c>
      <c r="U9" s="97" t="s">
        <v>71</v>
      </c>
      <c r="V9" s="93">
        <v>46098</v>
      </c>
      <c r="W9" s="93">
        <v>46126</v>
      </c>
      <c r="X9" s="93">
        <v>46141</v>
      </c>
      <c r="Y9" s="98"/>
      <c r="Z9" s="89" t="s">
        <v>60</v>
      </c>
      <c r="AA9" s="97">
        <v>46147</v>
      </c>
      <c r="AB9" s="89" t="s">
        <v>61</v>
      </c>
      <c r="AC9" s="120"/>
      <c r="AD9" s="89" t="s">
        <v>85</v>
      </c>
      <c r="AE9" s="89"/>
      <c r="AF9" s="99" t="s">
        <v>97</v>
      </c>
      <c r="AG9" s="99"/>
      <c r="AH9" s="99" t="s">
        <v>75</v>
      </c>
      <c r="AI9" s="100" t="s">
        <v>62</v>
      </c>
      <c r="AJ9" s="100" t="s">
        <v>47</v>
      </c>
      <c r="AK9" s="100" t="s">
        <v>62</v>
      </c>
      <c r="AL9" s="45" t="s">
        <v>64</v>
      </c>
      <c r="AM9" s="198" t="str">
        <f t="shared" si="0"/>
        <v>3/2026</v>
      </c>
      <c r="AN9" s="45">
        <f t="shared" si="1"/>
        <v>2</v>
      </c>
      <c r="AO9" s="45" t="str">
        <f t="shared" si="2"/>
        <v>4/2026</v>
      </c>
      <c r="AP9" s="45">
        <f t="shared" si="3"/>
        <v>5</v>
      </c>
      <c r="AQ9" s="45">
        <f t="shared" si="4"/>
        <v>52</v>
      </c>
      <c r="AR9" s="45">
        <f t="shared" si="5"/>
        <v>0</v>
      </c>
      <c r="AS9" s="45">
        <f t="shared" si="6"/>
        <v>21.5</v>
      </c>
      <c r="AT9" s="45">
        <f t="shared" si="7"/>
        <v>5</v>
      </c>
      <c r="AU9" s="45" t="str">
        <f>_xlfn.XLOOKUP(U9,'Lista Suspensa'!$AA$20:$AA$23,'Lista Suspensa'!$AB$20:$AB$23,"N/A")</f>
        <v>S</v>
      </c>
    </row>
    <row r="10" spans="1:47" ht="12" customHeight="1" x14ac:dyDescent="0.3">
      <c r="A10" s="87" t="s">
        <v>65</v>
      </c>
      <c r="B10" s="88">
        <v>46090</v>
      </c>
      <c r="C10" s="89" t="s">
        <v>66</v>
      </c>
      <c r="D10" s="89" t="s">
        <v>49</v>
      </c>
      <c r="E10" s="90">
        <v>81041261</v>
      </c>
      <c r="F10" s="220" t="s">
        <v>98</v>
      </c>
      <c r="G10" s="92">
        <v>78438608787</v>
      </c>
      <c r="H10" s="93">
        <v>23240</v>
      </c>
      <c r="I10" s="89">
        <v>62</v>
      </c>
      <c r="J10" s="89" t="s">
        <v>77</v>
      </c>
      <c r="K10" s="89" t="s">
        <v>78</v>
      </c>
      <c r="L10" s="89"/>
      <c r="M10" s="89"/>
      <c r="N10" s="89" t="s">
        <v>68</v>
      </c>
      <c r="O10" s="94" t="s">
        <v>99</v>
      </c>
      <c r="P10" s="95" t="s">
        <v>55</v>
      </c>
      <c r="Q10" s="144" t="s">
        <v>70</v>
      </c>
      <c r="R10" s="96">
        <v>46142</v>
      </c>
      <c r="S10" s="97"/>
      <c r="T10" s="97" t="s">
        <v>57</v>
      </c>
      <c r="U10" s="97" t="s">
        <v>71</v>
      </c>
      <c r="V10" s="93">
        <v>46073</v>
      </c>
      <c r="W10" s="93">
        <v>46126</v>
      </c>
      <c r="X10" s="93">
        <v>46141</v>
      </c>
      <c r="Y10" s="98"/>
      <c r="Z10" s="89" t="s">
        <v>60</v>
      </c>
      <c r="AA10" s="97">
        <v>46147</v>
      </c>
      <c r="AB10" s="89" t="s">
        <v>61</v>
      </c>
      <c r="AC10" s="120">
        <v>46148</v>
      </c>
      <c r="AD10" s="89" t="s">
        <v>73</v>
      </c>
      <c r="AE10" s="89">
        <v>56</v>
      </c>
      <c r="AF10" s="99" t="s">
        <v>100</v>
      </c>
      <c r="AG10" s="99"/>
      <c r="AH10" s="99" t="s">
        <v>75</v>
      </c>
      <c r="AI10" s="100" t="s">
        <v>62</v>
      </c>
      <c r="AJ10" s="100" t="s">
        <v>47</v>
      </c>
      <c r="AK10" s="100" t="s">
        <v>62</v>
      </c>
      <c r="AL10" s="45" t="s">
        <v>64</v>
      </c>
      <c r="AM10" s="198" t="str">
        <f t="shared" si="0"/>
        <v>3/2026</v>
      </c>
      <c r="AN10" s="45">
        <f t="shared" si="1"/>
        <v>2</v>
      </c>
      <c r="AO10" s="45" t="str">
        <f t="shared" si="2"/>
        <v>4/2026</v>
      </c>
      <c r="AP10" s="45">
        <f t="shared" si="3"/>
        <v>5</v>
      </c>
      <c r="AQ10" s="45">
        <f t="shared" si="4"/>
        <v>52</v>
      </c>
      <c r="AR10" s="45">
        <f t="shared" si="5"/>
        <v>0</v>
      </c>
      <c r="AS10" s="45">
        <f t="shared" si="6"/>
        <v>34</v>
      </c>
      <c r="AT10" s="45">
        <f t="shared" si="7"/>
        <v>5</v>
      </c>
      <c r="AU10" s="45" t="str">
        <f>_xlfn.XLOOKUP(U10,'Lista Suspensa'!$AA$20:$AA$23,'Lista Suspensa'!$AB$20:$AB$23,"N/A")</f>
        <v>S</v>
      </c>
    </row>
    <row r="11" spans="1:47" ht="12" customHeight="1" x14ac:dyDescent="0.3">
      <c r="A11" s="87" t="s">
        <v>65</v>
      </c>
      <c r="B11" s="88">
        <v>46090</v>
      </c>
      <c r="C11" s="89" t="s">
        <v>66</v>
      </c>
      <c r="D11" s="89" t="s">
        <v>49</v>
      </c>
      <c r="E11" s="90">
        <v>87105683</v>
      </c>
      <c r="F11" s="220" t="s">
        <v>101</v>
      </c>
      <c r="G11" s="92">
        <v>3207177638</v>
      </c>
      <c r="H11" s="93">
        <v>28740</v>
      </c>
      <c r="I11" s="89">
        <v>47</v>
      </c>
      <c r="J11" s="89" t="s">
        <v>51</v>
      </c>
      <c r="K11" s="89" t="s">
        <v>52</v>
      </c>
      <c r="L11" s="89"/>
      <c r="M11" s="89"/>
      <c r="N11" s="89" t="s">
        <v>83</v>
      </c>
      <c r="O11" s="94" t="s">
        <v>102</v>
      </c>
      <c r="P11" s="95" t="s">
        <v>55</v>
      </c>
      <c r="Q11" s="144" t="s">
        <v>70</v>
      </c>
      <c r="R11" s="96">
        <v>46128</v>
      </c>
      <c r="S11" s="97"/>
      <c r="T11" s="97" t="s">
        <v>57</v>
      </c>
      <c r="U11" s="97" t="s">
        <v>71</v>
      </c>
      <c r="V11" s="93">
        <v>46073</v>
      </c>
      <c r="W11" s="93">
        <v>46126</v>
      </c>
      <c r="X11" s="93">
        <v>46128</v>
      </c>
      <c r="Y11" s="98"/>
      <c r="Z11" s="89" t="s">
        <v>60</v>
      </c>
      <c r="AA11" s="97">
        <v>46139</v>
      </c>
      <c r="AB11" s="89" t="s">
        <v>61</v>
      </c>
      <c r="AC11" s="120">
        <v>46141</v>
      </c>
      <c r="AD11" s="89" t="s">
        <v>73</v>
      </c>
      <c r="AE11" s="89">
        <v>63</v>
      </c>
      <c r="AF11" s="99"/>
      <c r="AG11" s="99"/>
      <c r="AH11" s="99"/>
      <c r="AI11" s="100" t="s">
        <v>62</v>
      </c>
      <c r="AJ11" s="100" t="s">
        <v>47</v>
      </c>
      <c r="AK11" s="100" t="s">
        <v>62</v>
      </c>
      <c r="AL11" s="45" t="s">
        <v>64</v>
      </c>
      <c r="AM11" s="198" t="str">
        <f t="shared" si="0"/>
        <v>3/2026</v>
      </c>
      <c r="AN11" s="45">
        <f t="shared" si="1"/>
        <v>2</v>
      </c>
      <c r="AO11" s="45" t="str">
        <f t="shared" si="2"/>
        <v>4/2026</v>
      </c>
      <c r="AP11" s="45">
        <f t="shared" si="3"/>
        <v>3</v>
      </c>
      <c r="AQ11" s="45">
        <f t="shared" si="4"/>
        <v>38</v>
      </c>
      <c r="AR11" s="45">
        <f t="shared" si="5"/>
        <v>0</v>
      </c>
      <c r="AS11" s="45">
        <f t="shared" si="6"/>
        <v>27.5</v>
      </c>
      <c r="AT11" s="45">
        <f t="shared" si="7"/>
        <v>11</v>
      </c>
      <c r="AU11" s="45" t="str">
        <f>_xlfn.XLOOKUP(U11,'Lista Suspensa'!$AA$20:$AA$23,'Lista Suspensa'!$AB$20:$AB$23,"N/A")</f>
        <v>S</v>
      </c>
    </row>
    <row r="12" spans="1:47" ht="12" customHeight="1" x14ac:dyDescent="0.3">
      <c r="A12" s="87" t="s">
        <v>65</v>
      </c>
      <c r="B12" s="88">
        <v>46090</v>
      </c>
      <c r="C12" s="89" t="s">
        <v>66</v>
      </c>
      <c r="D12" s="89" t="s">
        <v>49</v>
      </c>
      <c r="E12" s="90">
        <v>89797072</v>
      </c>
      <c r="F12" s="220" t="s">
        <v>103</v>
      </c>
      <c r="G12" s="92">
        <v>91372623604</v>
      </c>
      <c r="H12" s="93">
        <v>27404</v>
      </c>
      <c r="I12" s="89">
        <v>51</v>
      </c>
      <c r="J12" s="89" t="s">
        <v>77</v>
      </c>
      <c r="K12" s="89" t="s">
        <v>52</v>
      </c>
      <c r="L12" s="89"/>
      <c r="M12" s="89"/>
      <c r="N12" s="89" t="s">
        <v>104</v>
      </c>
      <c r="O12" s="94" t="s">
        <v>105</v>
      </c>
      <c r="P12" s="95" t="s">
        <v>55</v>
      </c>
      <c r="Q12" s="144" t="s">
        <v>70</v>
      </c>
      <c r="R12" s="96">
        <v>46128</v>
      </c>
      <c r="S12" s="97"/>
      <c r="T12" s="97" t="s">
        <v>57</v>
      </c>
      <c r="U12" s="97" t="s">
        <v>71</v>
      </c>
      <c r="V12" s="93">
        <v>46111</v>
      </c>
      <c r="W12" s="93">
        <v>46126</v>
      </c>
      <c r="X12" s="93">
        <v>46128</v>
      </c>
      <c r="Y12" s="98"/>
      <c r="Z12" s="89" t="s">
        <v>60</v>
      </c>
      <c r="AA12" s="97">
        <v>46132</v>
      </c>
      <c r="AB12" s="89" t="s">
        <v>61</v>
      </c>
      <c r="AC12" s="120"/>
      <c r="AD12" s="89" t="s">
        <v>73</v>
      </c>
      <c r="AE12" s="89">
        <v>58</v>
      </c>
      <c r="AF12" s="99" t="s">
        <v>97</v>
      </c>
      <c r="AG12" s="99"/>
      <c r="AH12" s="99" t="s">
        <v>75</v>
      </c>
      <c r="AI12" s="100" t="s">
        <v>62</v>
      </c>
      <c r="AJ12" s="100" t="s">
        <v>47</v>
      </c>
      <c r="AK12" s="100" t="s">
        <v>62</v>
      </c>
      <c r="AL12" s="45" t="s">
        <v>64</v>
      </c>
      <c r="AM12" s="198" t="str">
        <f t="shared" si="0"/>
        <v>3/2026</v>
      </c>
      <c r="AN12" s="45">
        <f t="shared" si="1"/>
        <v>2</v>
      </c>
      <c r="AO12" s="45" t="str">
        <f t="shared" si="2"/>
        <v>4/2026</v>
      </c>
      <c r="AP12" s="45">
        <f t="shared" si="3"/>
        <v>3</v>
      </c>
      <c r="AQ12" s="45">
        <f t="shared" si="4"/>
        <v>38</v>
      </c>
      <c r="AR12" s="45">
        <f t="shared" si="5"/>
        <v>0</v>
      </c>
      <c r="AS12" s="45">
        <f t="shared" si="6"/>
        <v>8.5</v>
      </c>
      <c r="AT12" s="45">
        <f t="shared" si="7"/>
        <v>4</v>
      </c>
      <c r="AU12" s="45" t="str">
        <f>_xlfn.XLOOKUP(U12,'Lista Suspensa'!$AA$20:$AA$23,'Lista Suspensa'!$AB$20:$AB$23,"N/A")</f>
        <v>S</v>
      </c>
    </row>
    <row r="13" spans="1:47" ht="12" customHeight="1" x14ac:dyDescent="0.3">
      <c r="A13" s="87" t="s">
        <v>65</v>
      </c>
      <c r="B13" s="88">
        <v>46090</v>
      </c>
      <c r="C13" s="89" t="s">
        <v>66</v>
      </c>
      <c r="D13" s="89" t="s">
        <v>49</v>
      </c>
      <c r="E13" s="90">
        <v>72525284</v>
      </c>
      <c r="F13" s="220" t="s">
        <v>106</v>
      </c>
      <c r="G13" s="92">
        <v>21896135749</v>
      </c>
      <c r="H13" s="93">
        <v>7763</v>
      </c>
      <c r="I13" s="89">
        <v>105</v>
      </c>
      <c r="J13" s="89" t="s">
        <v>51</v>
      </c>
      <c r="K13" s="89" t="s">
        <v>78</v>
      </c>
      <c r="L13" s="89"/>
      <c r="M13" s="89"/>
      <c r="N13" s="89" t="s">
        <v>107</v>
      </c>
      <c r="O13" s="94" t="s">
        <v>108</v>
      </c>
      <c r="P13" s="95" t="s">
        <v>109</v>
      </c>
      <c r="Q13" s="144" t="s">
        <v>70</v>
      </c>
      <c r="R13" s="96">
        <v>46097</v>
      </c>
      <c r="S13" s="97"/>
      <c r="T13" s="97" t="s">
        <v>57</v>
      </c>
      <c r="U13" s="97" t="s">
        <v>71</v>
      </c>
      <c r="V13" s="93">
        <v>46097</v>
      </c>
      <c r="W13" s="93" t="s">
        <v>72</v>
      </c>
      <c r="X13" s="93" t="s">
        <v>72</v>
      </c>
      <c r="Y13" s="98"/>
      <c r="Z13" s="89" t="s">
        <v>60</v>
      </c>
      <c r="AA13" s="97">
        <v>46106</v>
      </c>
      <c r="AB13" s="89" t="s">
        <v>110</v>
      </c>
      <c r="AC13" s="120"/>
      <c r="AD13" s="89"/>
      <c r="AE13" s="89"/>
      <c r="AF13" s="99"/>
      <c r="AG13" s="99"/>
      <c r="AH13" s="99"/>
      <c r="AI13" s="100" t="s">
        <v>62</v>
      </c>
      <c r="AJ13" s="100" t="s">
        <v>47</v>
      </c>
      <c r="AK13" s="100" t="s">
        <v>62</v>
      </c>
      <c r="AL13" s="45" t="s">
        <v>64</v>
      </c>
      <c r="AM13" s="198" t="str">
        <f t="shared" si="0"/>
        <v>3/2026</v>
      </c>
      <c r="AN13" s="45">
        <f t="shared" si="1"/>
        <v>2</v>
      </c>
      <c r="AO13" s="45" t="str">
        <f t="shared" si="2"/>
        <v>3/2026</v>
      </c>
      <c r="AP13" s="45">
        <f t="shared" si="3"/>
        <v>3</v>
      </c>
      <c r="AQ13" s="45">
        <f t="shared" si="4"/>
        <v>7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 x14ac:dyDescent="0.3">
      <c r="A14" s="87" t="s">
        <v>65</v>
      </c>
      <c r="B14" s="88">
        <v>46090</v>
      </c>
      <c r="C14" s="89" t="s">
        <v>66</v>
      </c>
      <c r="D14" s="89" t="s">
        <v>49</v>
      </c>
      <c r="E14" s="90">
        <v>76020261</v>
      </c>
      <c r="F14" s="220" t="s">
        <v>111</v>
      </c>
      <c r="G14" s="92">
        <v>2540799701</v>
      </c>
      <c r="H14" s="93">
        <v>27532</v>
      </c>
      <c r="I14" s="89">
        <v>50</v>
      </c>
      <c r="J14" s="89" t="s">
        <v>51</v>
      </c>
      <c r="K14" s="89" t="s">
        <v>78</v>
      </c>
      <c r="L14" s="89"/>
      <c r="M14" s="89"/>
      <c r="N14" s="89" t="s">
        <v>79</v>
      </c>
      <c r="O14" s="94" t="s">
        <v>112</v>
      </c>
      <c r="P14" s="95" t="s">
        <v>109</v>
      </c>
      <c r="Q14" s="144" t="s">
        <v>70</v>
      </c>
      <c r="R14" s="96">
        <v>46097</v>
      </c>
      <c r="S14" s="97"/>
      <c r="T14" s="97" t="s">
        <v>57</v>
      </c>
      <c r="U14" s="97" t="s">
        <v>71</v>
      </c>
      <c r="V14" s="93">
        <v>46097</v>
      </c>
      <c r="W14" s="93" t="s">
        <v>72</v>
      </c>
      <c r="X14" s="93" t="s">
        <v>72</v>
      </c>
      <c r="Y14" s="98"/>
      <c r="Z14" s="89" t="s">
        <v>60</v>
      </c>
      <c r="AA14" s="97">
        <v>46106</v>
      </c>
      <c r="AB14" s="89" t="s">
        <v>110</v>
      </c>
      <c r="AC14" s="120"/>
      <c r="AD14" s="89"/>
      <c r="AE14" s="89"/>
      <c r="AF14" s="99"/>
      <c r="AG14" s="99"/>
      <c r="AH14" s="99"/>
      <c r="AI14" s="100" t="s">
        <v>62</v>
      </c>
      <c r="AJ14" s="100" t="s">
        <v>47</v>
      </c>
      <c r="AK14" s="100" t="s">
        <v>62</v>
      </c>
      <c r="AL14" s="45" t="s">
        <v>64</v>
      </c>
      <c r="AM14" s="198" t="str">
        <f t="shared" si="0"/>
        <v>3/2026</v>
      </c>
      <c r="AN14" s="45">
        <f t="shared" si="1"/>
        <v>2</v>
      </c>
      <c r="AO14" s="45" t="str">
        <f t="shared" si="2"/>
        <v>3/2026</v>
      </c>
      <c r="AP14" s="45">
        <f t="shared" si="3"/>
        <v>3</v>
      </c>
      <c r="AQ14" s="45">
        <f t="shared" si="4"/>
        <v>7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customHeight="1" x14ac:dyDescent="0.3">
      <c r="A15" s="87" t="s">
        <v>65</v>
      </c>
      <c r="B15" s="88">
        <v>46090</v>
      </c>
      <c r="C15" s="89" t="s">
        <v>66</v>
      </c>
      <c r="D15" s="89" t="s">
        <v>49</v>
      </c>
      <c r="E15" s="90">
        <v>89625607</v>
      </c>
      <c r="F15" s="220" t="s">
        <v>113</v>
      </c>
      <c r="G15" s="92">
        <v>14624748883</v>
      </c>
      <c r="H15" s="93">
        <v>25946</v>
      </c>
      <c r="I15" s="89">
        <v>55</v>
      </c>
      <c r="J15" s="89" t="s">
        <v>51</v>
      </c>
      <c r="K15" s="89" t="s">
        <v>52</v>
      </c>
      <c r="L15" s="89"/>
      <c r="M15" s="89"/>
      <c r="N15" s="89" t="s">
        <v>114</v>
      </c>
      <c r="O15" s="94" t="s">
        <v>115</v>
      </c>
      <c r="P15" s="95" t="s">
        <v>55</v>
      </c>
      <c r="Q15" s="144" t="s">
        <v>70</v>
      </c>
      <c r="R15" s="96">
        <v>46098</v>
      </c>
      <c r="S15" s="97"/>
      <c r="T15" s="97" t="s">
        <v>57</v>
      </c>
      <c r="U15" s="97" t="s">
        <v>71</v>
      </c>
      <c r="V15" s="93">
        <v>46098</v>
      </c>
      <c r="W15" s="93" t="s">
        <v>72</v>
      </c>
      <c r="X15" s="93" t="s">
        <v>72</v>
      </c>
      <c r="Y15" s="98"/>
      <c r="Z15" s="89" t="s">
        <v>60</v>
      </c>
      <c r="AA15" s="97">
        <v>46106</v>
      </c>
      <c r="AB15" s="89" t="s">
        <v>110</v>
      </c>
      <c r="AC15" s="120">
        <v>46153</v>
      </c>
      <c r="AD15" s="89"/>
      <c r="AE15" s="89"/>
      <c r="AF15" s="99"/>
      <c r="AG15" s="99"/>
      <c r="AH15" s="99"/>
      <c r="AI15" s="100" t="s">
        <v>62</v>
      </c>
      <c r="AJ15" s="100" t="s">
        <v>47</v>
      </c>
      <c r="AK15" s="100" t="s">
        <v>62</v>
      </c>
      <c r="AL15" s="45" t="s">
        <v>64</v>
      </c>
      <c r="AM15" s="198" t="str">
        <f t="shared" si="0"/>
        <v>3/2026</v>
      </c>
      <c r="AN15" s="45">
        <f t="shared" si="1"/>
        <v>2</v>
      </c>
      <c r="AO15" s="45" t="str">
        <f t="shared" si="2"/>
        <v>3/2026</v>
      </c>
      <c r="AP15" s="45">
        <f t="shared" si="3"/>
        <v>3</v>
      </c>
      <c r="AQ15" s="45">
        <f t="shared" si="4"/>
        <v>8</v>
      </c>
      <c r="AR15" s="45">
        <f t="shared" si="5"/>
        <v>0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customHeight="1" x14ac:dyDescent="0.3">
      <c r="A16" s="87" t="s">
        <v>65</v>
      </c>
      <c r="B16" s="88">
        <v>46090</v>
      </c>
      <c r="C16" s="89" t="s">
        <v>66</v>
      </c>
      <c r="D16" s="89" t="s">
        <v>49</v>
      </c>
      <c r="E16" s="90">
        <v>94079091</v>
      </c>
      <c r="F16" s="220" t="s">
        <v>116</v>
      </c>
      <c r="G16" s="92">
        <v>648547876</v>
      </c>
      <c r="H16" s="93">
        <v>21604</v>
      </c>
      <c r="I16" s="89">
        <v>67</v>
      </c>
      <c r="J16" s="89" t="s">
        <v>51</v>
      </c>
      <c r="K16" s="89" t="s">
        <v>52</v>
      </c>
      <c r="L16" s="89"/>
      <c r="M16" s="89"/>
      <c r="N16" s="89" t="s">
        <v>114</v>
      </c>
      <c r="O16" s="94" t="s">
        <v>117</v>
      </c>
      <c r="P16" s="95" t="s">
        <v>55</v>
      </c>
      <c r="Q16" s="144" t="s">
        <v>70</v>
      </c>
      <c r="R16" s="96">
        <v>46098</v>
      </c>
      <c r="S16" s="97"/>
      <c r="T16" s="97" t="s">
        <v>57</v>
      </c>
      <c r="U16" s="97" t="s">
        <v>71</v>
      </c>
      <c r="V16" s="93">
        <v>46098</v>
      </c>
      <c r="W16" s="93">
        <v>46154</v>
      </c>
      <c r="X16" s="93" t="s">
        <v>72</v>
      </c>
      <c r="Y16" s="98"/>
      <c r="Z16" s="89" t="s">
        <v>60</v>
      </c>
      <c r="AA16" s="97">
        <v>46105</v>
      </c>
      <c r="AB16" s="89" t="s">
        <v>118</v>
      </c>
      <c r="AC16" s="120">
        <v>46162</v>
      </c>
      <c r="AD16" s="89"/>
      <c r="AE16" s="89"/>
      <c r="AF16" s="99"/>
      <c r="AG16" s="99"/>
      <c r="AH16" s="99"/>
      <c r="AI16" s="100" t="s">
        <v>62</v>
      </c>
      <c r="AJ16" s="100" t="s">
        <v>47</v>
      </c>
      <c r="AK16" s="100" t="s">
        <v>62</v>
      </c>
      <c r="AL16" s="45" t="s">
        <v>64</v>
      </c>
      <c r="AM16" s="198" t="str">
        <f t="shared" si="0"/>
        <v>3/2026</v>
      </c>
      <c r="AN16" s="45">
        <f t="shared" si="1"/>
        <v>2</v>
      </c>
      <c r="AO16" s="45" t="str">
        <f t="shared" si="2"/>
        <v>3/2026</v>
      </c>
      <c r="AP16" s="45">
        <f t="shared" si="3"/>
        <v>3</v>
      </c>
      <c r="AQ16" s="45">
        <f t="shared" si="4"/>
        <v>8</v>
      </c>
      <c r="AR16" s="45">
        <f t="shared" si="5"/>
        <v>0</v>
      </c>
      <c r="AS16" s="45">
        <f t="shared" si="6"/>
        <v>56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customHeight="1" x14ac:dyDescent="0.3">
      <c r="A17" s="87" t="s">
        <v>65</v>
      </c>
      <c r="B17" s="88">
        <v>46090</v>
      </c>
      <c r="C17" s="89" t="s">
        <v>66</v>
      </c>
      <c r="D17" s="89" t="s">
        <v>49</v>
      </c>
      <c r="E17" s="90">
        <v>78715900</v>
      </c>
      <c r="F17" s="220" t="s">
        <v>119</v>
      </c>
      <c r="G17" s="92">
        <v>72205636715</v>
      </c>
      <c r="H17" s="93">
        <v>20955</v>
      </c>
      <c r="I17" s="89">
        <v>69</v>
      </c>
      <c r="J17" s="89" t="s">
        <v>51</v>
      </c>
      <c r="K17" s="89" t="s">
        <v>78</v>
      </c>
      <c r="L17" s="89"/>
      <c r="M17" s="89"/>
      <c r="N17" s="89" t="s">
        <v>83</v>
      </c>
      <c r="O17" s="94" t="s">
        <v>120</v>
      </c>
      <c r="P17" s="95" t="s">
        <v>55</v>
      </c>
      <c r="Q17" s="144" t="s">
        <v>70</v>
      </c>
      <c r="R17" s="96">
        <v>46073</v>
      </c>
      <c r="S17" s="97"/>
      <c r="T17" s="97" t="s">
        <v>57</v>
      </c>
      <c r="U17" s="97" t="s">
        <v>71</v>
      </c>
      <c r="V17" s="93">
        <v>46073</v>
      </c>
      <c r="W17" s="93">
        <v>46154</v>
      </c>
      <c r="X17" s="93" t="s">
        <v>72</v>
      </c>
      <c r="Y17" s="98"/>
      <c r="Z17" s="89" t="s">
        <v>60</v>
      </c>
      <c r="AA17" s="97">
        <v>46107.680555555555</v>
      </c>
      <c r="AB17" s="89" t="s">
        <v>118</v>
      </c>
      <c r="AC17" s="120">
        <v>46162</v>
      </c>
      <c r="AD17" s="89"/>
      <c r="AE17" s="89"/>
      <c r="AF17" s="99"/>
      <c r="AG17" s="99"/>
      <c r="AH17" s="99"/>
      <c r="AI17" s="100" t="s">
        <v>62</v>
      </c>
      <c r="AJ17" s="100" t="s">
        <v>47</v>
      </c>
      <c r="AK17" s="100" t="s">
        <v>62</v>
      </c>
      <c r="AL17" s="45" t="s">
        <v>64</v>
      </c>
      <c r="AM17" s="198" t="str">
        <f t="shared" si="0"/>
        <v>3/2026</v>
      </c>
      <c r="AN17" s="45">
        <f t="shared" si="1"/>
        <v>2</v>
      </c>
      <c r="AO17" s="45" t="str">
        <f t="shared" si="2"/>
        <v>2/2026</v>
      </c>
      <c r="AP17" s="45">
        <f t="shared" si="3"/>
        <v>3</v>
      </c>
      <c r="AQ17" s="45">
        <f t="shared" si="4"/>
        <v>-17</v>
      </c>
      <c r="AR17" s="45">
        <f t="shared" si="5"/>
        <v>0</v>
      </c>
      <c r="AS17" s="45">
        <f t="shared" si="6"/>
        <v>81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customHeight="1" x14ac:dyDescent="0.3">
      <c r="A18" s="87" t="s">
        <v>65</v>
      </c>
      <c r="B18" s="88">
        <v>46090</v>
      </c>
      <c r="C18" s="89" t="s">
        <v>66</v>
      </c>
      <c r="D18" s="89" t="s">
        <v>49</v>
      </c>
      <c r="E18" s="90">
        <v>79355053</v>
      </c>
      <c r="F18" s="220" t="s">
        <v>121</v>
      </c>
      <c r="G18" s="92">
        <v>83478809800</v>
      </c>
      <c r="H18" s="93">
        <v>20981</v>
      </c>
      <c r="I18" s="89">
        <v>68</v>
      </c>
      <c r="J18" s="89" t="s">
        <v>51</v>
      </c>
      <c r="K18" s="89" t="s">
        <v>52</v>
      </c>
      <c r="L18" s="89"/>
      <c r="M18" s="89"/>
      <c r="N18" s="89" t="s">
        <v>68</v>
      </c>
      <c r="O18" s="94" t="s">
        <v>122</v>
      </c>
      <c r="P18" s="95" t="s">
        <v>55</v>
      </c>
      <c r="Q18" s="144" t="s">
        <v>70</v>
      </c>
      <c r="R18" s="96">
        <v>46073</v>
      </c>
      <c r="S18" s="97"/>
      <c r="T18" s="97" t="s">
        <v>57</v>
      </c>
      <c r="U18" s="97" t="s">
        <v>71</v>
      </c>
      <c r="V18" s="93">
        <v>46073</v>
      </c>
      <c r="W18" s="93" t="s">
        <v>72</v>
      </c>
      <c r="X18" s="93" t="s">
        <v>72</v>
      </c>
      <c r="Y18" s="98"/>
      <c r="Z18" s="89" t="s">
        <v>60</v>
      </c>
      <c r="AA18" s="97">
        <v>46106.722222222219</v>
      </c>
      <c r="AB18" s="89" t="s">
        <v>110</v>
      </c>
      <c r="AC18" s="120"/>
      <c r="AD18" s="89"/>
      <c r="AE18" s="89"/>
      <c r="AF18" s="99"/>
      <c r="AG18" s="99"/>
      <c r="AH18" s="99"/>
      <c r="AI18" s="100" t="s">
        <v>62</v>
      </c>
      <c r="AJ18" s="100" t="s">
        <v>47</v>
      </c>
      <c r="AK18" s="100" t="s">
        <v>62</v>
      </c>
      <c r="AL18" s="45" t="s">
        <v>64</v>
      </c>
      <c r="AM18" s="198" t="str">
        <f t="shared" si="0"/>
        <v>3/2026</v>
      </c>
      <c r="AN18" s="45">
        <f t="shared" si="1"/>
        <v>2</v>
      </c>
      <c r="AO18" s="45" t="str">
        <f t="shared" si="2"/>
        <v>2/2026</v>
      </c>
      <c r="AP18" s="45">
        <f t="shared" si="3"/>
        <v>3</v>
      </c>
      <c r="AQ18" s="45">
        <f t="shared" si="4"/>
        <v>-17</v>
      </c>
      <c r="AR18" s="45">
        <f t="shared" si="5"/>
        <v>0</v>
      </c>
      <c r="AS18" s="45">
        <f t="shared" si="6"/>
        <v>0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customHeight="1" x14ac:dyDescent="0.3">
      <c r="A19" s="87" t="s">
        <v>65</v>
      </c>
      <c r="B19" s="88">
        <v>46090</v>
      </c>
      <c r="C19" s="89" t="s">
        <v>66</v>
      </c>
      <c r="D19" s="89" t="s">
        <v>49</v>
      </c>
      <c r="E19" s="90">
        <v>86437225</v>
      </c>
      <c r="F19" s="220" t="s">
        <v>123</v>
      </c>
      <c r="G19" s="92">
        <v>1562026704</v>
      </c>
      <c r="H19" s="93">
        <v>25886</v>
      </c>
      <c r="I19" s="89">
        <v>55</v>
      </c>
      <c r="J19" s="89" t="s">
        <v>77</v>
      </c>
      <c r="K19" s="89" t="s">
        <v>78</v>
      </c>
      <c r="L19" s="89"/>
      <c r="M19" s="89"/>
      <c r="N19" s="89" t="s">
        <v>83</v>
      </c>
      <c r="O19" s="94" t="s">
        <v>124</v>
      </c>
      <c r="P19" s="95" t="s">
        <v>55</v>
      </c>
      <c r="Q19" s="144" t="s">
        <v>70</v>
      </c>
      <c r="R19" s="96">
        <v>46073</v>
      </c>
      <c r="S19" s="97"/>
      <c r="T19" s="97" t="s">
        <v>57</v>
      </c>
      <c r="U19" s="97" t="s">
        <v>71</v>
      </c>
      <c r="V19" s="93">
        <v>46073</v>
      </c>
      <c r="W19" s="93">
        <v>46154</v>
      </c>
      <c r="X19" s="93" t="s">
        <v>72</v>
      </c>
      <c r="Y19" s="98"/>
      <c r="Z19" s="89" t="s">
        <v>60</v>
      </c>
      <c r="AA19" s="97">
        <v>46108.597222222219</v>
      </c>
      <c r="AB19" s="89" t="s">
        <v>110</v>
      </c>
      <c r="AC19" s="120">
        <v>46161</v>
      </c>
      <c r="AD19" s="89"/>
      <c r="AE19" s="89"/>
      <c r="AF19" s="99"/>
      <c r="AG19" s="99"/>
      <c r="AH19" s="99"/>
      <c r="AI19" s="100" t="s">
        <v>62</v>
      </c>
      <c r="AJ19" s="100" t="s">
        <v>47</v>
      </c>
      <c r="AK19" s="100" t="s">
        <v>62</v>
      </c>
      <c r="AL19" s="45" t="s">
        <v>64</v>
      </c>
      <c r="AM19" s="198" t="str">
        <f t="shared" si="0"/>
        <v>3/2026</v>
      </c>
      <c r="AN19" s="45">
        <f t="shared" si="1"/>
        <v>2</v>
      </c>
      <c r="AO19" s="45" t="str">
        <f t="shared" si="2"/>
        <v>2/2026</v>
      </c>
      <c r="AP19" s="45">
        <f t="shared" si="3"/>
        <v>3</v>
      </c>
      <c r="AQ19" s="45">
        <f t="shared" si="4"/>
        <v>-17</v>
      </c>
      <c r="AR19" s="45">
        <f t="shared" si="5"/>
        <v>0</v>
      </c>
      <c r="AS19" s="45">
        <f t="shared" si="6"/>
        <v>81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customHeight="1" x14ac:dyDescent="0.3">
      <c r="A20" s="87" t="s">
        <v>65</v>
      </c>
      <c r="B20" s="88">
        <v>46090</v>
      </c>
      <c r="C20" s="89" t="s">
        <v>66</v>
      </c>
      <c r="D20" s="89" t="s">
        <v>49</v>
      </c>
      <c r="E20" s="90">
        <v>93470417</v>
      </c>
      <c r="F20" s="220" t="s">
        <v>125</v>
      </c>
      <c r="G20" s="92">
        <v>2523291711</v>
      </c>
      <c r="H20" s="93">
        <v>27412</v>
      </c>
      <c r="I20" s="89">
        <v>51</v>
      </c>
      <c r="J20" s="89" t="s">
        <v>51</v>
      </c>
      <c r="K20" s="89" t="s">
        <v>78</v>
      </c>
      <c r="L20" s="89"/>
      <c r="M20" s="89"/>
      <c r="N20" s="89" t="s">
        <v>126</v>
      </c>
      <c r="O20" s="94" t="s">
        <v>127</v>
      </c>
      <c r="P20" s="95" t="s">
        <v>55</v>
      </c>
      <c r="Q20" s="144" t="s">
        <v>70</v>
      </c>
      <c r="R20" s="96">
        <v>46073</v>
      </c>
      <c r="S20" s="97"/>
      <c r="T20" s="97" t="s">
        <v>57</v>
      </c>
      <c r="U20" s="97" t="s">
        <v>71</v>
      </c>
      <c r="V20" s="93">
        <v>46073</v>
      </c>
      <c r="W20" s="93">
        <v>46154</v>
      </c>
      <c r="X20" s="93" t="s">
        <v>72</v>
      </c>
      <c r="Y20" s="98"/>
      <c r="Z20" s="89" t="s">
        <v>60</v>
      </c>
      <c r="AA20" s="97">
        <v>46105.666666666664</v>
      </c>
      <c r="AB20" s="89" t="s">
        <v>110</v>
      </c>
      <c r="AC20" s="120">
        <v>46161</v>
      </c>
      <c r="AD20" s="89"/>
      <c r="AE20" s="89"/>
      <c r="AF20" s="99"/>
      <c r="AG20" s="99"/>
      <c r="AH20" s="99"/>
      <c r="AI20" s="100" t="s">
        <v>62</v>
      </c>
      <c r="AJ20" s="100" t="s">
        <v>47</v>
      </c>
      <c r="AK20" s="100" t="s">
        <v>62</v>
      </c>
      <c r="AL20" s="45" t="s">
        <v>64</v>
      </c>
      <c r="AM20" s="198" t="str">
        <f t="shared" si="0"/>
        <v>3/2026</v>
      </c>
      <c r="AN20" s="45">
        <f t="shared" si="1"/>
        <v>2</v>
      </c>
      <c r="AO20" s="45" t="str">
        <f t="shared" si="2"/>
        <v>2/2026</v>
      </c>
      <c r="AP20" s="45">
        <f t="shared" si="3"/>
        <v>3</v>
      </c>
      <c r="AQ20" s="45">
        <f t="shared" si="4"/>
        <v>-17</v>
      </c>
      <c r="AR20" s="45">
        <f t="shared" si="5"/>
        <v>0</v>
      </c>
      <c r="AS20" s="45">
        <f t="shared" si="6"/>
        <v>81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 x14ac:dyDescent="0.3">
      <c r="A21" s="87" t="s">
        <v>65</v>
      </c>
      <c r="B21" s="88">
        <v>46090</v>
      </c>
      <c r="C21" s="89" t="s">
        <v>66</v>
      </c>
      <c r="D21" s="89" t="s">
        <v>49</v>
      </c>
      <c r="E21" s="90">
        <v>93736418</v>
      </c>
      <c r="F21" s="220" t="s">
        <v>128</v>
      </c>
      <c r="G21" s="92">
        <v>1063504716</v>
      </c>
      <c r="H21" s="93">
        <v>25925</v>
      </c>
      <c r="I21" s="89">
        <v>55</v>
      </c>
      <c r="J21" s="89" t="s">
        <v>51</v>
      </c>
      <c r="K21" s="89" t="s">
        <v>78</v>
      </c>
      <c r="L21" s="89"/>
      <c r="M21" s="89"/>
      <c r="N21" s="89" t="s">
        <v>129</v>
      </c>
      <c r="O21" s="94" t="s">
        <v>130</v>
      </c>
      <c r="P21" s="95" t="s">
        <v>55</v>
      </c>
      <c r="Q21" s="144" t="s">
        <v>70</v>
      </c>
      <c r="R21" s="96">
        <v>46073</v>
      </c>
      <c r="S21" s="97"/>
      <c r="T21" s="97" t="s">
        <v>57</v>
      </c>
      <c r="U21" s="97" t="s">
        <v>71</v>
      </c>
      <c r="V21" s="93">
        <v>46073</v>
      </c>
      <c r="W21" s="93" t="s">
        <v>72</v>
      </c>
      <c r="X21" s="93" t="s">
        <v>72</v>
      </c>
      <c r="Y21" s="98"/>
      <c r="Z21" s="89" t="s">
        <v>60</v>
      </c>
      <c r="AA21" s="97">
        <v>46106.625</v>
      </c>
      <c r="AB21" s="89" t="s">
        <v>110</v>
      </c>
      <c r="AC21" s="120">
        <v>46153</v>
      </c>
      <c r="AD21" s="89"/>
      <c r="AE21" s="89"/>
      <c r="AF21" s="99"/>
      <c r="AG21" s="99"/>
      <c r="AH21" s="99"/>
      <c r="AI21" s="100" t="s">
        <v>62</v>
      </c>
      <c r="AJ21" s="100" t="s">
        <v>47</v>
      </c>
      <c r="AK21" s="100" t="s">
        <v>62</v>
      </c>
      <c r="AL21" s="45" t="s">
        <v>64</v>
      </c>
      <c r="AM21" s="198" t="str">
        <f t="shared" si="0"/>
        <v>3/2026</v>
      </c>
      <c r="AN21" s="45">
        <f t="shared" si="1"/>
        <v>2</v>
      </c>
      <c r="AO21" s="45" t="str">
        <f t="shared" si="2"/>
        <v>2/2026</v>
      </c>
      <c r="AP21" s="45">
        <f t="shared" si="3"/>
        <v>3</v>
      </c>
      <c r="AQ21" s="45">
        <f t="shared" si="4"/>
        <v>-17</v>
      </c>
      <c r="AR21" s="45">
        <f t="shared" si="5"/>
        <v>0</v>
      </c>
      <c r="AS21" s="45">
        <f t="shared" si="6"/>
        <v>0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customHeight="1" x14ac:dyDescent="0.3">
      <c r="A22" s="87" t="s">
        <v>65</v>
      </c>
      <c r="B22" s="88">
        <v>46090</v>
      </c>
      <c r="C22" s="89" t="s">
        <v>66</v>
      </c>
      <c r="D22" s="89" t="s">
        <v>49</v>
      </c>
      <c r="E22" s="90">
        <v>93888550</v>
      </c>
      <c r="F22" s="220" t="s">
        <v>131</v>
      </c>
      <c r="G22" s="92">
        <v>10186986718</v>
      </c>
      <c r="H22" s="93">
        <v>29829</v>
      </c>
      <c r="I22" s="89">
        <v>44</v>
      </c>
      <c r="J22" s="89" t="s">
        <v>51</v>
      </c>
      <c r="K22" s="89" t="s">
        <v>78</v>
      </c>
      <c r="L22" s="89"/>
      <c r="M22" s="89"/>
      <c r="N22" s="89" t="s">
        <v>132</v>
      </c>
      <c r="O22" s="94" t="s">
        <v>133</v>
      </c>
      <c r="P22" s="95" t="s">
        <v>55</v>
      </c>
      <c r="Q22" s="144" t="s">
        <v>70</v>
      </c>
      <c r="R22" s="96">
        <v>46073</v>
      </c>
      <c r="S22" s="97"/>
      <c r="T22" s="97" t="s">
        <v>57</v>
      </c>
      <c r="U22" s="97" t="s">
        <v>71</v>
      </c>
      <c r="V22" s="93">
        <v>46073</v>
      </c>
      <c r="W22" s="93" t="s">
        <v>72</v>
      </c>
      <c r="X22" s="93" t="s">
        <v>72</v>
      </c>
      <c r="Y22" s="98"/>
      <c r="Z22" s="89" t="s">
        <v>60</v>
      </c>
      <c r="AA22" s="97">
        <v>46104.694444444445</v>
      </c>
      <c r="AB22" s="89" t="s">
        <v>110</v>
      </c>
      <c r="AC22" s="120">
        <v>46153</v>
      </c>
      <c r="AD22" s="89"/>
      <c r="AE22" s="89"/>
      <c r="AF22" s="99"/>
      <c r="AG22" s="99"/>
      <c r="AH22" s="99"/>
      <c r="AI22" s="100" t="s">
        <v>62</v>
      </c>
      <c r="AJ22" s="100" t="s">
        <v>47</v>
      </c>
      <c r="AK22" s="100" t="s">
        <v>62</v>
      </c>
      <c r="AL22" s="45" t="s">
        <v>64</v>
      </c>
      <c r="AM22" s="198" t="str">
        <f t="shared" si="0"/>
        <v>3/2026</v>
      </c>
      <c r="AN22" s="45">
        <f t="shared" si="1"/>
        <v>2</v>
      </c>
      <c r="AO22" s="45" t="str">
        <f t="shared" si="2"/>
        <v>2/2026</v>
      </c>
      <c r="AP22" s="45">
        <f t="shared" si="3"/>
        <v>3</v>
      </c>
      <c r="AQ22" s="45">
        <f t="shared" si="4"/>
        <v>-17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customHeight="1" x14ac:dyDescent="0.3">
      <c r="A23" s="87" t="s">
        <v>65</v>
      </c>
      <c r="B23" s="88">
        <v>46090</v>
      </c>
      <c r="C23" s="89" t="s">
        <v>66</v>
      </c>
      <c r="D23" s="89" t="s">
        <v>49</v>
      </c>
      <c r="E23" s="90">
        <v>73367109</v>
      </c>
      <c r="F23" s="220" t="s">
        <v>134</v>
      </c>
      <c r="G23" s="92">
        <v>4981210892</v>
      </c>
      <c r="H23" s="93">
        <v>21218</v>
      </c>
      <c r="I23" s="89">
        <v>68</v>
      </c>
      <c r="J23" s="89" t="s">
        <v>77</v>
      </c>
      <c r="K23" s="89" t="s">
        <v>52</v>
      </c>
      <c r="L23" s="89"/>
      <c r="M23" s="89"/>
      <c r="N23" s="89" t="s">
        <v>79</v>
      </c>
      <c r="O23" s="94" t="s">
        <v>135</v>
      </c>
      <c r="P23" s="95" t="s">
        <v>55</v>
      </c>
      <c r="Q23" s="144" t="s">
        <v>136</v>
      </c>
      <c r="R23" s="96"/>
      <c r="S23" s="97">
        <v>46150</v>
      </c>
      <c r="T23" s="97" t="s">
        <v>57</v>
      </c>
      <c r="U23" s="97" t="s">
        <v>58</v>
      </c>
      <c r="V23" s="93">
        <v>46098</v>
      </c>
      <c r="W23" s="93">
        <v>46126</v>
      </c>
      <c r="X23" s="93">
        <v>46141</v>
      </c>
      <c r="Y23" s="98"/>
      <c r="Z23" s="89"/>
      <c r="AA23" s="97"/>
      <c r="AB23" s="89"/>
      <c r="AC23" s="120"/>
      <c r="AD23" s="89"/>
      <c r="AE23" s="89"/>
      <c r="AF23" s="99"/>
      <c r="AG23" s="99"/>
      <c r="AH23" s="99"/>
      <c r="AI23" s="100"/>
      <c r="AJ23" s="100"/>
      <c r="AK23" s="100"/>
      <c r="AL23" s="45" t="s">
        <v>64</v>
      </c>
      <c r="AM23" s="198" t="str">
        <f t="shared" si="0"/>
        <v>3/2026</v>
      </c>
      <c r="AN23" s="45">
        <f t="shared" si="1"/>
        <v>2</v>
      </c>
      <c r="AO23" s="45" t="str">
        <f t="shared" si="2"/>
        <v>1/1900</v>
      </c>
      <c r="AP23" s="45" t="e">
        <f t="shared" si="3"/>
        <v>#NUM!</v>
      </c>
      <c r="AQ23" s="45">
        <f t="shared" si="4"/>
        <v>0</v>
      </c>
      <c r="AR23" s="45">
        <f t="shared" si="5"/>
        <v>0</v>
      </c>
      <c r="AS23" s="45">
        <f t="shared" si="6"/>
        <v>0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customHeight="1" x14ac:dyDescent="0.3">
      <c r="A24" s="87" t="s">
        <v>65</v>
      </c>
      <c r="B24" s="88">
        <v>46090</v>
      </c>
      <c r="C24" s="89" t="s">
        <v>66</v>
      </c>
      <c r="D24" s="89" t="s">
        <v>49</v>
      </c>
      <c r="E24" s="90">
        <v>73377320</v>
      </c>
      <c r="F24" s="220" t="s">
        <v>137</v>
      </c>
      <c r="G24" s="92">
        <v>3972568843</v>
      </c>
      <c r="H24" s="93">
        <v>22139</v>
      </c>
      <c r="I24" s="89">
        <v>65</v>
      </c>
      <c r="J24" s="89" t="s">
        <v>77</v>
      </c>
      <c r="K24" s="89" t="s">
        <v>52</v>
      </c>
      <c r="L24" s="89"/>
      <c r="M24" s="89"/>
      <c r="N24" s="89" t="s">
        <v>79</v>
      </c>
      <c r="O24" s="94" t="s">
        <v>138</v>
      </c>
      <c r="P24" s="95" t="s">
        <v>55</v>
      </c>
      <c r="Q24" s="144" t="s">
        <v>136</v>
      </c>
      <c r="R24" s="96"/>
      <c r="S24" s="97">
        <v>46150</v>
      </c>
      <c r="T24" s="97" t="s">
        <v>57</v>
      </c>
      <c r="U24" s="97" t="s">
        <v>58</v>
      </c>
      <c r="V24" s="93">
        <v>46098</v>
      </c>
      <c r="W24" s="93">
        <v>46126</v>
      </c>
      <c r="X24" s="93">
        <v>46141</v>
      </c>
      <c r="Y24" s="98"/>
      <c r="Z24" s="89"/>
      <c r="AA24" s="97"/>
      <c r="AB24" s="89"/>
      <c r="AC24" s="120"/>
      <c r="AD24" s="89"/>
      <c r="AE24" s="89"/>
      <c r="AF24" s="99"/>
      <c r="AG24" s="99"/>
      <c r="AH24" s="99"/>
      <c r="AI24" s="100"/>
      <c r="AJ24" s="100"/>
      <c r="AK24" s="100"/>
      <c r="AL24" s="45" t="s">
        <v>64</v>
      </c>
      <c r="AM24" s="198" t="str">
        <f t="shared" si="0"/>
        <v>3/2026</v>
      </c>
      <c r="AN24" s="45">
        <f t="shared" si="1"/>
        <v>2</v>
      </c>
      <c r="AO24" s="45" t="str">
        <f t="shared" si="2"/>
        <v>1/1900</v>
      </c>
      <c r="AP24" s="45" t="e">
        <f t="shared" si="3"/>
        <v>#NUM!</v>
      </c>
      <c r="AQ24" s="45">
        <f t="shared" si="4"/>
        <v>0</v>
      </c>
      <c r="AR24" s="45">
        <f t="shared" si="5"/>
        <v>0</v>
      </c>
      <c r="AS24" s="45">
        <f t="shared" si="6"/>
        <v>0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customHeight="1" x14ac:dyDescent="0.3">
      <c r="A25" s="87" t="s">
        <v>65</v>
      </c>
      <c r="B25" s="88">
        <v>46090</v>
      </c>
      <c r="C25" s="89" t="s">
        <v>66</v>
      </c>
      <c r="D25" s="89" t="s">
        <v>49</v>
      </c>
      <c r="E25" s="90">
        <v>81943743</v>
      </c>
      <c r="F25" s="220" t="s">
        <v>139</v>
      </c>
      <c r="G25" s="92">
        <v>662893867</v>
      </c>
      <c r="H25" s="93">
        <v>21500</v>
      </c>
      <c r="I25" s="89">
        <v>67</v>
      </c>
      <c r="J25" s="89" t="s">
        <v>51</v>
      </c>
      <c r="K25" s="89" t="s">
        <v>52</v>
      </c>
      <c r="L25" s="89"/>
      <c r="M25" s="89"/>
      <c r="N25" s="89" t="s">
        <v>83</v>
      </c>
      <c r="O25" s="94" t="s">
        <v>140</v>
      </c>
      <c r="P25" s="95" t="s">
        <v>55</v>
      </c>
      <c r="Q25" s="144" t="s">
        <v>136</v>
      </c>
      <c r="R25" s="96"/>
      <c r="S25" s="97">
        <v>46150</v>
      </c>
      <c r="T25" s="97" t="s">
        <v>57</v>
      </c>
      <c r="U25" s="97" t="s">
        <v>58</v>
      </c>
      <c r="V25" s="93">
        <v>46098</v>
      </c>
      <c r="W25" s="93">
        <v>46126</v>
      </c>
      <c r="X25" s="93">
        <v>46141</v>
      </c>
      <c r="Y25" s="98"/>
      <c r="Z25" s="89"/>
      <c r="AA25" s="97"/>
      <c r="AB25" s="89"/>
      <c r="AC25" s="120"/>
      <c r="AD25" s="89"/>
      <c r="AE25" s="89"/>
      <c r="AF25" s="99"/>
      <c r="AG25" s="99"/>
      <c r="AH25" s="99"/>
      <c r="AI25" s="100"/>
      <c r="AJ25" s="100"/>
      <c r="AK25" s="100"/>
      <c r="AL25" s="45" t="s">
        <v>64</v>
      </c>
      <c r="AM25" s="198" t="str">
        <f t="shared" si="0"/>
        <v>3/2026</v>
      </c>
      <c r="AN25" s="45">
        <f t="shared" si="1"/>
        <v>2</v>
      </c>
      <c r="AO25" s="45" t="str">
        <f t="shared" si="2"/>
        <v>1/1900</v>
      </c>
      <c r="AP25" s="45" t="e">
        <f t="shared" si="3"/>
        <v>#NUM!</v>
      </c>
      <c r="AQ25" s="45">
        <f t="shared" si="4"/>
        <v>0</v>
      </c>
      <c r="AR25" s="45">
        <f t="shared" si="5"/>
        <v>0</v>
      </c>
      <c r="AS25" s="45">
        <f t="shared" si="6"/>
        <v>0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 x14ac:dyDescent="0.3">
      <c r="A26" s="87" t="s">
        <v>65</v>
      </c>
      <c r="B26" s="88">
        <v>46090</v>
      </c>
      <c r="C26" s="89" t="s">
        <v>66</v>
      </c>
      <c r="D26" s="89" t="s">
        <v>49</v>
      </c>
      <c r="E26" s="90">
        <v>87611639</v>
      </c>
      <c r="F26" s="220" t="s">
        <v>141</v>
      </c>
      <c r="G26" s="92">
        <v>10627597882</v>
      </c>
      <c r="H26" s="93">
        <v>25595</v>
      </c>
      <c r="I26" s="89">
        <v>56</v>
      </c>
      <c r="J26" s="89" t="s">
        <v>51</v>
      </c>
      <c r="K26" s="89" t="s">
        <v>52</v>
      </c>
      <c r="L26" s="89"/>
      <c r="M26" s="89"/>
      <c r="N26" s="89" t="s">
        <v>83</v>
      </c>
      <c r="O26" s="94" t="s">
        <v>142</v>
      </c>
      <c r="P26" s="95" t="s">
        <v>55</v>
      </c>
      <c r="Q26" s="144" t="s">
        <v>136</v>
      </c>
      <c r="R26" s="96"/>
      <c r="S26" s="97">
        <v>46150</v>
      </c>
      <c r="T26" s="97" t="s">
        <v>57</v>
      </c>
      <c r="U26" s="97" t="s">
        <v>58</v>
      </c>
      <c r="V26" s="93">
        <v>46098</v>
      </c>
      <c r="W26" s="93">
        <v>46126</v>
      </c>
      <c r="X26" s="93">
        <v>46141</v>
      </c>
      <c r="Y26" s="98"/>
      <c r="Z26" s="89"/>
      <c r="AA26" s="97"/>
      <c r="AB26" s="89"/>
      <c r="AC26" s="120"/>
      <c r="AD26" s="89"/>
      <c r="AE26" s="89"/>
      <c r="AF26" s="99"/>
      <c r="AG26" s="99"/>
      <c r="AH26" s="99"/>
      <c r="AI26" s="100"/>
      <c r="AJ26" s="100"/>
      <c r="AK26" s="100"/>
      <c r="AL26" s="45" t="s">
        <v>64</v>
      </c>
      <c r="AM26" s="198" t="str">
        <f t="shared" si="0"/>
        <v>3/2026</v>
      </c>
      <c r="AN26" s="45">
        <f t="shared" si="1"/>
        <v>2</v>
      </c>
      <c r="AO26" s="45" t="str">
        <f t="shared" si="2"/>
        <v>1/1900</v>
      </c>
      <c r="AP26" s="45" t="e">
        <f t="shared" si="3"/>
        <v>#NUM!</v>
      </c>
      <c r="AQ26" s="45">
        <f t="shared" si="4"/>
        <v>0</v>
      </c>
      <c r="AR26" s="45">
        <f t="shared" si="5"/>
        <v>0</v>
      </c>
      <c r="AS26" s="45">
        <f t="shared" si="6"/>
        <v>0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customHeight="1" x14ac:dyDescent="0.3">
      <c r="A27" s="87" t="s">
        <v>65</v>
      </c>
      <c r="B27" s="88">
        <v>46090</v>
      </c>
      <c r="C27" s="89" t="s">
        <v>66</v>
      </c>
      <c r="D27" s="89" t="s">
        <v>49</v>
      </c>
      <c r="E27" s="90">
        <v>94745178</v>
      </c>
      <c r="F27" s="220" t="s">
        <v>143</v>
      </c>
      <c r="G27" s="92">
        <v>12962398880</v>
      </c>
      <c r="H27" s="93">
        <v>25481</v>
      </c>
      <c r="I27" s="89">
        <v>56</v>
      </c>
      <c r="J27" s="89" t="s">
        <v>51</v>
      </c>
      <c r="K27" s="89" t="s">
        <v>52</v>
      </c>
      <c r="L27" s="89"/>
      <c r="M27" s="89"/>
      <c r="N27" s="89" t="s">
        <v>104</v>
      </c>
      <c r="O27" s="94" t="s">
        <v>144</v>
      </c>
      <c r="P27" s="95" t="s">
        <v>55</v>
      </c>
      <c r="Q27" s="144" t="s">
        <v>70</v>
      </c>
      <c r="R27" s="96">
        <v>46128</v>
      </c>
      <c r="S27" s="97"/>
      <c r="T27" s="97" t="s">
        <v>57</v>
      </c>
      <c r="U27" s="97" t="s">
        <v>71</v>
      </c>
      <c r="V27" s="93">
        <v>46098</v>
      </c>
      <c r="W27" s="93">
        <v>46126</v>
      </c>
      <c r="X27" s="93">
        <v>46128</v>
      </c>
      <c r="Y27" s="98"/>
      <c r="Z27" s="89" t="s">
        <v>60</v>
      </c>
      <c r="AA27" s="97">
        <v>46139</v>
      </c>
      <c r="AB27" s="89" t="s">
        <v>61</v>
      </c>
      <c r="AC27" s="120"/>
      <c r="AD27" s="89"/>
      <c r="AE27" s="89"/>
      <c r="AF27" s="99"/>
      <c r="AG27" s="99"/>
      <c r="AH27" s="99"/>
      <c r="AI27" s="100" t="s">
        <v>62</v>
      </c>
      <c r="AJ27" s="100" t="s">
        <v>47</v>
      </c>
      <c r="AK27" s="100" t="s">
        <v>62</v>
      </c>
      <c r="AL27" s="45" t="s">
        <v>64</v>
      </c>
      <c r="AM27" s="198" t="str">
        <f t="shared" si="0"/>
        <v>3/2026</v>
      </c>
      <c r="AN27" s="45">
        <f t="shared" si="1"/>
        <v>2</v>
      </c>
      <c r="AO27" s="45" t="str">
        <f t="shared" si="2"/>
        <v>4/2026</v>
      </c>
      <c r="AP27" s="45">
        <f t="shared" si="3"/>
        <v>3</v>
      </c>
      <c r="AQ27" s="45">
        <f t="shared" si="4"/>
        <v>38</v>
      </c>
      <c r="AR27" s="45">
        <f t="shared" si="5"/>
        <v>0</v>
      </c>
      <c r="AS27" s="45">
        <f t="shared" si="6"/>
        <v>15</v>
      </c>
      <c r="AT27" s="45">
        <f t="shared" si="7"/>
        <v>11</v>
      </c>
      <c r="AU27" s="45" t="str">
        <f>_xlfn.XLOOKUP(U27,'Lista Suspensa'!$AA$20:$AA$23,'Lista Suspensa'!$AB$20:$AB$23,"N/A")</f>
        <v>S</v>
      </c>
    </row>
    <row r="28" spans="1:47" ht="12" customHeight="1" x14ac:dyDescent="0.3">
      <c r="A28" s="87" t="s">
        <v>65</v>
      </c>
      <c r="B28" s="88">
        <v>46090</v>
      </c>
      <c r="C28" s="89" t="s">
        <v>66</v>
      </c>
      <c r="D28" s="89" t="s">
        <v>49</v>
      </c>
      <c r="E28" s="90">
        <v>92673600</v>
      </c>
      <c r="F28" s="220" t="s">
        <v>145</v>
      </c>
      <c r="G28" s="92">
        <v>10363510842</v>
      </c>
      <c r="H28" s="93">
        <v>24656</v>
      </c>
      <c r="I28" s="89">
        <v>58</v>
      </c>
      <c r="J28" s="89" t="s">
        <v>51</v>
      </c>
      <c r="K28" s="89" t="s">
        <v>52</v>
      </c>
      <c r="L28" s="89"/>
      <c r="M28" s="89"/>
      <c r="N28" s="89" t="s">
        <v>146</v>
      </c>
      <c r="O28" s="94" t="s">
        <v>147</v>
      </c>
      <c r="P28" s="95" t="s">
        <v>55</v>
      </c>
      <c r="Q28" s="144" t="s">
        <v>70</v>
      </c>
      <c r="R28" s="96">
        <v>46141</v>
      </c>
      <c r="S28" s="97"/>
      <c r="T28" s="97" t="s">
        <v>57</v>
      </c>
      <c r="U28" s="97" t="s">
        <v>71</v>
      </c>
      <c r="V28" s="93">
        <v>46098</v>
      </c>
      <c r="W28" s="93">
        <v>46126</v>
      </c>
      <c r="X28" s="93">
        <v>46141</v>
      </c>
      <c r="Y28" s="98"/>
      <c r="Z28" s="89" t="s">
        <v>60</v>
      </c>
      <c r="AA28" s="97">
        <v>46157</v>
      </c>
      <c r="AB28" s="89" t="s">
        <v>110</v>
      </c>
      <c r="AC28" s="120"/>
      <c r="AD28" s="89"/>
      <c r="AE28" s="89"/>
      <c r="AF28" s="99"/>
      <c r="AG28" s="99"/>
      <c r="AH28" s="99"/>
      <c r="AI28" s="100" t="s">
        <v>62</v>
      </c>
      <c r="AJ28" s="100" t="s">
        <v>62</v>
      </c>
      <c r="AK28" s="100" t="s">
        <v>62</v>
      </c>
      <c r="AL28" s="45" t="s">
        <v>64</v>
      </c>
      <c r="AM28" s="198" t="str">
        <f t="shared" si="0"/>
        <v>3/2026</v>
      </c>
      <c r="AN28" s="45">
        <f t="shared" si="1"/>
        <v>2</v>
      </c>
      <c r="AO28" s="45" t="str">
        <f t="shared" si="2"/>
        <v>4/2026</v>
      </c>
      <c r="AP28" s="45">
        <f t="shared" si="3"/>
        <v>5</v>
      </c>
      <c r="AQ28" s="45">
        <f t="shared" si="4"/>
        <v>51</v>
      </c>
      <c r="AR28" s="45">
        <f t="shared" si="5"/>
        <v>0</v>
      </c>
      <c r="AS28" s="45">
        <f t="shared" si="6"/>
        <v>21.5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customHeight="1" x14ac:dyDescent="0.3">
      <c r="A29" s="87" t="s">
        <v>65</v>
      </c>
      <c r="B29" s="88">
        <v>46090</v>
      </c>
      <c r="C29" s="89" t="s">
        <v>66</v>
      </c>
      <c r="D29" s="89" t="s">
        <v>49</v>
      </c>
      <c r="E29" s="90">
        <v>803535880</v>
      </c>
      <c r="F29" s="220" t="s">
        <v>148</v>
      </c>
      <c r="G29" s="92">
        <v>3723754805</v>
      </c>
      <c r="H29" s="93">
        <v>22763</v>
      </c>
      <c r="I29" s="89">
        <v>64</v>
      </c>
      <c r="J29" s="89" t="s">
        <v>51</v>
      </c>
      <c r="K29" s="89" t="s">
        <v>52</v>
      </c>
      <c r="L29" s="89"/>
      <c r="M29" s="89"/>
      <c r="N29" s="89" t="s">
        <v>53</v>
      </c>
      <c r="O29" s="94" t="s">
        <v>149</v>
      </c>
      <c r="P29" s="95" t="s">
        <v>55</v>
      </c>
      <c r="Q29" s="144" t="s">
        <v>70</v>
      </c>
      <c r="R29" s="96">
        <v>46141</v>
      </c>
      <c r="S29" s="97"/>
      <c r="T29" s="97" t="s">
        <v>57</v>
      </c>
      <c r="U29" s="97" t="s">
        <v>71</v>
      </c>
      <c r="V29" s="93">
        <v>46098</v>
      </c>
      <c r="W29" s="93">
        <v>46126</v>
      </c>
      <c r="X29" s="93">
        <v>46141</v>
      </c>
      <c r="Y29" s="98"/>
      <c r="Z29" s="89" t="s">
        <v>60</v>
      </c>
      <c r="AA29" s="97">
        <v>46146</v>
      </c>
      <c r="AB29" s="89" t="s">
        <v>110</v>
      </c>
      <c r="AC29" s="120"/>
      <c r="AD29" s="89"/>
      <c r="AE29" s="89"/>
      <c r="AF29" s="99"/>
      <c r="AG29" s="99"/>
      <c r="AH29" s="99"/>
      <c r="AI29" s="100" t="s">
        <v>62</v>
      </c>
      <c r="AJ29" s="100" t="s">
        <v>47</v>
      </c>
      <c r="AK29" s="100" t="s">
        <v>62</v>
      </c>
      <c r="AL29" s="45" t="s">
        <v>64</v>
      </c>
      <c r="AM29" s="198" t="str">
        <f t="shared" si="0"/>
        <v>3/2026</v>
      </c>
      <c r="AN29" s="45">
        <f t="shared" si="1"/>
        <v>2</v>
      </c>
      <c r="AO29" s="45" t="str">
        <f t="shared" si="2"/>
        <v>4/2026</v>
      </c>
      <c r="AP29" s="45">
        <f t="shared" si="3"/>
        <v>5</v>
      </c>
      <c r="AQ29" s="45">
        <f t="shared" si="4"/>
        <v>51</v>
      </c>
      <c r="AR29" s="45">
        <f t="shared" si="5"/>
        <v>0</v>
      </c>
      <c r="AS29" s="45">
        <f t="shared" si="6"/>
        <v>21.5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customHeight="1" x14ac:dyDescent="0.3">
      <c r="A30" s="87" t="s">
        <v>65</v>
      </c>
      <c r="B30" s="88">
        <v>46090</v>
      </c>
      <c r="C30" s="89" t="s">
        <v>66</v>
      </c>
      <c r="D30" s="89" t="s">
        <v>49</v>
      </c>
      <c r="E30" s="90">
        <v>423527002</v>
      </c>
      <c r="F30" s="220" t="s">
        <v>150</v>
      </c>
      <c r="G30" s="92">
        <v>5181156827</v>
      </c>
      <c r="H30" s="93">
        <v>22040</v>
      </c>
      <c r="I30" s="89">
        <v>66</v>
      </c>
      <c r="J30" s="89" t="s">
        <v>77</v>
      </c>
      <c r="K30" s="89" t="s">
        <v>52</v>
      </c>
      <c r="L30" s="89"/>
      <c r="M30" s="89"/>
      <c r="N30" s="89" t="s">
        <v>151</v>
      </c>
      <c r="O30" s="94" t="s">
        <v>152</v>
      </c>
      <c r="P30" s="95" t="s">
        <v>55</v>
      </c>
      <c r="Q30" s="144" t="s">
        <v>70</v>
      </c>
      <c r="R30" s="96">
        <v>46141</v>
      </c>
      <c r="S30" s="97"/>
      <c r="T30" s="97" t="s">
        <v>57</v>
      </c>
      <c r="U30" s="97" t="s">
        <v>71</v>
      </c>
      <c r="V30" s="93">
        <v>46098</v>
      </c>
      <c r="W30" s="93">
        <v>46126</v>
      </c>
      <c r="X30" s="93">
        <v>46141</v>
      </c>
      <c r="Y30" s="98"/>
      <c r="Z30" s="89" t="s">
        <v>60</v>
      </c>
      <c r="AA30" s="97">
        <v>46157</v>
      </c>
      <c r="AB30" s="89" t="s">
        <v>110</v>
      </c>
      <c r="AC30" s="120"/>
      <c r="AD30" s="89"/>
      <c r="AE30" s="89"/>
      <c r="AF30" s="99"/>
      <c r="AG30" s="99"/>
      <c r="AH30" s="99"/>
      <c r="AI30" s="100" t="s">
        <v>62</v>
      </c>
      <c r="AJ30" s="100" t="s">
        <v>62</v>
      </c>
      <c r="AK30" s="100" t="s">
        <v>62</v>
      </c>
      <c r="AL30" s="45" t="s">
        <v>64</v>
      </c>
      <c r="AM30" s="198" t="str">
        <f t="shared" si="0"/>
        <v>3/2026</v>
      </c>
      <c r="AN30" s="45">
        <f t="shared" si="1"/>
        <v>2</v>
      </c>
      <c r="AO30" s="45" t="str">
        <f t="shared" si="2"/>
        <v>4/2026</v>
      </c>
      <c r="AP30" s="45">
        <f t="shared" si="3"/>
        <v>5</v>
      </c>
      <c r="AQ30" s="45">
        <f t="shared" si="4"/>
        <v>51</v>
      </c>
      <c r="AR30" s="45">
        <f t="shared" si="5"/>
        <v>0</v>
      </c>
      <c r="AS30" s="45">
        <f t="shared" si="6"/>
        <v>21.5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 x14ac:dyDescent="0.3">
      <c r="A31" s="87" t="s">
        <v>65</v>
      </c>
      <c r="B31" s="88">
        <v>46090</v>
      </c>
      <c r="C31" s="89" t="s">
        <v>66</v>
      </c>
      <c r="D31" s="89" t="s">
        <v>49</v>
      </c>
      <c r="E31" s="90">
        <v>808596233</v>
      </c>
      <c r="F31" s="220" t="s">
        <v>153</v>
      </c>
      <c r="G31" s="92">
        <v>27477055873</v>
      </c>
      <c r="H31" s="93">
        <v>18678</v>
      </c>
      <c r="I31" s="89">
        <v>75</v>
      </c>
      <c r="J31" s="89" t="s">
        <v>77</v>
      </c>
      <c r="K31" s="89" t="s">
        <v>52</v>
      </c>
      <c r="L31" s="89"/>
      <c r="M31" s="89"/>
      <c r="N31" s="89" t="s">
        <v>53</v>
      </c>
      <c r="O31" s="94" t="s">
        <v>154</v>
      </c>
      <c r="P31" s="95" t="s">
        <v>55</v>
      </c>
      <c r="Q31" s="144" t="s">
        <v>70</v>
      </c>
      <c r="R31" s="96">
        <v>46141</v>
      </c>
      <c r="S31" s="97"/>
      <c r="T31" s="97" t="s">
        <v>57</v>
      </c>
      <c r="U31" s="97" t="s">
        <v>71</v>
      </c>
      <c r="V31" s="93">
        <v>46098</v>
      </c>
      <c r="W31" s="93">
        <v>46126</v>
      </c>
      <c r="X31" s="93">
        <v>46141</v>
      </c>
      <c r="Y31" s="98"/>
      <c r="Z31" s="89" t="s">
        <v>60</v>
      </c>
      <c r="AA31" s="97">
        <v>46157</v>
      </c>
      <c r="AB31" s="89" t="s">
        <v>110</v>
      </c>
      <c r="AC31" s="120"/>
      <c r="AD31" s="89"/>
      <c r="AE31" s="89"/>
      <c r="AF31" s="99"/>
      <c r="AG31" s="99"/>
      <c r="AH31" s="99"/>
      <c r="AI31" s="100" t="s">
        <v>62</v>
      </c>
      <c r="AJ31" s="100" t="s">
        <v>62</v>
      </c>
      <c r="AK31" s="100" t="s">
        <v>62</v>
      </c>
      <c r="AL31" s="45" t="s">
        <v>64</v>
      </c>
      <c r="AM31" s="198" t="str">
        <f t="shared" si="0"/>
        <v>3/2026</v>
      </c>
      <c r="AN31" s="45">
        <f t="shared" si="1"/>
        <v>2</v>
      </c>
      <c r="AO31" s="45" t="str">
        <f t="shared" si="2"/>
        <v>4/2026</v>
      </c>
      <c r="AP31" s="45">
        <f t="shared" si="3"/>
        <v>5</v>
      </c>
      <c r="AQ31" s="45">
        <f t="shared" si="4"/>
        <v>51</v>
      </c>
      <c r="AR31" s="45">
        <f t="shared" si="5"/>
        <v>0</v>
      </c>
      <c r="AS31" s="45">
        <f t="shared" si="6"/>
        <v>21.5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customHeight="1" x14ac:dyDescent="0.3">
      <c r="A32" s="87" t="s">
        <v>65</v>
      </c>
      <c r="B32" s="88">
        <v>46090</v>
      </c>
      <c r="C32" s="89" t="s">
        <v>66</v>
      </c>
      <c r="D32" s="89" t="s">
        <v>49</v>
      </c>
      <c r="E32" s="90">
        <v>78453278</v>
      </c>
      <c r="F32" s="220" t="s">
        <v>155</v>
      </c>
      <c r="G32" s="92">
        <v>25789686753</v>
      </c>
      <c r="H32" s="93">
        <v>18679</v>
      </c>
      <c r="I32" s="89">
        <v>75</v>
      </c>
      <c r="J32" s="89" t="s">
        <v>51</v>
      </c>
      <c r="K32" s="89" t="s">
        <v>78</v>
      </c>
      <c r="L32" s="89"/>
      <c r="M32" s="89"/>
      <c r="N32" s="89" t="s">
        <v>83</v>
      </c>
      <c r="O32" s="94" t="s">
        <v>156</v>
      </c>
      <c r="P32" s="95" t="s">
        <v>55</v>
      </c>
      <c r="Q32" s="144" t="s">
        <v>136</v>
      </c>
      <c r="R32" s="96"/>
      <c r="S32" s="97">
        <v>46150</v>
      </c>
      <c r="T32" s="97" t="s">
        <v>57</v>
      </c>
      <c r="U32" s="97" t="s">
        <v>58</v>
      </c>
      <c r="V32" s="93">
        <v>46073</v>
      </c>
      <c r="W32" s="93">
        <v>46126</v>
      </c>
      <c r="X32" s="93">
        <v>46141</v>
      </c>
      <c r="Y32" s="98"/>
      <c r="Z32" s="89"/>
      <c r="AA32" s="97"/>
      <c r="AB32" s="89"/>
      <c r="AC32" s="120"/>
      <c r="AD32" s="89"/>
      <c r="AE32" s="89"/>
      <c r="AF32" s="99"/>
      <c r="AG32" s="99"/>
      <c r="AH32" s="99"/>
      <c r="AI32" s="100"/>
      <c r="AJ32" s="100"/>
      <c r="AK32" s="100"/>
      <c r="AL32" s="45" t="s">
        <v>64</v>
      </c>
      <c r="AM32" s="198" t="str">
        <f t="shared" si="0"/>
        <v>3/2026</v>
      </c>
      <c r="AN32" s="45">
        <f t="shared" si="1"/>
        <v>2</v>
      </c>
      <c r="AO32" s="45" t="str">
        <f t="shared" si="2"/>
        <v>1/1900</v>
      </c>
      <c r="AP32" s="45" t="e">
        <f t="shared" si="3"/>
        <v>#NUM!</v>
      </c>
      <c r="AQ32" s="45">
        <f t="shared" si="4"/>
        <v>0</v>
      </c>
      <c r="AR32" s="45">
        <f t="shared" si="5"/>
        <v>0</v>
      </c>
      <c r="AS32" s="45">
        <f t="shared" si="6"/>
        <v>0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customHeight="1" x14ac:dyDescent="0.3">
      <c r="A33" s="87" t="s">
        <v>65</v>
      </c>
      <c r="B33" s="88">
        <v>46090</v>
      </c>
      <c r="C33" s="89" t="s">
        <v>66</v>
      </c>
      <c r="D33" s="89" t="s">
        <v>49</v>
      </c>
      <c r="E33" s="90">
        <v>82040424</v>
      </c>
      <c r="F33" s="220" t="s">
        <v>157</v>
      </c>
      <c r="G33" s="92">
        <v>477989713</v>
      </c>
      <c r="H33" s="93">
        <v>25182</v>
      </c>
      <c r="I33" s="89">
        <v>57</v>
      </c>
      <c r="J33" s="89" t="s">
        <v>51</v>
      </c>
      <c r="K33" s="89" t="s">
        <v>78</v>
      </c>
      <c r="L33" s="89"/>
      <c r="M33" s="89"/>
      <c r="N33" s="89" t="s">
        <v>53</v>
      </c>
      <c r="O33" s="94" t="s">
        <v>158</v>
      </c>
      <c r="P33" s="95" t="s">
        <v>55</v>
      </c>
      <c r="Q33" s="144" t="s">
        <v>70</v>
      </c>
      <c r="R33" s="96">
        <v>46128</v>
      </c>
      <c r="S33" s="97"/>
      <c r="T33" s="97" t="s">
        <v>57</v>
      </c>
      <c r="U33" s="97" t="s">
        <v>71</v>
      </c>
      <c r="V33" s="93">
        <v>46073</v>
      </c>
      <c r="W33" s="93">
        <v>46126</v>
      </c>
      <c r="X33" s="93">
        <v>46128</v>
      </c>
      <c r="Y33" s="98"/>
      <c r="Z33" s="89" t="s">
        <v>60</v>
      </c>
      <c r="AA33" s="97">
        <v>46136</v>
      </c>
      <c r="AB33" s="89" t="s">
        <v>110</v>
      </c>
      <c r="AC33" s="120"/>
      <c r="AD33" s="89"/>
      <c r="AE33" s="89"/>
      <c r="AF33" s="99"/>
      <c r="AG33" s="99"/>
      <c r="AH33" s="99"/>
      <c r="AI33" s="100" t="s">
        <v>62</v>
      </c>
      <c r="AJ33" s="100" t="s">
        <v>47</v>
      </c>
      <c r="AK33" s="100" t="s">
        <v>62</v>
      </c>
      <c r="AL33" s="45" t="s">
        <v>64</v>
      </c>
      <c r="AM33" s="198" t="str">
        <f t="shared" si="0"/>
        <v>3/2026</v>
      </c>
      <c r="AN33" s="45">
        <f t="shared" si="1"/>
        <v>2</v>
      </c>
      <c r="AO33" s="45" t="str">
        <f t="shared" si="2"/>
        <v>4/2026</v>
      </c>
      <c r="AP33" s="45">
        <f t="shared" si="3"/>
        <v>3</v>
      </c>
      <c r="AQ33" s="45">
        <f t="shared" si="4"/>
        <v>38</v>
      </c>
      <c r="AR33" s="45">
        <f t="shared" si="5"/>
        <v>0</v>
      </c>
      <c r="AS33" s="45">
        <f t="shared" si="6"/>
        <v>27.5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customHeight="1" x14ac:dyDescent="0.3">
      <c r="A34" s="87" t="s">
        <v>65</v>
      </c>
      <c r="B34" s="88">
        <v>46090</v>
      </c>
      <c r="C34" s="89" t="s">
        <v>66</v>
      </c>
      <c r="D34" s="89" t="s">
        <v>49</v>
      </c>
      <c r="E34" s="90">
        <v>79667886</v>
      </c>
      <c r="F34" s="220" t="s">
        <v>159</v>
      </c>
      <c r="G34" s="92">
        <v>61646377753</v>
      </c>
      <c r="H34" s="93">
        <v>22232</v>
      </c>
      <c r="I34" s="89">
        <v>65</v>
      </c>
      <c r="J34" s="89" t="s">
        <v>51</v>
      </c>
      <c r="K34" s="89" t="s">
        <v>78</v>
      </c>
      <c r="L34" s="89"/>
      <c r="M34" s="89"/>
      <c r="N34" s="89" t="s">
        <v>83</v>
      </c>
      <c r="O34" s="94" t="s">
        <v>160</v>
      </c>
      <c r="P34" s="95" t="s">
        <v>55</v>
      </c>
      <c r="Q34" s="144" t="s">
        <v>136</v>
      </c>
      <c r="R34" s="96"/>
      <c r="S34" s="97">
        <v>46150</v>
      </c>
      <c r="T34" s="97" t="s">
        <v>57</v>
      </c>
      <c r="U34" s="97" t="s">
        <v>58</v>
      </c>
      <c r="V34" s="93">
        <v>46073</v>
      </c>
      <c r="W34" s="93">
        <v>46126</v>
      </c>
      <c r="X34" s="93">
        <v>46141</v>
      </c>
      <c r="Y34" s="98"/>
      <c r="Z34" s="89"/>
      <c r="AA34" s="97"/>
      <c r="AB34" s="89"/>
      <c r="AC34" s="120"/>
      <c r="AD34" s="89"/>
      <c r="AE34" s="89"/>
      <c r="AF34" s="99"/>
      <c r="AG34" s="99"/>
      <c r="AH34" s="99"/>
      <c r="AI34" s="100"/>
      <c r="AJ34" s="100"/>
      <c r="AK34" s="100"/>
      <c r="AL34" s="45" t="s">
        <v>64</v>
      </c>
      <c r="AM34" s="198" t="str">
        <f t="shared" si="0"/>
        <v>3/2026</v>
      </c>
      <c r="AN34" s="45">
        <f t="shared" si="1"/>
        <v>2</v>
      </c>
      <c r="AO34" s="45" t="str">
        <f t="shared" si="2"/>
        <v>1/1900</v>
      </c>
      <c r="AP34" s="45" t="e">
        <f t="shared" si="3"/>
        <v>#NUM!</v>
      </c>
      <c r="AQ34" s="45">
        <f t="shared" si="4"/>
        <v>0</v>
      </c>
      <c r="AR34" s="45">
        <f t="shared" si="5"/>
        <v>0</v>
      </c>
      <c r="AS34" s="45">
        <f t="shared" si="6"/>
        <v>0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customHeight="1" x14ac:dyDescent="0.3">
      <c r="A35" s="87" t="s">
        <v>65</v>
      </c>
      <c r="B35" s="88">
        <v>46090</v>
      </c>
      <c r="C35" s="89" t="s">
        <v>66</v>
      </c>
      <c r="D35" s="89" t="s">
        <v>49</v>
      </c>
      <c r="E35" s="90">
        <v>84246299</v>
      </c>
      <c r="F35" s="220" t="s">
        <v>161</v>
      </c>
      <c r="G35" s="92">
        <v>41063171768</v>
      </c>
      <c r="H35" s="93">
        <v>20886</v>
      </c>
      <c r="I35" s="89">
        <v>69</v>
      </c>
      <c r="J35" s="89" t="s">
        <v>51</v>
      </c>
      <c r="K35" s="89" t="s">
        <v>78</v>
      </c>
      <c r="L35" s="89"/>
      <c r="M35" s="89"/>
      <c r="N35" s="89" t="s">
        <v>83</v>
      </c>
      <c r="O35" s="94" t="s">
        <v>162</v>
      </c>
      <c r="P35" s="95" t="s">
        <v>55</v>
      </c>
      <c r="Q35" s="144" t="s">
        <v>70</v>
      </c>
      <c r="R35" s="96">
        <v>46141</v>
      </c>
      <c r="S35" s="97"/>
      <c r="T35" s="97" t="s">
        <v>57</v>
      </c>
      <c r="U35" s="97" t="s">
        <v>71</v>
      </c>
      <c r="V35" s="93">
        <v>46073</v>
      </c>
      <c r="W35" s="93">
        <v>46126</v>
      </c>
      <c r="X35" s="93">
        <v>46141</v>
      </c>
      <c r="Y35" s="98"/>
      <c r="Z35" s="89" t="s">
        <v>60</v>
      </c>
      <c r="AA35" s="97">
        <v>46157</v>
      </c>
      <c r="AB35" s="89" t="s">
        <v>110</v>
      </c>
      <c r="AC35" s="120"/>
      <c r="AD35" s="89"/>
      <c r="AE35" s="89"/>
      <c r="AF35" s="99"/>
      <c r="AG35" s="99"/>
      <c r="AH35" s="99"/>
      <c r="AI35" s="100" t="s">
        <v>62</v>
      </c>
      <c r="AJ35" s="100" t="s">
        <v>62</v>
      </c>
      <c r="AK35" s="100" t="s">
        <v>62</v>
      </c>
      <c r="AL35" s="45" t="s">
        <v>64</v>
      </c>
      <c r="AM35" s="198" t="str">
        <f t="shared" si="0"/>
        <v>3/2026</v>
      </c>
      <c r="AN35" s="45">
        <f t="shared" si="1"/>
        <v>2</v>
      </c>
      <c r="AO35" s="45" t="str">
        <f t="shared" si="2"/>
        <v>4/2026</v>
      </c>
      <c r="AP35" s="45">
        <f t="shared" si="3"/>
        <v>5</v>
      </c>
      <c r="AQ35" s="45">
        <f t="shared" si="4"/>
        <v>51</v>
      </c>
      <c r="AR35" s="45">
        <f t="shared" si="5"/>
        <v>0</v>
      </c>
      <c r="AS35" s="45">
        <f t="shared" si="6"/>
        <v>34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customHeight="1" x14ac:dyDescent="0.3">
      <c r="A36" s="87" t="s">
        <v>65</v>
      </c>
      <c r="B36" s="88">
        <v>46090</v>
      </c>
      <c r="C36" s="89" t="s">
        <v>66</v>
      </c>
      <c r="D36" s="89" t="s">
        <v>49</v>
      </c>
      <c r="E36" s="90">
        <v>84594973</v>
      </c>
      <c r="F36" s="220" t="s">
        <v>163</v>
      </c>
      <c r="G36" s="92">
        <v>1079398783</v>
      </c>
      <c r="H36" s="93">
        <v>25609</v>
      </c>
      <c r="I36" s="89">
        <v>56</v>
      </c>
      <c r="J36" s="89" t="s">
        <v>51</v>
      </c>
      <c r="K36" s="89" t="s">
        <v>78</v>
      </c>
      <c r="L36" s="89"/>
      <c r="M36" s="89"/>
      <c r="N36" s="89" t="s">
        <v>164</v>
      </c>
      <c r="O36" s="94" t="s">
        <v>165</v>
      </c>
      <c r="P36" s="95" t="s">
        <v>55</v>
      </c>
      <c r="Q36" s="144" t="s">
        <v>70</v>
      </c>
      <c r="R36" s="96">
        <v>46141</v>
      </c>
      <c r="S36" s="97"/>
      <c r="T36" s="97" t="s">
        <v>57</v>
      </c>
      <c r="U36" s="97" t="s">
        <v>71</v>
      </c>
      <c r="V36" s="93">
        <v>46073</v>
      </c>
      <c r="W36" s="93">
        <v>46126</v>
      </c>
      <c r="X36" s="93">
        <v>46141</v>
      </c>
      <c r="Y36" s="98"/>
      <c r="Z36" s="89" t="s">
        <v>60</v>
      </c>
      <c r="AA36" s="97">
        <v>46157</v>
      </c>
      <c r="AB36" s="89" t="s">
        <v>110</v>
      </c>
      <c r="AC36" s="120"/>
      <c r="AD36" s="89"/>
      <c r="AE36" s="89"/>
      <c r="AF36" s="99"/>
      <c r="AG36" s="99"/>
      <c r="AH36" s="99"/>
      <c r="AI36" s="100" t="s">
        <v>62</v>
      </c>
      <c r="AJ36" s="100" t="s">
        <v>62</v>
      </c>
      <c r="AK36" s="100" t="s">
        <v>62</v>
      </c>
      <c r="AL36" s="45" t="s">
        <v>64</v>
      </c>
      <c r="AM36" s="198" t="str">
        <f t="shared" si="0"/>
        <v>3/2026</v>
      </c>
      <c r="AN36" s="45">
        <f t="shared" si="1"/>
        <v>2</v>
      </c>
      <c r="AO36" s="45" t="str">
        <f t="shared" si="2"/>
        <v>4/2026</v>
      </c>
      <c r="AP36" s="45">
        <f t="shared" si="3"/>
        <v>5</v>
      </c>
      <c r="AQ36" s="45">
        <f t="shared" si="4"/>
        <v>51</v>
      </c>
      <c r="AR36" s="45">
        <f t="shared" si="5"/>
        <v>0</v>
      </c>
      <c r="AS36" s="45">
        <f t="shared" si="6"/>
        <v>34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customHeight="1" x14ac:dyDescent="0.3">
      <c r="A37" s="87" t="s">
        <v>65</v>
      </c>
      <c r="B37" s="88">
        <v>46090</v>
      </c>
      <c r="C37" s="89" t="s">
        <v>66</v>
      </c>
      <c r="D37" s="89" t="s">
        <v>49</v>
      </c>
      <c r="E37" s="90">
        <v>87102782</v>
      </c>
      <c r="F37" s="220" t="s">
        <v>166</v>
      </c>
      <c r="G37" s="92">
        <v>15132242715</v>
      </c>
      <c r="H37" s="93">
        <v>17678</v>
      </c>
      <c r="I37" s="89">
        <v>77</v>
      </c>
      <c r="J37" s="89" t="s">
        <v>51</v>
      </c>
      <c r="K37" s="89" t="s">
        <v>78</v>
      </c>
      <c r="L37" s="89"/>
      <c r="M37" s="89"/>
      <c r="N37" s="89" t="s">
        <v>83</v>
      </c>
      <c r="O37" s="94" t="s">
        <v>167</v>
      </c>
      <c r="P37" s="95" t="s">
        <v>55</v>
      </c>
      <c r="Q37" s="144" t="s">
        <v>70</v>
      </c>
      <c r="R37" s="96">
        <v>46141</v>
      </c>
      <c r="S37" s="97"/>
      <c r="T37" s="97" t="s">
        <v>57</v>
      </c>
      <c r="U37" s="97" t="s">
        <v>71</v>
      </c>
      <c r="V37" s="93">
        <v>46073</v>
      </c>
      <c r="W37" s="93">
        <v>46126</v>
      </c>
      <c r="X37" s="93">
        <v>46141</v>
      </c>
      <c r="Y37" s="98"/>
      <c r="Z37" s="89" t="s">
        <v>60</v>
      </c>
      <c r="AA37" s="97">
        <v>46157</v>
      </c>
      <c r="AB37" s="89" t="s">
        <v>110</v>
      </c>
      <c r="AC37" s="120"/>
      <c r="AD37" s="89"/>
      <c r="AE37" s="89"/>
      <c r="AF37" s="99"/>
      <c r="AG37" s="99"/>
      <c r="AH37" s="99"/>
      <c r="AI37" s="100" t="s">
        <v>62</v>
      </c>
      <c r="AJ37" s="100" t="s">
        <v>62</v>
      </c>
      <c r="AK37" s="100" t="s">
        <v>62</v>
      </c>
      <c r="AL37" s="45" t="s">
        <v>64</v>
      </c>
      <c r="AM37" s="198" t="str">
        <f t="shared" si="0"/>
        <v>3/2026</v>
      </c>
      <c r="AN37" s="45">
        <f t="shared" si="1"/>
        <v>2</v>
      </c>
      <c r="AO37" s="45" t="str">
        <f t="shared" si="2"/>
        <v>4/2026</v>
      </c>
      <c r="AP37" s="45">
        <f t="shared" si="3"/>
        <v>5</v>
      </c>
      <c r="AQ37" s="45">
        <f t="shared" si="4"/>
        <v>51</v>
      </c>
      <c r="AR37" s="45">
        <f t="shared" si="5"/>
        <v>0</v>
      </c>
      <c r="AS37" s="45">
        <f t="shared" si="6"/>
        <v>34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customHeight="1" x14ac:dyDescent="0.3">
      <c r="A38" s="87" t="s">
        <v>65</v>
      </c>
      <c r="B38" s="88">
        <v>46090</v>
      </c>
      <c r="C38" s="89" t="s">
        <v>66</v>
      </c>
      <c r="D38" s="89" t="s">
        <v>49</v>
      </c>
      <c r="E38" s="90">
        <v>87739662</v>
      </c>
      <c r="F38" s="220" t="s">
        <v>168</v>
      </c>
      <c r="G38" s="92">
        <v>41506812791</v>
      </c>
      <c r="H38" s="93">
        <v>18440</v>
      </c>
      <c r="I38" s="89">
        <v>75</v>
      </c>
      <c r="J38" s="89" t="s">
        <v>51</v>
      </c>
      <c r="K38" s="89" t="s">
        <v>78</v>
      </c>
      <c r="L38" s="89"/>
      <c r="M38" s="89"/>
      <c r="N38" s="89" t="s">
        <v>132</v>
      </c>
      <c r="O38" s="94" t="s">
        <v>169</v>
      </c>
      <c r="P38" s="95" t="s">
        <v>55</v>
      </c>
      <c r="Q38" s="144" t="s">
        <v>70</v>
      </c>
      <c r="R38" s="96">
        <v>46141</v>
      </c>
      <c r="S38" s="97"/>
      <c r="T38" s="97" t="s">
        <v>57</v>
      </c>
      <c r="U38" s="97" t="s">
        <v>71</v>
      </c>
      <c r="V38" s="93">
        <v>46073</v>
      </c>
      <c r="W38" s="93">
        <v>46126</v>
      </c>
      <c r="X38" s="93">
        <v>46141</v>
      </c>
      <c r="Y38" s="98"/>
      <c r="Z38" s="89" t="s">
        <v>60</v>
      </c>
      <c r="AA38" s="97">
        <v>46157</v>
      </c>
      <c r="AB38" s="89" t="s">
        <v>110</v>
      </c>
      <c r="AC38" s="120"/>
      <c r="AD38" s="89"/>
      <c r="AE38" s="89"/>
      <c r="AF38" s="99"/>
      <c r="AG38" s="99"/>
      <c r="AH38" s="99"/>
      <c r="AI38" s="100" t="s">
        <v>62</v>
      </c>
      <c r="AJ38" s="100" t="s">
        <v>62</v>
      </c>
      <c r="AK38" s="100" t="s">
        <v>62</v>
      </c>
      <c r="AL38" s="45" t="s">
        <v>64</v>
      </c>
      <c r="AM38" s="198" t="str">
        <f t="shared" si="0"/>
        <v>3/2026</v>
      </c>
      <c r="AN38" s="45">
        <f t="shared" si="1"/>
        <v>2</v>
      </c>
      <c r="AO38" s="45" t="str">
        <f t="shared" si="2"/>
        <v>4/2026</v>
      </c>
      <c r="AP38" s="45">
        <f t="shared" si="3"/>
        <v>5</v>
      </c>
      <c r="AQ38" s="45">
        <f t="shared" si="4"/>
        <v>51</v>
      </c>
      <c r="AR38" s="45">
        <f t="shared" si="5"/>
        <v>0</v>
      </c>
      <c r="AS38" s="45">
        <f t="shared" si="6"/>
        <v>34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customHeight="1" x14ac:dyDescent="0.3">
      <c r="A39" s="87" t="s">
        <v>65</v>
      </c>
      <c r="B39" s="88">
        <v>46090</v>
      </c>
      <c r="C39" s="89" t="s">
        <v>66</v>
      </c>
      <c r="D39" s="89" t="s">
        <v>49</v>
      </c>
      <c r="E39" s="90">
        <v>75162506</v>
      </c>
      <c r="F39" s="220" t="s">
        <v>170</v>
      </c>
      <c r="G39" s="92">
        <v>452040710</v>
      </c>
      <c r="H39" s="93">
        <v>24897</v>
      </c>
      <c r="I39" s="89">
        <v>58</v>
      </c>
      <c r="J39" s="89" t="s">
        <v>51</v>
      </c>
      <c r="K39" s="89" t="s">
        <v>78</v>
      </c>
      <c r="L39" s="89"/>
      <c r="M39" s="89"/>
      <c r="N39" s="89" t="s">
        <v>79</v>
      </c>
      <c r="O39" s="94" t="s">
        <v>171</v>
      </c>
      <c r="P39" s="95" t="s">
        <v>55</v>
      </c>
      <c r="Q39" s="144" t="s">
        <v>70</v>
      </c>
      <c r="R39" s="96">
        <v>46141</v>
      </c>
      <c r="S39" s="97"/>
      <c r="T39" s="97" t="s">
        <v>57</v>
      </c>
      <c r="U39" s="97" t="s">
        <v>71</v>
      </c>
      <c r="V39" s="93">
        <v>46111</v>
      </c>
      <c r="W39" s="93">
        <v>46126</v>
      </c>
      <c r="X39" s="93">
        <v>46141</v>
      </c>
      <c r="Y39" s="98"/>
      <c r="Z39" s="89" t="s">
        <v>60</v>
      </c>
      <c r="AA39" s="97">
        <v>46157</v>
      </c>
      <c r="AB39" s="89" t="s">
        <v>110</v>
      </c>
      <c r="AC39" s="120"/>
      <c r="AD39" s="89"/>
      <c r="AE39" s="89"/>
      <c r="AF39" s="99"/>
      <c r="AG39" s="99"/>
      <c r="AH39" s="99"/>
      <c r="AI39" s="100" t="s">
        <v>62</v>
      </c>
      <c r="AJ39" s="100" t="s">
        <v>62</v>
      </c>
      <c r="AK39" s="100" t="s">
        <v>62</v>
      </c>
      <c r="AL39" s="45" t="s">
        <v>64</v>
      </c>
      <c r="AM39" s="198" t="str">
        <f t="shared" si="0"/>
        <v>3/2026</v>
      </c>
      <c r="AN39" s="45">
        <f t="shared" si="1"/>
        <v>2</v>
      </c>
      <c r="AO39" s="45" t="str">
        <f t="shared" si="2"/>
        <v>4/2026</v>
      </c>
      <c r="AP39" s="45">
        <f t="shared" si="3"/>
        <v>5</v>
      </c>
      <c r="AQ39" s="45">
        <f t="shared" si="4"/>
        <v>51</v>
      </c>
      <c r="AR39" s="45">
        <f t="shared" si="5"/>
        <v>0</v>
      </c>
      <c r="AS39" s="45">
        <f t="shared" si="6"/>
        <v>15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customHeight="1" x14ac:dyDescent="0.3">
      <c r="A40" s="87" t="s">
        <v>65</v>
      </c>
      <c r="B40" s="88">
        <v>46090</v>
      </c>
      <c r="C40" s="89" t="s">
        <v>66</v>
      </c>
      <c r="D40" s="89" t="s">
        <v>49</v>
      </c>
      <c r="E40" s="90">
        <v>76496281</v>
      </c>
      <c r="F40" s="220" t="s">
        <v>172</v>
      </c>
      <c r="G40" s="92">
        <v>54899621787</v>
      </c>
      <c r="H40" s="93">
        <v>21525</v>
      </c>
      <c r="I40" s="89">
        <v>67</v>
      </c>
      <c r="J40" s="89" t="s">
        <v>51</v>
      </c>
      <c r="K40" s="89" t="s">
        <v>78</v>
      </c>
      <c r="L40" s="89"/>
      <c r="M40" s="89"/>
      <c r="N40" s="89" t="s">
        <v>79</v>
      </c>
      <c r="O40" s="94" t="s">
        <v>173</v>
      </c>
      <c r="P40" s="95" t="s">
        <v>55</v>
      </c>
      <c r="Q40" s="144" t="s">
        <v>70</v>
      </c>
      <c r="R40" s="96">
        <v>46141</v>
      </c>
      <c r="S40" s="97"/>
      <c r="T40" s="97" t="s">
        <v>57</v>
      </c>
      <c r="U40" s="97" t="s">
        <v>71</v>
      </c>
      <c r="V40" s="93">
        <v>46111</v>
      </c>
      <c r="W40" s="93">
        <v>46126</v>
      </c>
      <c r="X40" s="93">
        <v>46141</v>
      </c>
      <c r="Y40" s="98"/>
      <c r="Z40" s="89" t="s">
        <v>60</v>
      </c>
      <c r="AA40" s="97">
        <v>46157</v>
      </c>
      <c r="AB40" s="89" t="s">
        <v>110</v>
      </c>
      <c r="AC40" s="120"/>
      <c r="AD40" s="89"/>
      <c r="AE40" s="89"/>
      <c r="AF40" s="99"/>
      <c r="AG40" s="99"/>
      <c r="AH40" s="99"/>
      <c r="AI40" s="100" t="s">
        <v>62</v>
      </c>
      <c r="AJ40" s="100" t="s">
        <v>62</v>
      </c>
      <c r="AK40" s="100" t="s">
        <v>62</v>
      </c>
      <c r="AL40" s="45" t="s">
        <v>64</v>
      </c>
      <c r="AM40" s="198" t="str">
        <f t="shared" si="0"/>
        <v>3/2026</v>
      </c>
      <c r="AN40" s="45">
        <f t="shared" si="1"/>
        <v>2</v>
      </c>
      <c r="AO40" s="45" t="str">
        <f t="shared" si="2"/>
        <v>4/2026</v>
      </c>
      <c r="AP40" s="45">
        <f t="shared" si="3"/>
        <v>5</v>
      </c>
      <c r="AQ40" s="45">
        <f t="shared" si="4"/>
        <v>51</v>
      </c>
      <c r="AR40" s="45">
        <f t="shared" si="5"/>
        <v>0</v>
      </c>
      <c r="AS40" s="45">
        <f t="shared" si="6"/>
        <v>15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customHeight="1" x14ac:dyDescent="0.3">
      <c r="A41" s="87" t="s">
        <v>65</v>
      </c>
      <c r="B41" s="88">
        <v>46090</v>
      </c>
      <c r="C41" s="89" t="s">
        <v>66</v>
      </c>
      <c r="D41" s="89" t="s">
        <v>49</v>
      </c>
      <c r="E41" s="90">
        <v>92836073</v>
      </c>
      <c r="F41" s="220" t="s">
        <v>174</v>
      </c>
      <c r="G41" s="92">
        <v>1044539747</v>
      </c>
      <c r="H41" s="93">
        <v>25698</v>
      </c>
      <c r="I41" s="89">
        <v>56</v>
      </c>
      <c r="J41" s="89" t="s">
        <v>51</v>
      </c>
      <c r="K41" s="89" t="s">
        <v>78</v>
      </c>
      <c r="L41" s="89"/>
      <c r="M41" s="89"/>
      <c r="N41" s="89" t="s">
        <v>126</v>
      </c>
      <c r="O41" s="94" t="s">
        <v>175</v>
      </c>
      <c r="P41" s="95" t="s">
        <v>55</v>
      </c>
      <c r="Q41" s="144" t="s">
        <v>70</v>
      </c>
      <c r="R41" s="96">
        <v>46141</v>
      </c>
      <c r="S41" s="97"/>
      <c r="T41" s="97" t="s">
        <v>57</v>
      </c>
      <c r="U41" s="97" t="s">
        <v>71</v>
      </c>
      <c r="V41" s="93">
        <v>46111</v>
      </c>
      <c r="W41" s="93">
        <v>46126</v>
      </c>
      <c r="X41" s="93">
        <v>46141</v>
      </c>
      <c r="Y41" s="98"/>
      <c r="Z41" s="89" t="s">
        <v>60</v>
      </c>
      <c r="AA41" s="97">
        <v>46157</v>
      </c>
      <c r="AB41" s="89" t="s">
        <v>110</v>
      </c>
      <c r="AC41" s="120"/>
      <c r="AD41" s="89"/>
      <c r="AE41" s="89"/>
      <c r="AF41" s="99"/>
      <c r="AG41" s="99"/>
      <c r="AH41" s="99"/>
      <c r="AI41" s="100" t="s">
        <v>62</v>
      </c>
      <c r="AJ41" s="100" t="s">
        <v>62</v>
      </c>
      <c r="AK41" s="100" t="s">
        <v>62</v>
      </c>
      <c r="AL41" s="45" t="s">
        <v>64</v>
      </c>
      <c r="AM41" s="198" t="str">
        <f t="shared" si="0"/>
        <v>3/2026</v>
      </c>
      <c r="AN41" s="45">
        <f t="shared" si="1"/>
        <v>2</v>
      </c>
      <c r="AO41" s="45" t="str">
        <f t="shared" si="2"/>
        <v>4/2026</v>
      </c>
      <c r="AP41" s="45">
        <f t="shared" si="3"/>
        <v>5</v>
      </c>
      <c r="AQ41" s="45">
        <f t="shared" si="4"/>
        <v>51</v>
      </c>
      <c r="AR41" s="45">
        <f t="shared" si="5"/>
        <v>0</v>
      </c>
      <c r="AS41" s="45">
        <f t="shared" si="6"/>
        <v>15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customHeight="1" x14ac:dyDescent="0.3">
      <c r="A42" s="87" t="s">
        <v>65</v>
      </c>
      <c r="B42" s="88">
        <v>46090</v>
      </c>
      <c r="C42" s="89" t="s">
        <v>66</v>
      </c>
      <c r="D42" s="89" t="s">
        <v>49</v>
      </c>
      <c r="E42" s="90">
        <v>92990199</v>
      </c>
      <c r="F42" s="220" t="s">
        <v>176</v>
      </c>
      <c r="G42" s="92">
        <v>6982453774</v>
      </c>
      <c r="H42" s="93">
        <v>27277</v>
      </c>
      <c r="I42" s="89">
        <v>51</v>
      </c>
      <c r="J42" s="89" t="s">
        <v>51</v>
      </c>
      <c r="K42" s="89" t="s">
        <v>78</v>
      </c>
      <c r="L42" s="89"/>
      <c r="M42" s="89"/>
      <c r="N42" s="89" t="s">
        <v>129</v>
      </c>
      <c r="O42" s="94" t="s">
        <v>177</v>
      </c>
      <c r="P42" s="95" t="s">
        <v>55</v>
      </c>
      <c r="Q42" s="144" t="s">
        <v>70</v>
      </c>
      <c r="R42" s="96">
        <v>46141</v>
      </c>
      <c r="S42" s="97"/>
      <c r="T42" s="97" t="s">
        <v>57</v>
      </c>
      <c r="U42" s="97" t="s">
        <v>71</v>
      </c>
      <c r="V42" s="93">
        <v>46111</v>
      </c>
      <c r="W42" s="93">
        <v>46126</v>
      </c>
      <c r="X42" s="93">
        <v>46141</v>
      </c>
      <c r="Y42" s="98"/>
      <c r="Z42" s="89" t="s">
        <v>60</v>
      </c>
      <c r="AA42" s="97">
        <v>46157</v>
      </c>
      <c r="AB42" s="89" t="s">
        <v>110</v>
      </c>
      <c r="AC42" s="120"/>
      <c r="AD42" s="89"/>
      <c r="AE42" s="89"/>
      <c r="AF42" s="99"/>
      <c r="AG42" s="99"/>
      <c r="AH42" s="99"/>
      <c r="AI42" s="100" t="s">
        <v>62</v>
      </c>
      <c r="AJ42" s="100" t="s">
        <v>62</v>
      </c>
      <c r="AK42" s="100" t="s">
        <v>62</v>
      </c>
      <c r="AL42" s="45" t="s">
        <v>64</v>
      </c>
      <c r="AM42" s="198" t="str">
        <f t="shared" si="0"/>
        <v>3/2026</v>
      </c>
      <c r="AN42" s="45">
        <f t="shared" si="1"/>
        <v>2</v>
      </c>
      <c r="AO42" s="45" t="str">
        <f t="shared" si="2"/>
        <v>4/2026</v>
      </c>
      <c r="AP42" s="45">
        <f t="shared" si="3"/>
        <v>5</v>
      </c>
      <c r="AQ42" s="45">
        <f t="shared" si="4"/>
        <v>51</v>
      </c>
      <c r="AR42" s="45">
        <f t="shared" si="5"/>
        <v>0</v>
      </c>
      <c r="AS42" s="45">
        <f t="shared" si="6"/>
        <v>15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customHeight="1" x14ac:dyDescent="0.3">
      <c r="A43" s="87" t="s">
        <v>65</v>
      </c>
      <c r="B43" s="88">
        <v>46090</v>
      </c>
      <c r="C43" s="89" t="s">
        <v>66</v>
      </c>
      <c r="D43" s="89" t="s">
        <v>49</v>
      </c>
      <c r="E43" s="90">
        <v>93682420</v>
      </c>
      <c r="F43" s="220" t="s">
        <v>178</v>
      </c>
      <c r="G43" s="92">
        <v>14764554739</v>
      </c>
      <c r="H43" s="93">
        <v>37074</v>
      </c>
      <c r="I43" s="89">
        <v>24</v>
      </c>
      <c r="J43" s="89" t="s">
        <v>77</v>
      </c>
      <c r="K43" s="89" t="s">
        <v>78</v>
      </c>
      <c r="L43" s="89"/>
      <c r="M43" s="89"/>
      <c r="N43" s="89" t="s">
        <v>179</v>
      </c>
      <c r="O43" s="94" t="s">
        <v>180</v>
      </c>
      <c r="P43" s="95" t="s">
        <v>55</v>
      </c>
      <c r="Q43" s="144" t="s">
        <v>70</v>
      </c>
      <c r="R43" s="96">
        <v>46141</v>
      </c>
      <c r="S43" s="97"/>
      <c r="T43" s="97" t="s">
        <v>57</v>
      </c>
      <c r="U43" s="97" t="s">
        <v>71</v>
      </c>
      <c r="V43" s="93">
        <v>46111</v>
      </c>
      <c r="W43" s="93">
        <v>46126</v>
      </c>
      <c r="X43" s="93">
        <v>46141</v>
      </c>
      <c r="Y43" s="98"/>
      <c r="Z43" s="89" t="s">
        <v>60</v>
      </c>
      <c r="AA43" s="97">
        <v>46157</v>
      </c>
      <c r="AB43" s="89" t="s">
        <v>110</v>
      </c>
      <c r="AC43" s="120"/>
      <c r="AD43" s="89"/>
      <c r="AE43" s="89"/>
      <c r="AF43" s="99"/>
      <c r="AG43" s="99"/>
      <c r="AH43" s="99"/>
      <c r="AI43" s="100" t="s">
        <v>62</v>
      </c>
      <c r="AJ43" s="100" t="s">
        <v>62</v>
      </c>
      <c r="AK43" s="100" t="s">
        <v>62</v>
      </c>
      <c r="AL43" s="45" t="s">
        <v>64</v>
      </c>
      <c r="AM43" s="198" t="str">
        <f t="shared" si="0"/>
        <v>3/2026</v>
      </c>
      <c r="AN43" s="45">
        <f t="shared" si="1"/>
        <v>2</v>
      </c>
      <c r="AO43" s="45" t="str">
        <f t="shared" si="2"/>
        <v>4/2026</v>
      </c>
      <c r="AP43" s="45">
        <f t="shared" si="3"/>
        <v>5</v>
      </c>
      <c r="AQ43" s="45">
        <f t="shared" si="4"/>
        <v>51</v>
      </c>
      <c r="AR43" s="45">
        <f t="shared" si="5"/>
        <v>0</v>
      </c>
      <c r="AS43" s="45">
        <f t="shared" si="6"/>
        <v>15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customHeight="1" x14ac:dyDescent="0.3">
      <c r="A44" s="87" t="s">
        <v>65</v>
      </c>
      <c r="B44" s="88">
        <v>46090</v>
      </c>
      <c r="C44" s="89" t="s">
        <v>66</v>
      </c>
      <c r="D44" s="89" t="s">
        <v>49</v>
      </c>
      <c r="E44" s="90">
        <v>93695424</v>
      </c>
      <c r="F44" s="220" t="s">
        <v>181</v>
      </c>
      <c r="G44" s="92">
        <v>61054178704</v>
      </c>
      <c r="H44" s="93">
        <v>21666</v>
      </c>
      <c r="I44" s="89">
        <v>67</v>
      </c>
      <c r="J44" s="89" t="s">
        <v>51</v>
      </c>
      <c r="K44" s="89" t="s">
        <v>78</v>
      </c>
      <c r="L44" s="89"/>
      <c r="M44" s="89"/>
      <c r="N44" s="89" t="s">
        <v>179</v>
      </c>
      <c r="O44" s="94" t="s">
        <v>182</v>
      </c>
      <c r="P44" s="95" t="s">
        <v>55</v>
      </c>
      <c r="Q44" s="144" t="s">
        <v>136</v>
      </c>
      <c r="R44" s="96"/>
      <c r="S44" s="97">
        <v>46150</v>
      </c>
      <c r="T44" s="97" t="s">
        <v>183</v>
      </c>
      <c r="U44" s="97" t="s">
        <v>58</v>
      </c>
      <c r="V44" s="93">
        <v>46111</v>
      </c>
      <c r="W44" s="93">
        <v>46126</v>
      </c>
      <c r="X44" s="93">
        <v>46141</v>
      </c>
      <c r="Y44" s="98"/>
      <c r="Z44" s="89"/>
      <c r="AA44" s="97"/>
      <c r="AB44" s="89"/>
      <c r="AC44" s="120"/>
      <c r="AD44" s="89"/>
      <c r="AE44" s="89"/>
      <c r="AF44" s="99"/>
      <c r="AG44" s="99"/>
      <c r="AH44" s="99"/>
      <c r="AI44" s="100"/>
      <c r="AJ44" s="100"/>
      <c r="AK44" s="100"/>
      <c r="AL44" s="45" t="s">
        <v>64</v>
      </c>
      <c r="AM44" s="198" t="str">
        <f t="shared" si="0"/>
        <v>3/2026</v>
      </c>
      <c r="AN44" s="45">
        <f t="shared" si="1"/>
        <v>2</v>
      </c>
      <c r="AO44" s="45" t="str">
        <f t="shared" si="2"/>
        <v>1/1900</v>
      </c>
      <c r="AP44" s="45" t="e">
        <f t="shared" si="3"/>
        <v>#NUM!</v>
      </c>
      <c r="AQ44" s="45">
        <f t="shared" si="4"/>
        <v>0</v>
      </c>
      <c r="AR44" s="45">
        <f t="shared" si="5"/>
        <v>0</v>
      </c>
      <c r="AS44" s="45">
        <f t="shared" si="6"/>
        <v>0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customHeight="1" x14ac:dyDescent="0.3">
      <c r="A45" s="87" t="s">
        <v>65</v>
      </c>
      <c r="B45" s="88">
        <v>46090</v>
      </c>
      <c r="C45" s="89" t="s">
        <v>66</v>
      </c>
      <c r="D45" s="89" t="s">
        <v>49</v>
      </c>
      <c r="E45" s="90">
        <v>93826376</v>
      </c>
      <c r="F45" s="220" t="s">
        <v>184</v>
      </c>
      <c r="G45" s="92">
        <v>52804712753</v>
      </c>
      <c r="H45" s="93">
        <v>21407</v>
      </c>
      <c r="I45" s="89">
        <v>67</v>
      </c>
      <c r="J45" s="89" t="s">
        <v>77</v>
      </c>
      <c r="K45" s="89" t="s">
        <v>78</v>
      </c>
      <c r="L45" s="89"/>
      <c r="M45" s="89"/>
      <c r="N45" s="89" t="s">
        <v>129</v>
      </c>
      <c r="O45" s="94" t="s">
        <v>185</v>
      </c>
      <c r="P45" s="95" t="s">
        <v>55</v>
      </c>
      <c r="Q45" s="144" t="s">
        <v>70</v>
      </c>
      <c r="R45" s="96">
        <v>46141</v>
      </c>
      <c r="S45" s="97"/>
      <c r="T45" s="97" t="s">
        <v>57</v>
      </c>
      <c r="U45" s="97" t="s">
        <v>71</v>
      </c>
      <c r="V45" s="93">
        <v>46111</v>
      </c>
      <c r="W45" s="93">
        <v>46126</v>
      </c>
      <c r="X45" s="93">
        <v>46141</v>
      </c>
      <c r="Y45" s="98"/>
      <c r="Z45" s="89" t="s">
        <v>60</v>
      </c>
      <c r="AA45" s="97">
        <v>46157</v>
      </c>
      <c r="AB45" s="89" t="s">
        <v>110</v>
      </c>
      <c r="AC45" s="120"/>
      <c r="AD45" s="89"/>
      <c r="AE45" s="89"/>
      <c r="AF45" s="99"/>
      <c r="AG45" s="99"/>
      <c r="AH45" s="99"/>
      <c r="AI45" s="100" t="s">
        <v>62</v>
      </c>
      <c r="AJ45" s="100" t="s">
        <v>62</v>
      </c>
      <c r="AK45" s="100" t="s">
        <v>62</v>
      </c>
      <c r="AL45" s="45" t="s">
        <v>64</v>
      </c>
      <c r="AM45" s="198" t="str">
        <f t="shared" si="0"/>
        <v>3/2026</v>
      </c>
      <c r="AN45" s="45">
        <f t="shared" si="1"/>
        <v>2</v>
      </c>
      <c r="AO45" s="45" t="str">
        <f t="shared" si="2"/>
        <v>4/2026</v>
      </c>
      <c r="AP45" s="45">
        <f t="shared" si="3"/>
        <v>5</v>
      </c>
      <c r="AQ45" s="45">
        <f t="shared" si="4"/>
        <v>51</v>
      </c>
      <c r="AR45" s="45">
        <f t="shared" si="5"/>
        <v>0</v>
      </c>
      <c r="AS45" s="45">
        <f t="shared" si="6"/>
        <v>15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customHeight="1" x14ac:dyDescent="0.3">
      <c r="A46" s="87" t="s">
        <v>65</v>
      </c>
      <c r="B46" s="88">
        <v>46090</v>
      </c>
      <c r="C46" s="89" t="s">
        <v>66</v>
      </c>
      <c r="D46" s="89" t="s">
        <v>49</v>
      </c>
      <c r="E46" s="90">
        <v>94227350</v>
      </c>
      <c r="F46" s="220" t="s">
        <v>186</v>
      </c>
      <c r="G46" s="92">
        <v>73309648753</v>
      </c>
      <c r="H46" s="93">
        <v>22285</v>
      </c>
      <c r="I46" s="89">
        <v>65</v>
      </c>
      <c r="J46" s="89" t="s">
        <v>51</v>
      </c>
      <c r="K46" s="89" t="s">
        <v>78</v>
      </c>
      <c r="L46" s="89"/>
      <c r="M46" s="89"/>
      <c r="N46" s="89" t="s">
        <v>179</v>
      </c>
      <c r="O46" s="94" t="s">
        <v>187</v>
      </c>
      <c r="P46" s="95" t="s">
        <v>55</v>
      </c>
      <c r="Q46" s="144" t="s">
        <v>70</v>
      </c>
      <c r="R46" s="96">
        <v>46141</v>
      </c>
      <c r="S46" s="97"/>
      <c r="T46" s="97" t="s">
        <v>57</v>
      </c>
      <c r="U46" s="97" t="s">
        <v>71</v>
      </c>
      <c r="V46" s="93">
        <v>46111</v>
      </c>
      <c r="W46" s="93">
        <v>46126</v>
      </c>
      <c r="X46" s="93">
        <v>46141</v>
      </c>
      <c r="Y46" s="98"/>
      <c r="Z46" s="89" t="s">
        <v>60</v>
      </c>
      <c r="AA46" s="97">
        <v>46157</v>
      </c>
      <c r="AB46" s="89" t="s">
        <v>110</v>
      </c>
      <c r="AC46" s="120"/>
      <c r="AD46" s="89"/>
      <c r="AE46" s="89"/>
      <c r="AF46" s="99"/>
      <c r="AG46" s="99"/>
      <c r="AH46" s="99"/>
      <c r="AI46" s="100" t="s">
        <v>62</v>
      </c>
      <c r="AJ46" s="100" t="s">
        <v>62</v>
      </c>
      <c r="AK46" s="100" t="s">
        <v>62</v>
      </c>
      <c r="AL46" s="45" t="s">
        <v>64</v>
      </c>
      <c r="AM46" s="198" t="str">
        <f t="shared" si="0"/>
        <v>3/2026</v>
      </c>
      <c r="AN46" s="45">
        <f t="shared" si="1"/>
        <v>2</v>
      </c>
      <c r="AO46" s="45" t="str">
        <f t="shared" si="2"/>
        <v>4/2026</v>
      </c>
      <c r="AP46" s="45">
        <f t="shared" si="3"/>
        <v>5</v>
      </c>
      <c r="AQ46" s="45">
        <f t="shared" si="4"/>
        <v>51</v>
      </c>
      <c r="AR46" s="45">
        <f t="shared" si="5"/>
        <v>0</v>
      </c>
      <c r="AS46" s="45">
        <f t="shared" si="6"/>
        <v>15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customHeight="1" x14ac:dyDescent="0.3">
      <c r="A47" s="87" t="s">
        <v>65</v>
      </c>
      <c r="B47" s="88">
        <v>46090</v>
      </c>
      <c r="C47" s="89" t="s">
        <v>66</v>
      </c>
      <c r="D47" s="89" t="s">
        <v>49</v>
      </c>
      <c r="E47" s="90">
        <v>94349483</v>
      </c>
      <c r="F47" s="220" t="s">
        <v>188</v>
      </c>
      <c r="G47" s="92">
        <v>36398292987</v>
      </c>
      <c r="H47" s="93">
        <v>22373</v>
      </c>
      <c r="I47" s="89">
        <v>65</v>
      </c>
      <c r="J47" s="89" t="s">
        <v>51</v>
      </c>
      <c r="K47" s="89" t="s">
        <v>52</v>
      </c>
      <c r="L47" s="89"/>
      <c r="M47" s="89"/>
      <c r="N47" s="89" t="s">
        <v>126</v>
      </c>
      <c r="O47" s="94" t="s">
        <v>189</v>
      </c>
      <c r="P47" s="95" t="s">
        <v>55</v>
      </c>
      <c r="Q47" s="144" t="s">
        <v>70</v>
      </c>
      <c r="R47" s="96">
        <v>46141</v>
      </c>
      <c r="S47" s="97"/>
      <c r="T47" s="97" t="s">
        <v>57</v>
      </c>
      <c r="U47" s="97" t="s">
        <v>71</v>
      </c>
      <c r="V47" s="93">
        <v>46111</v>
      </c>
      <c r="W47" s="93">
        <v>46126</v>
      </c>
      <c r="X47" s="93">
        <v>46141</v>
      </c>
      <c r="Y47" s="98"/>
      <c r="Z47" s="89" t="s">
        <v>60</v>
      </c>
      <c r="AA47" s="97">
        <v>46157</v>
      </c>
      <c r="AB47" s="89" t="s">
        <v>110</v>
      </c>
      <c r="AC47" s="120"/>
      <c r="AD47" s="89"/>
      <c r="AE47" s="89"/>
      <c r="AF47" s="99"/>
      <c r="AG47" s="99"/>
      <c r="AH47" s="99"/>
      <c r="AI47" s="100" t="s">
        <v>62</v>
      </c>
      <c r="AJ47" s="100" t="s">
        <v>62</v>
      </c>
      <c r="AK47" s="100" t="s">
        <v>62</v>
      </c>
      <c r="AL47" s="45" t="s">
        <v>64</v>
      </c>
      <c r="AM47" s="198" t="str">
        <f t="shared" si="0"/>
        <v>3/2026</v>
      </c>
      <c r="AN47" s="45">
        <f t="shared" si="1"/>
        <v>2</v>
      </c>
      <c r="AO47" s="45" t="str">
        <f t="shared" si="2"/>
        <v>4/2026</v>
      </c>
      <c r="AP47" s="45">
        <f t="shared" si="3"/>
        <v>5</v>
      </c>
      <c r="AQ47" s="45">
        <f t="shared" si="4"/>
        <v>51</v>
      </c>
      <c r="AR47" s="45">
        <f t="shared" si="5"/>
        <v>0</v>
      </c>
      <c r="AS47" s="45">
        <f t="shared" si="6"/>
        <v>15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customHeight="1" x14ac:dyDescent="0.3">
      <c r="A48" s="87" t="s">
        <v>65</v>
      </c>
      <c r="B48" s="88">
        <v>46090</v>
      </c>
      <c r="C48" s="89" t="s">
        <v>66</v>
      </c>
      <c r="D48" s="89" t="s">
        <v>49</v>
      </c>
      <c r="E48" s="90">
        <v>94559169</v>
      </c>
      <c r="F48" s="220" t="s">
        <v>190</v>
      </c>
      <c r="G48" s="92">
        <v>2969405776</v>
      </c>
      <c r="H48" s="93">
        <v>27157</v>
      </c>
      <c r="I48" s="89">
        <v>52</v>
      </c>
      <c r="J48" s="89" t="s">
        <v>51</v>
      </c>
      <c r="K48" s="89" t="s">
        <v>78</v>
      </c>
      <c r="L48" s="89"/>
      <c r="M48" s="89"/>
      <c r="N48" s="89" t="s">
        <v>129</v>
      </c>
      <c r="O48" s="94" t="s">
        <v>191</v>
      </c>
      <c r="P48" s="95" t="s">
        <v>55</v>
      </c>
      <c r="Q48" s="144" t="s">
        <v>70</v>
      </c>
      <c r="R48" s="96">
        <v>46171</v>
      </c>
      <c r="S48" s="97"/>
      <c r="T48" s="97" t="s">
        <v>57</v>
      </c>
      <c r="U48" s="97" t="s">
        <v>71</v>
      </c>
      <c r="V48" s="93">
        <v>46111</v>
      </c>
      <c r="W48" s="93">
        <v>46126</v>
      </c>
      <c r="X48" s="93">
        <v>46141</v>
      </c>
      <c r="Y48" s="98"/>
      <c r="Z48" s="89" t="s">
        <v>60</v>
      </c>
      <c r="AA48" s="97">
        <v>46178</v>
      </c>
      <c r="AB48" s="89" t="s">
        <v>110</v>
      </c>
      <c r="AC48" s="120"/>
      <c r="AD48" s="89"/>
      <c r="AE48" s="89"/>
      <c r="AF48" s="99"/>
      <c r="AG48" s="99"/>
      <c r="AH48" s="99"/>
      <c r="AI48" s="100"/>
      <c r="AJ48" s="100" t="s">
        <v>62</v>
      </c>
      <c r="AK48" s="100" t="s">
        <v>47</v>
      </c>
      <c r="AL48" s="45" t="s">
        <v>64</v>
      </c>
      <c r="AM48" s="198" t="str">
        <f t="shared" si="0"/>
        <v>3/2026</v>
      </c>
      <c r="AN48" s="45">
        <f t="shared" si="1"/>
        <v>2</v>
      </c>
      <c r="AO48" s="45" t="str">
        <f t="shared" si="2"/>
        <v>5/2026</v>
      </c>
      <c r="AP48" s="45">
        <f t="shared" si="3"/>
        <v>5</v>
      </c>
      <c r="AQ48" s="45">
        <f t="shared" si="4"/>
        <v>81</v>
      </c>
      <c r="AR48" s="45">
        <f t="shared" si="5"/>
        <v>0</v>
      </c>
      <c r="AS48" s="45">
        <f t="shared" si="6"/>
        <v>15</v>
      </c>
      <c r="AT48" s="45">
        <f t="shared" si="7"/>
        <v>0</v>
      </c>
      <c r="AU48" s="45" t="str">
        <f>_xlfn.XLOOKUP(U48,'Lista Suspensa'!$AA$20:$AA$23,'Lista Suspensa'!$AB$20:$AB$23,"N/A")</f>
        <v>S</v>
      </c>
    </row>
    <row r="49" spans="1:47" ht="12" customHeight="1" x14ac:dyDescent="0.3">
      <c r="A49" s="87" t="s">
        <v>65</v>
      </c>
      <c r="B49" s="88">
        <v>46090</v>
      </c>
      <c r="C49" s="89" t="s">
        <v>66</v>
      </c>
      <c r="D49" s="89" t="s">
        <v>49</v>
      </c>
      <c r="E49" s="90">
        <v>190694696</v>
      </c>
      <c r="F49" s="220" t="s">
        <v>192</v>
      </c>
      <c r="G49" s="92">
        <v>71721754768</v>
      </c>
      <c r="H49" s="93">
        <v>18769</v>
      </c>
      <c r="I49" s="89">
        <v>74</v>
      </c>
      <c r="J49" s="89" t="s">
        <v>77</v>
      </c>
      <c r="K49" s="89" t="s">
        <v>78</v>
      </c>
      <c r="L49" s="89"/>
      <c r="M49" s="89"/>
      <c r="N49" s="89" t="s">
        <v>151</v>
      </c>
      <c r="O49" s="94" t="s">
        <v>193</v>
      </c>
      <c r="P49" s="95" t="s">
        <v>55</v>
      </c>
      <c r="Q49" s="144" t="s">
        <v>70</v>
      </c>
      <c r="R49" s="96">
        <v>46141</v>
      </c>
      <c r="S49" s="97"/>
      <c r="T49" s="97" t="s">
        <v>57</v>
      </c>
      <c r="U49" s="97" t="s">
        <v>71</v>
      </c>
      <c r="V49" s="93">
        <v>46111</v>
      </c>
      <c r="W49" s="93">
        <v>46126</v>
      </c>
      <c r="X49" s="93">
        <v>46141</v>
      </c>
      <c r="Y49" s="98"/>
      <c r="Z49" s="89" t="s">
        <v>60</v>
      </c>
      <c r="AA49" s="97">
        <v>46157</v>
      </c>
      <c r="AB49" s="89" t="s">
        <v>110</v>
      </c>
      <c r="AC49" s="120"/>
      <c r="AD49" s="89"/>
      <c r="AE49" s="89"/>
      <c r="AF49" s="99"/>
      <c r="AG49" s="99"/>
      <c r="AH49" s="99"/>
      <c r="AI49" s="100" t="s">
        <v>62</v>
      </c>
      <c r="AJ49" s="100" t="s">
        <v>62</v>
      </c>
      <c r="AK49" s="100" t="s">
        <v>62</v>
      </c>
      <c r="AL49" s="45" t="s">
        <v>64</v>
      </c>
      <c r="AM49" s="198" t="str">
        <f t="shared" si="0"/>
        <v>3/2026</v>
      </c>
      <c r="AN49" s="45">
        <f t="shared" si="1"/>
        <v>2</v>
      </c>
      <c r="AO49" s="45" t="str">
        <f t="shared" si="2"/>
        <v>4/2026</v>
      </c>
      <c r="AP49" s="45">
        <f t="shared" si="3"/>
        <v>5</v>
      </c>
      <c r="AQ49" s="45">
        <f t="shared" si="4"/>
        <v>51</v>
      </c>
      <c r="AR49" s="45">
        <f t="shared" si="5"/>
        <v>0</v>
      </c>
      <c r="AS49" s="45">
        <f t="shared" si="6"/>
        <v>15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customHeight="1" x14ac:dyDescent="0.3">
      <c r="A50" s="87" t="s">
        <v>65</v>
      </c>
      <c r="B50" s="88">
        <v>46090</v>
      </c>
      <c r="C50" s="89" t="s">
        <v>66</v>
      </c>
      <c r="D50" s="89" t="s">
        <v>49</v>
      </c>
      <c r="E50" s="90">
        <v>314456465</v>
      </c>
      <c r="F50" s="220" t="s">
        <v>194</v>
      </c>
      <c r="G50" s="92">
        <v>80657230715</v>
      </c>
      <c r="H50" s="93">
        <v>23686</v>
      </c>
      <c r="I50" s="89">
        <v>61</v>
      </c>
      <c r="J50" s="89" t="s">
        <v>51</v>
      </c>
      <c r="K50" s="89" t="s">
        <v>78</v>
      </c>
      <c r="L50" s="89"/>
      <c r="M50" s="89"/>
      <c r="N50" s="89" t="s">
        <v>151</v>
      </c>
      <c r="O50" s="94" t="s">
        <v>195</v>
      </c>
      <c r="P50" s="95" t="s">
        <v>55</v>
      </c>
      <c r="Q50" s="144" t="s">
        <v>70</v>
      </c>
      <c r="R50" s="96">
        <v>46141</v>
      </c>
      <c r="S50" s="97"/>
      <c r="T50" s="97" t="s">
        <v>57</v>
      </c>
      <c r="U50" s="97" t="s">
        <v>71</v>
      </c>
      <c r="V50" s="93">
        <v>46111</v>
      </c>
      <c r="W50" s="93">
        <v>46126</v>
      </c>
      <c r="X50" s="93">
        <v>46141</v>
      </c>
      <c r="Y50" s="98"/>
      <c r="Z50" s="89" t="s">
        <v>60</v>
      </c>
      <c r="AA50" s="97">
        <v>46157</v>
      </c>
      <c r="AB50" s="89" t="s">
        <v>110</v>
      </c>
      <c r="AC50" s="120"/>
      <c r="AD50" s="89"/>
      <c r="AE50" s="89"/>
      <c r="AF50" s="99"/>
      <c r="AG50" s="99"/>
      <c r="AH50" s="99"/>
      <c r="AI50" s="100" t="s">
        <v>62</v>
      </c>
      <c r="AJ50" s="100" t="s">
        <v>62</v>
      </c>
      <c r="AK50" s="100" t="s">
        <v>62</v>
      </c>
      <c r="AL50" s="45" t="s">
        <v>64</v>
      </c>
      <c r="AM50" s="198" t="str">
        <f t="shared" si="0"/>
        <v>3/2026</v>
      </c>
      <c r="AN50" s="45">
        <f t="shared" si="1"/>
        <v>2</v>
      </c>
      <c r="AO50" s="45" t="str">
        <f t="shared" si="2"/>
        <v>4/2026</v>
      </c>
      <c r="AP50" s="45">
        <f t="shared" si="3"/>
        <v>5</v>
      </c>
      <c r="AQ50" s="45">
        <f t="shared" si="4"/>
        <v>51</v>
      </c>
      <c r="AR50" s="45">
        <f t="shared" si="5"/>
        <v>0</v>
      </c>
      <c r="AS50" s="45">
        <f t="shared" si="6"/>
        <v>15</v>
      </c>
      <c r="AT50" s="45">
        <f t="shared" si="7"/>
        <v>0</v>
      </c>
      <c r="AU50" s="45" t="str">
        <f>_xlfn.XLOOKUP(U50,'Lista Suspensa'!$AA$20:$AA$23,'Lista Suspensa'!$AB$20:$AB$23,"N/A")</f>
        <v>S</v>
      </c>
    </row>
    <row r="51" spans="1:47" ht="12" customHeight="1" x14ac:dyDescent="0.3">
      <c r="A51" s="87" t="s">
        <v>65</v>
      </c>
      <c r="B51" s="88">
        <v>46090</v>
      </c>
      <c r="C51" s="89" t="s">
        <v>66</v>
      </c>
      <c r="D51" s="89" t="s">
        <v>49</v>
      </c>
      <c r="E51" s="90">
        <v>419463011</v>
      </c>
      <c r="F51" s="220" t="s">
        <v>196</v>
      </c>
      <c r="G51" s="92">
        <v>93847610791</v>
      </c>
      <c r="H51" s="93">
        <v>26089</v>
      </c>
      <c r="I51" s="89">
        <v>54</v>
      </c>
      <c r="J51" s="89" t="s">
        <v>51</v>
      </c>
      <c r="K51" s="89" t="s">
        <v>78</v>
      </c>
      <c r="L51" s="89"/>
      <c r="M51" s="89"/>
      <c r="N51" s="89" t="s">
        <v>95</v>
      </c>
      <c r="O51" s="94" t="s">
        <v>197</v>
      </c>
      <c r="P51" s="95" t="s">
        <v>55</v>
      </c>
      <c r="Q51" s="144" t="s">
        <v>136</v>
      </c>
      <c r="R51" s="96"/>
      <c r="S51" s="97">
        <v>46150</v>
      </c>
      <c r="T51" s="97" t="s">
        <v>183</v>
      </c>
      <c r="U51" s="97" t="s">
        <v>58</v>
      </c>
      <c r="V51" s="93">
        <v>46111</v>
      </c>
      <c r="W51" s="93">
        <v>46126</v>
      </c>
      <c r="X51" s="93">
        <v>46141</v>
      </c>
      <c r="Y51" s="98"/>
      <c r="Z51" s="89"/>
      <c r="AA51" s="97"/>
      <c r="AB51" s="89"/>
      <c r="AC51" s="120"/>
      <c r="AD51" s="89"/>
      <c r="AE51" s="89"/>
      <c r="AF51" s="99"/>
      <c r="AG51" s="99"/>
      <c r="AH51" s="99"/>
      <c r="AI51" s="100"/>
      <c r="AJ51" s="100"/>
      <c r="AK51" s="100"/>
      <c r="AL51" s="45" t="s">
        <v>64</v>
      </c>
      <c r="AM51" s="198" t="str">
        <f t="shared" si="0"/>
        <v>3/2026</v>
      </c>
      <c r="AN51" s="45">
        <f t="shared" si="1"/>
        <v>2</v>
      </c>
      <c r="AO51" s="45" t="str">
        <f t="shared" si="2"/>
        <v>1/1900</v>
      </c>
      <c r="AP51" s="45" t="e">
        <f t="shared" si="3"/>
        <v>#NUM!</v>
      </c>
      <c r="AQ51" s="45">
        <f t="shared" si="4"/>
        <v>0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customHeight="1" x14ac:dyDescent="0.3">
      <c r="A52" s="87" t="s">
        <v>65</v>
      </c>
      <c r="B52" s="88">
        <v>46090</v>
      </c>
      <c r="C52" s="89" t="s">
        <v>66</v>
      </c>
      <c r="D52" s="89" t="s">
        <v>49</v>
      </c>
      <c r="E52" s="90">
        <v>450140024</v>
      </c>
      <c r="F52" s="220" t="s">
        <v>198</v>
      </c>
      <c r="G52" s="92">
        <v>28049786803</v>
      </c>
      <c r="H52" s="93">
        <v>19672</v>
      </c>
      <c r="I52" s="89">
        <v>72</v>
      </c>
      <c r="J52" s="89" t="s">
        <v>77</v>
      </c>
      <c r="K52" s="89" t="s">
        <v>52</v>
      </c>
      <c r="L52" s="89"/>
      <c r="M52" s="89"/>
      <c r="N52" s="89" t="s">
        <v>53</v>
      </c>
      <c r="O52" s="94" t="s">
        <v>199</v>
      </c>
      <c r="P52" s="95" t="s">
        <v>55</v>
      </c>
      <c r="Q52" s="144" t="s">
        <v>70</v>
      </c>
      <c r="R52" s="96">
        <v>46141</v>
      </c>
      <c r="S52" s="97"/>
      <c r="T52" s="97" t="s">
        <v>57</v>
      </c>
      <c r="U52" s="97" t="s">
        <v>71</v>
      </c>
      <c r="V52" s="93">
        <v>46111</v>
      </c>
      <c r="W52" s="93">
        <v>46126</v>
      </c>
      <c r="X52" s="93">
        <v>46141</v>
      </c>
      <c r="Y52" s="98"/>
      <c r="Z52" s="89" t="s">
        <v>60</v>
      </c>
      <c r="AA52" s="97">
        <v>46157</v>
      </c>
      <c r="AB52" s="89" t="s">
        <v>110</v>
      </c>
      <c r="AC52" s="120"/>
      <c r="AD52" s="89"/>
      <c r="AE52" s="89"/>
      <c r="AF52" s="99"/>
      <c r="AG52" s="99"/>
      <c r="AH52" s="99"/>
      <c r="AI52" s="100" t="s">
        <v>62</v>
      </c>
      <c r="AJ52" s="100" t="s">
        <v>62</v>
      </c>
      <c r="AK52" s="100" t="s">
        <v>62</v>
      </c>
      <c r="AL52" s="45" t="s">
        <v>64</v>
      </c>
      <c r="AM52" s="198" t="str">
        <f t="shared" si="0"/>
        <v>3/2026</v>
      </c>
      <c r="AN52" s="45">
        <f t="shared" si="1"/>
        <v>2</v>
      </c>
      <c r="AO52" s="45" t="str">
        <f t="shared" si="2"/>
        <v>4/2026</v>
      </c>
      <c r="AP52" s="45">
        <f t="shared" si="3"/>
        <v>5</v>
      </c>
      <c r="AQ52" s="45">
        <f t="shared" si="4"/>
        <v>51</v>
      </c>
      <c r="AR52" s="45">
        <f t="shared" si="5"/>
        <v>0</v>
      </c>
      <c r="AS52" s="45">
        <f t="shared" si="6"/>
        <v>15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customHeight="1" x14ac:dyDescent="0.3">
      <c r="A53" s="87" t="s">
        <v>65</v>
      </c>
      <c r="B53" s="88">
        <v>46090</v>
      </c>
      <c r="C53" s="89" t="s">
        <v>66</v>
      </c>
      <c r="D53" s="89" t="s">
        <v>49</v>
      </c>
      <c r="E53" s="90">
        <v>458602191</v>
      </c>
      <c r="F53" s="220" t="s">
        <v>200</v>
      </c>
      <c r="G53" s="92">
        <v>22291474391</v>
      </c>
      <c r="H53" s="93">
        <v>22966</v>
      </c>
      <c r="I53" s="89">
        <v>63</v>
      </c>
      <c r="J53" s="89" t="s">
        <v>51</v>
      </c>
      <c r="K53" s="89" t="s">
        <v>52</v>
      </c>
      <c r="L53" s="89"/>
      <c r="M53" s="89"/>
      <c r="N53" s="89" t="s">
        <v>53</v>
      </c>
      <c r="O53" s="94" t="s">
        <v>201</v>
      </c>
      <c r="P53" s="95" t="s">
        <v>55</v>
      </c>
      <c r="Q53" s="144" t="s">
        <v>70</v>
      </c>
      <c r="R53" s="96">
        <v>46141</v>
      </c>
      <c r="S53" s="97"/>
      <c r="T53" s="97" t="s">
        <v>57</v>
      </c>
      <c r="U53" s="97" t="s">
        <v>71</v>
      </c>
      <c r="V53" s="93">
        <v>46111</v>
      </c>
      <c r="W53" s="93">
        <v>46126</v>
      </c>
      <c r="X53" s="93">
        <v>46141</v>
      </c>
      <c r="Y53" s="98"/>
      <c r="Z53" s="89" t="s">
        <v>60</v>
      </c>
      <c r="AA53" s="97">
        <v>46157</v>
      </c>
      <c r="AB53" s="89" t="s">
        <v>110</v>
      </c>
      <c r="AC53" s="120"/>
      <c r="AD53" s="89"/>
      <c r="AE53" s="89"/>
      <c r="AF53" s="99"/>
      <c r="AG53" s="99"/>
      <c r="AH53" s="99"/>
      <c r="AI53" s="100" t="s">
        <v>62</v>
      </c>
      <c r="AJ53" s="100" t="s">
        <v>62</v>
      </c>
      <c r="AK53" s="100" t="s">
        <v>62</v>
      </c>
      <c r="AL53" s="45" t="s">
        <v>64</v>
      </c>
      <c r="AM53" s="198" t="str">
        <f t="shared" si="0"/>
        <v>3/2026</v>
      </c>
      <c r="AN53" s="45">
        <f t="shared" si="1"/>
        <v>2</v>
      </c>
      <c r="AO53" s="45" t="str">
        <f t="shared" si="2"/>
        <v>4/2026</v>
      </c>
      <c r="AP53" s="45">
        <f t="shared" si="3"/>
        <v>5</v>
      </c>
      <c r="AQ53" s="45">
        <f t="shared" si="4"/>
        <v>51</v>
      </c>
      <c r="AR53" s="45">
        <f t="shared" si="5"/>
        <v>0</v>
      </c>
      <c r="AS53" s="45">
        <f t="shared" si="6"/>
        <v>15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customHeight="1" x14ac:dyDescent="0.3">
      <c r="A54" s="87" t="s">
        <v>65</v>
      </c>
      <c r="B54" s="88">
        <v>46090</v>
      </c>
      <c r="C54" s="89" t="s">
        <v>66</v>
      </c>
      <c r="D54" s="89" t="s">
        <v>49</v>
      </c>
      <c r="E54" s="90">
        <v>459062387</v>
      </c>
      <c r="F54" s="220" t="s">
        <v>202</v>
      </c>
      <c r="G54" s="92">
        <v>99639017868</v>
      </c>
      <c r="H54" s="93">
        <v>21155</v>
      </c>
      <c r="I54" s="89">
        <v>68</v>
      </c>
      <c r="J54" s="89" t="s">
        <v>51</v>
      </c>
      <c r="K54" s="89" t="s">
        <v>52</v>
      </c>
      <c r="L54" s="89"/>
      <c r="M54" s="89"/>
      <c r="N54" s="89" t="s">
        <v>53</v>
      </c>
      <c r="O54" s="94" t="s">
        <v>203</v>
      </c>
      <c r="P54" s="95" t="s">
        <v>55</v>
      </c>
      <c r="Q54" s="144" t="s">
        <v>136</v>
      </c>
      <c r="R54" s="96"/>
      <c r="S54" s="97">
        <v>46150</v>
      </c>
      <c r="T54" s="97" t="s">
        <v>183</v>
      </c>
      <c r="U54" s="97" t="s">
        <v>58</v>
      </c>
      <c r="V54" s="93">
        <v>46111</v>
      </c>
      <c r="W54" s="93">
        <v>46126</v>
      </c>
      <c r="X54" s="93">
        <v>46141</v>
      </c>
      <c r="Y54" s="98"/>
      <c r="Z54" s="89"/>
      <c r="AA54" s="97"/>
      <c r="AB54" s="89"/>
      <c r="AC54" s="120"/>
      <c r="AD54" s="89"/>
      <c r="AE54" s="89"/>
      <c r="AF54" s="99"/>
      <c r="AG54" s="99"/>
      <c r="AH54" s="99"/>
      <c r="AI54" s="100"/>
      <c r="AJ54" s="100"/>
      <c r="AK54" s="100"/>
      <c r="AL54" s="45" t="s">
        <v>64</v>
      </c>
      <c r="AM54" s="198" t="str">
        <f t="shared" si="0"/>
        <v>3/2026</v>
      </c>
      <c r="AN54" s="45">
        <f t="shared" si="1"/>
        <v>2</v>
      </c>
      <c r="AO54" s="45" t="str">
        <f t="shared" si="2"/>
        <v>1/1900</v>
      </c>
      <c r="AP54" s="45" t="e">
        <f t="shared" si="3"/>
        <v>#NUM!</v>
      </c>
      <c r="AQ54" s="45">
        <f t="shared" si="4"/>
        <v>0</v>
      </c>
      <c r="AR54" s="45">
        <f t="shared" si="5"/>
        <v>0</v>
      </c>
      <c r="AS54" s="45">
        <f t="shared" si="6"/>
        <v>0</v>
      </c>
      <c r="AT54" s="45">
        <f t="shared" si="7"/>
        <v>0</v>
      </c>
      <c r="AU54" s="45" t="str">
        <f>_xlfn.XLOOKUP(U54,'Lista Suspensa'!$AA$20:$AA$23,'Lista Suspensa'!$AB$20:$AB$23,"N/A")</f>
        <v>S</v>
      </c>
    </row>
    <row r="55" spans="1:47" ht="12" customHeight="1" x14ac:dyDescent="0.3">
      <c r="A55" s="87" t="s">
        <v>65</v>
      </c>
      <c r="B55" s="88">
        <v>46090</v>
      </c>
      <c r="C55" s="89" t="s">
        <v>66</v>
      </c>
      <c r="D55" s="89" t="s">
        <v>49</v>
      </c>
      <c r="E55" s="90">
        <v>741326582</v>
      </c>
      <c r="F55" s="220" t="s">
        <v>204</v>
      </c>
      <c r="G55" s="92">
        <v>23100958772</v>
      </c>
      <c r="H55" s="93">
        <v>18053</v>
      </c>
      <c r="I55" s="89">
        <v>76</v>
      </c>
      <c r="J55" s="89" t="s">
        <v>51</v>
      </c>
      <c r="K55" s="89" t="s">
        <v>78</v>
      </c>
      <c r="L55" s="89"/>
      <c r="M55" s="89"/>
      <c r="N55" s="89" t="s">
        <v>107</v>
      </c>
      <c r="O55" s="94" t="s">
        <v>205</v>
      </c>
      <c r="P55" s="95" t="s">
        <v>55</v>
      </c>
      <c r="Q55" s="144" t="s">
        <v>70</v>
      </c>
      <c r="R55" s="96">
        <v>46141</v>
      </c>
      <c r="S55" s="97"/>
      <c r="T55" s="97" t="s">
        <v>57</v>
      </c>
      <c r="U55" s="97" t="s">
        <v>71</v>
      </c>
      <c r="V55" s="93">
        <v>46111</v>
      </c>
      <c r="W55" s="93">
        <v>46126</v>
      </c>
      <c r="X55" s="93">
        <v>46141</v>
      </c>
      <c r="Y55" s="98"/>
      <c r="Z55" s="89" t="s">
        <v>60</v>
      </c>
      <c r="AA55" s="97">
        <v>46157</v>
      </c>
      <c r="AB55" s="89" t="s">
        <v>110</v>
      </c>
      <c r="AC55" s="120"/>
      <c r="AD55" s="89"/>
      <c r="AE55" s="89"/>
      <c r="AF55" s="99"/>
      <c r="AG55" s="99"/>
      <c r="AH55" s="99"/>
      <c r="AI55" s="100" t="s">
        <v>62</v>
      </c>
      <c r="AJ55" s="100" t="s">
        <v>62</v>
      </c>
      <c r="AK55" s="100" t="s">
        <v>62</v>
      </c>
      <c r="AL55" s="45" t="s">
        <v>64</v>
      </c>
      <c r="AM55" s="198" t="str">
        <f t="shared" si="0"/>
        <v>3/2026</v>
      </c>
      <c r="AN55" s="45">
        <f t="shared" si="1"/>
        <v>2</v>
      </c>
      <c r="AO55" s="45" t="str">
        <f t="shared" si="2"/>
        <v>4/2026</v>
      </c>
      <c r="AP55" s="45">
        <f t="shared" si="3"/>
        <v>5</v>
      </c>
      <c r="AQ55" s="45">
        <f t="shared" si="4"/>
        <v>51</v>
      </c>
      <c r="AR55" s="45">
        <f t="shared" si="5"/>
        <v>0</v>
      </c>
      <c r="AS55" s="45">
        <f t="shared" si="6"/>
        <v>15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customHeight="1" x14ac:dyDescent="0.3">
      <c r="A56" s="87" t="s">
        <v>65</v>
      </c>
      <c r="B56" s="88">
        <v>46090</v>
      </c>
      <c r="C56" s="89" t="s">
        <v>66</v>
      </c>
      <c r="D56" s="89" t="s">
        <v>49</v>
      </c>
      <c r="E56" s="90">
        <v>754542149</v>
      </c>
      <c r="F56" s="220" t="s">
        <v>206</v>
      </c>
      <c r="G56" s="92">
        <v>74810669734</v>
      </c>
      <c r="H56" s="93">
        <v>23096</v>
      </c>
      <c r="I56" s="89">
        <v>63</v>
      </c>
      <c r="J56" s="89" t="s">
        <v>51</v>
      </c>
      <c r="K56" s="89" t="s">
        <v>78</v>
      </c>
      <c r="L56" s="89"/>
      <c r="M56" s="89"/>
      <c r="N56" s="89" t="s">
        <v>53</v>
      </c>
      <c r="O56" s="94" t="s">
        <v>207</v>
      </c>
      <c r="P56" s="95" t="s">
        <v>55</v>
      </c>
      <c r="Q56" s="144" t="s">
        <v>136</v>
      </c>
      <c r="R56" s="96"/>
      <c r="S56" s="97">
        <v>46150</v>
      </c>
      <c r="T56" s="97" t="s">
        <v>183</v>
      </c>
      <c r="U56" s="97" t="s">
        <v>58</v>
      </c>
      <c r="V56" s="93">
        <v>46111</v>
      </c>
      <c r="W56" s="93">
        <v>46126</v>
      </c>
      <c r="X56" s="93">
        <v>46141</v>
      </c>
      <c r="Y56" s="98"/>
      <c r="Z56" s="89"/>
      <c r="AA56" s="97"/>
      <c r="AB56" s="89"/>
      <c r="AC56" s="120"/>
      <c r="AD56" s="89"/>
      <c r="AE56" s="89"/>
      <c r="AF56" s="99"/>
      <c r="AG56" s="99"/>
      <c r="AH56" s="99"/>
      <c r="AI56" s="100"/>
      <c r="AJ56" s="100"/>
      <c r="AK56" s="100"/>
      <c r="AL56" s="45" t="s">
        <v>64</v>
      </c>
      <c r="AM56" s="198" t="str">
        <f t="shared" si="0"/>
        <v>3/2026</v>
      </c>
      <c r="AN56" s="45">
        <f t="shared" si="1"/>
        <v>2</v>
      </c>
      <c r="AO56" s="45" t="str">
        <f t="shared" si="2"/>
        <v>1/1900</v>
      </c>
      <c r="AP56" s="45" t="e">
        <f t="shared" si="3"/>
        <v>#NUM!</v>
      </c>
      <c r="AQ56" s="45">
        <f t="shared" si="4"/>
        <v>0</v>
      </c>
      <c r="AR56" s="45">
        <f t="shared" si="5"/>
        <v>0</v>
      </c>
      <c r="AS56" s="45">
        <f t="shared" si="6"/>
        <v>0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customHeight="1" x14ac:dyDescent="0.3">
      <c r="A57" s="87" t="s">
        <v>65</v>
      </c>
      <c r="B57" s="88">
        <v>46090</v>
      </c>
      <c r="C57" s="89" t="s">
        <v>66</v>
      </c>
      <c r="D57" s="89" t="s">
        <v>49</v>
      </c>
      <c r="E57" s="90">
        <v>784474036</v>
      </c>
      <c r="F57" s="220" t="s">
        <v>208</v>
      </c>
      <c r="G57" s="92">
        <v>22008044823</v>
      </c>
      <c r="H57" s="93">
        <v>29417</v>
      </c>
      <c r="I57" s="89">
        <v>45</v>
      </c>
      <c r="J57" s="89" t="s">
        <v>51</v>
      </c>
      <c r="K57" s="89" t="s">
        <v>52</v>
      </c>
      <c r="L57" s="89"/>
      <c r="M57" s="89"/>
      <c r="N57" s="89" t="s">
        <v>53</v>
      </c>
      <c r="O57" s="94" t="s">
        <v>209</v>
      </c>
      <c r="P57" s="95" t="s">
        <v>55</v>
      </c>
      <c r="Q57" s="144" t="s">
        <v>70</v>
      </c>
      <c r="R57" s="96">
        <v>46141</v>
      </c>
      <c r="S57" s="97"/>
      <c r="T57" s="97" t="s">
        <v>57</v>
      </c>
      <c r="U57" s="97" t="s">
        <v>71</v>
      </c>
      <c r="V57" s="93">
        <v>46111</v>
      </c>
      <c r="W57" s="93">
        <v>46126</v>
      </c>
      <c r="X57" s="93">
        <v>46141</v>
      </c>
      <c r="Y57" s="98"/>
      <c r="Z57" s="89" t="s">
        <v>60</v>
      </c>
      <c r="AA57" s="97">
        <v>46157</v>
      </c>
      <c r="AB57" s="89" t="s">
        <v>110</v>
      </c>
      <c r="AC57" s="120"/>
      <c r="AD57" s="89"/>
      <c r="AE57" s="89"/>
      <c r="AF57" s="99"/>
      <c r="AG57" s="99"/>
      <c r="AH57" s="99"/>
      <c r="AI57" s="100" t="s">
        <v>62</v>
      </c>
      <c r="AJ57" s="100" t="s">
        <v>62</v>
      </c>
      <c r="AK57" s="100" t="s">
        <v>62</v>
      </c>
      <c r="AL57" s="45" t="s">
        <v>64</v>
      </c>
      <c r="AM57" s="198" t="str">
        <f t="shared" si="0"/>
        <v>3/2026</v>
      </c>
      <c r="AN57" s="45">
        <f t="shared" si="1"/>
        <v>2</v>
      </c>
      <c r="AO57" s="45" t="str">
        <f t="shared" si="2"/>
        <v>4/2026</v>
      </c>
      <c r="AP57" s="45">
        <f t="shared" si="3"/>
        <v>5</v>
      </c>
      <c r="AQ57" s="45">
        <f t="shared" si="4"/>
        <v>51</v>
      </c>
      <c r="AR57" s="45">
        <f t="shared" si="5"/>
        <v>0</v>
      </c>
      <c r="AS57" s="45">
        <f t="shared" si="6"/>
        <v>15</v>
      </c>
      <c r="AT57" s="45">
        <f t="shared" si="7"/>
        <v>0</v>
      </c>
      <c r="AU57" s="45" t="str">
        <f>_xlfn.XLOOKUP(U57,'Lista Suspensa'!$AA$20:$AA$23,'Lista Suspensa'!$AB$20:$AB$23,"N/A")</f>
        <v>S</v>
      </c>
    </row>
    <row r="58" spans="1:47" ht="12" customHeight="1" x14ac:dyDescent="0.3">
      <c r="A58" s="87" t="s">
        <v>65</v>
      </c>
      <c r="B58" s="88">
        <v>46090</v>
      </c>
      <c r="C58" s="89" t="s">
        <v>66</v>
      </c>
      <c r="D58" s="89" t="s">
        <v>49</v>
      </c>
      <c r="E58" s="90">
        <v>882089099</v>
      </c>
      <c r="F58" s="220" t="s">
        <v>210</v>
      </c>
      <c r="G58" s="92">
        <v>15677176753</v>
      </c>
      <c r="H58" s="93">
        <v>14851</v>
      </c>
      <c r="I58" s="89">
        <v>85</v>
      </c>
      <c r="J58" s="89" t="s">
        <v>51</v>
      </c>
      <c r="K58" s="89" t="s">
        <v>78</v>
      </c>
      <c r="L58" s="89"/>
      <c r="M58" s="89"/>
      <c r="N58" s="89" t="s">
        <v>95</v>
      </c>
      <c r="O58" s="94" t="s">
        <v>211</v>
      </c>
      <c r="P58" s="95" t="s">
        <v>55</v>
      </c>
      <c r="Q58" s="144" t="s">
        <v>136</v>
      </c>
      <c r="R58" s="96"/>
      <c r="S58" s="97">
        <v>46150</v>
      </c>
      <c r="T58" s="97" t="s">
        <v>183</v>
      </c>
      <c r="U58" s="97" t="s">
        <v>58</v>
      </c>
      <c r="V58" s="93">
        <v>46111</v>
      </c>
      <c r="W58" s="93">
        <v>46126</v>
      </c>
      <c r="X58" s="93">
        <v>46141</v>
      </c>
      <c r="Y58" s="98"/>
      <c r="Z58" s="89"/>
      <c r="AA58" s="97"/>
      <c r="AB58" s="89"/>
      <c r="AC58" s="120"/>
      <c r="AD58" s="89"/>
      <c r="AE58" s="89"/>
      <c r="AF58" s="99"/>
      <c r="AG58" s="99"/>
      <c r="AH58" s="99"/>
      <c r="AI58" s="100"/>
      <c r="AJ58" s="100"/>
      <c r="AK58" s="100"/>
      <c r="AL58" s="45" t="s">
        <v>64</v>
      </c>
      <c r="AM58" s="198" t="str">
        <f t="shared" si="0"/>
        <v>3/2026</v>
      </c>
      <c r="AN58" s="45">
        <f t="shared" si="1"/>
        <v>2</v>
      </c>
      <c r="AO58" s="45" t="str">
        <f t="shared" si="2"/>
        <v>1/1900</v>
      </c>
      <c r="AP58" s="45" t="e">
        <f t="shared" si="3"/>
        <v>#NUM!</v>
      </c>
      <c r="AQ58" s="45">
        <f t="shared" si="4"/>
        <v>0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customHeight="1" x14ac:dyDescent="0.3">
      <c r="A59" s="87" t="s">
        <v>65</v>
      </c>
      <c r="B59" s="88">
        <v>46090</v>
      </c>
      <c r="C59" s="89" t="s">
        <v>66</v>
      </c>
      <c r="D59" s="89" t="s">
        <v>49</v>
      </c>
      <c r="E59" s="90">
        <v>887838340</v>
      </c>
      <c r="F59" s="220" t="s">
        <v>212</v>
      </c>
      <c r="G59" s="92">
        <v>34639969791</v>
      </c>
      <c r="H59" s="93">
        <v>18358</v>
      </c>
      <c r="I59" s="89">
        <v>76</v>
      </c>
      <c r="J59" s="89" t="s">
        <v>51</v>
      </c>
      <c r="K59" s="89" t="s">
        <v>78</v>
      </c>
      <c r="L59" s="89"/>
      <c r="M59" s="89"/>
      <c r="N59" s="89" t="s">
        <v>151</v>
      </c>
      <c r="O59" s="94" t="s">
        <v>213</v>
      </c>
      <c r="P59" s="95" t="s">
        <v>55</v>
      </c>
      <c r="Q59" s="144" t="s">
        <v>136</v>
      </c>
      <c r="R59" s="96"/>
      <c r="S59" s="97">
        <v>46150</v>
      </c>
      <c r="T59" s="97" t="s">
        <v>183</v>
      </c>
      <c r="U59" s="97" t="s">
        <v>58</v>
      </c>
      <c r="V59" s="93">
        <v>46111</v>
      </c>
      <c r="W59" s="93">
        <v>46126</v>
      </c>
      <c r="X59" s="93">
        <v>46141</v>
      </c>
      <c r="Y59" s="98"/>
      <c r="Z59" s="89"/>
      <c r="AA59" s="97"/>
      <c r="AB59" s="89"/>
      <c r="AC59" s="120"/>
      <c r="AD59" s="89"/>
      <c r="AE59" s="89"/>
      <c r="AF59" s="99"/>
      <c r="AG59" s="99"/>
      <c r="AH59" s="99"/>
      <c r="AI59" s="100"/>
      <c r="AJ59" s="100"/>
      <c r="AK59" s="100"/>
      <c r="AL59" s="45" t="s">
        <v>64</v>
      </c>
      <c r="AM59" s="198" t="str">
        <f t="shared" si="0"/>
        <v>3/2026</v>
      </c>
      <c r="AN59" s="45">
        <f t="shared" si="1"/>
        <v>2</v>
      </c>
      <c r="AO59" s="45" t="str">
        <f t="shared" si="2"/>
        <v>1/1900</v>
      </c>
      <c r="AP59" s="45" t="e">
        <f t="shared" si="3"/>
        <v>#NUM!</v>
      </c>
      <c r="AQ59" s="45">
        <f t="shared" si="4"/>
        <v>0</v>
      </c>
      <c r="AR59" s="45">
        <f t="shared" si="5"/>
        <v>0</v>
      </c>
      <c r="AS59" s="45">
        <f t="shared" si="6"/>
        <v>0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customHeight="1" x14ac:dyDescent="0.3">
      <c r="A60" s="87" t="s">
        <v>47</v>
      </c>
      <c r="B60" s="88">
        <v>46091</v>
      </c>
      <c r="C60" s="89" t="s">
        <v>48</v>
      </c>
      <c r="D60" s="89" t="s">
        <v>49</v>
      </c>
      <c r="E60" s="90">
        <v>92751038</v>
      </c>
      <c r="F60" s="220" t="s">
        <v>214</v>
      </c>
      <c r="G60" s="92">
        <v>11071488716</v>
      </c>
      <c r="H60" s="93">
        <v>31679</v>
      </c>
      <c r="I60" s="89">
        <v>39</v>
      </c>
      <c r="J60" s="89" t="s">
        <v>51</v>
      </c>
      <c r="K60" s="89" t="s">
        <v>78</v>
      </c>
      <c r="L60" s="89"/>
      <c r="M60" s="89"/>
      <c r="N60" s="89" t="s">
        <v>179</v>
      </c>
      <c r="O60" s="94" t="s">
        <v>215</v>
      </c>
      <c r="P60" s="95" t="s">
        <v>55</v>
      </c>
      <c r="Q60" s="144" t="s">
        <v>70</v>
      </c>
      <c r="R60" s="96">
        <v>46073</v>
      </c>
      <c r="S60" s="97"/>
      <c r="T60" s="97" t="s">
        <v>57</v>
      </c>
      <c r="U60" s="97" t="s">
        <v>71</v>
      </c>
      <c r="V60" s="93">
        <v>46073</v>
      </c>
      <c r="W60" s="93" t="s">
        <v>72</v>
      </c>
      <c r="X60" s="93" t="s">
        <v>72</v>
      </c>
      <c r="Y60" s="98"/>
      <c r="Z60" s="89" t="s">
        <v>60</v>
      </c>
      <c r="AA60" s="97">
        <v>46105</v>
      </c>
      <c r="AB60" s="89" t="s">
        <v>61</v>
      </c>
      <c r="AC60" s="120"/>
      <c r="AD60" s="89" t="s">
        <v>73</v>
      </c>
      <c r="AE60" s="89">
        <v>69</v>
      </c>
      <c r="AF60" s="99" t="s">
        <v>100</v>
      </c>
      <c r="AG60" s="99"/>
      <c r="AH60" s="99" t="s">
        <v>75</v>
      </c>
      <c r="AI60" s="100" t="s">
        <v>62</v>
      </c>
      <c r="AJ60" s="100" t="s">
        <v>47</v>
      </c>
      <c r="AK60" s="100" t="s">
        <v>47</v>
      </c>
      <c r="AL60" s="45" t="s">
        <v>64</v>
      </c>
      <c r="AM60" s="198" t="str">
        <f t="shared" si="0"/>
        <v>3/2026</v>
      </c>
      <c r="AN60" s="45">
        <f t="shared" si="1"/>
        <v>2</v>
      </c>
      <c r="AO60" s="45" t="str">
        <f t="shared" si="2"/>
        <v>2/2026</v>
      </c>
      <c r="AP60" s="45">
        <f t="shared" si="3"/>
        <v>3</v>
      </c>
      <c r="AQ60" s="45">
        <f t="shared" si="4"/>
        <v>-18</v>
      </c>
      <c r="AR60" s="45">
        <f t="shared" si="5"/>
        <v>0</v>
      </c>
      <c r="AS60" s="45">
        <f t="shared" si="6"/>
        <v>0</v>
      </c>
      <c r="AT60" s="45">
        <f t="shared" si="7"/>
        <v>32</v>
      </c>
      <c r="AU60" s="45" t="str">
        <f>_xlfn.XLOOKUP(U60,'Lista Suspensa'!$AA$20:$AA$23,'Lista Suspensa'!$AB$20:$AB$23,"N/A")</f>
        <v>S</v>
      </c>
    </row>
    <row r="61" spans="1:47" ht="12" customHeight="1" x14ac:dyDescent="0.3">
      <c r="A61" s="87" t="s">
        <v>47</v>
      </c>
      <c r="B61" s="88">
        <v>46091</v>
      </c>
      <c r="C61" s="89" t="s">
        <v>48</v>
      </c>
      <c r="D61" s="89" t="s">
        <v>49</v>
      </c>
      <c r="E61" s="90">
        <v>301296790</v>
      </c>
      <c r="F61" s="220" t="s">
        <v>216</v>
      </c>
      <c r="G61" s="92">
        <v>1316777804</v>
      </c>
      <c r="H61" s="93">
        <v>19482</v>
      </c>
      <c r="I61" s="89">
        <v>73</v>
      </c>
      <c r="J61" s="89" t="s">
        <v>51</v>
      </c>
      <c r="K61" s="89" t="s">
        <v>52</v>
      </c>
      <c r="L61" s="89"/>
      <c r="M61" s="89"/>
      <c r="N61" s="89" t="s">
        <v>95</v>
      </c>
      <c r="O61" s="94" t="s">
        <v>217</v>
      </c>
      <c r="P61" s="95" t="s">
        <v>55</v>
      </c>
      <c r="Q61" s="144" t="s">
        <v>70</v>
      </c>
      <c r="R61" s="96">
        <v>46073</v>
      </c>
      <c r="S61" s="97"/>
      <c r="T61" s="97" t="s">
        <v>57</v>
      </c>
      <c r="U61" s="97" t="s">
        <v>71</v>
      </c>
      <c r="V61" s="93">
        <v>46073</v>
      </c>
      <c r="W61" s="93" t="s">
        <v>72</v>
      </c>
      <c r="X61" s="93" t="s">
        <v>72</v>
      </c>
      <c r="Y61" s="98"/>
      <c r="Z61" s="89" t="s">
        <v>60</v>
      </c>
      <c r="AA61" s="97">
        <v>46105.611111111109</v>
      </c>
      <c r="AB61" s="89" t="s">
        <v>61</v>
      </c>
      <c r="AC61" s="120"/>
      <c r="AD61" s="89" t="s">
        <v>73</v>
      </c>
      <c r="AE61" s="89">
        <v>69</v>
      </c>
      <c r="AF61" s="99" t="s">
        <v>100</v>
      </c>
      <c r="AG61" s="99"/>
      <c r="AH61" s="99" t="s">
        <v>75</v>
      </c>
      <c r="AI61" s="100" t="s">
        <v>62</v>
      </c>
      <c r="AJ61" s="100" t="s">
        <v>47</v>
      </c>
      <c r="AK61" s="100" t="s">
        <v>47</v>
      </c>
      <c r="AL61" s="45" t="s">
        <v>64</v>
      </c>
      <c r="AM61" s="198" t="str">
        <f t="shared" si="0"/>
        <v>3/2026</v>
      </c>
      <c r="AN61" s="45">
        <f t="shared" si="1"/>
        <v>2</v>
      </c>
      <c r="AO61" s="45" t="str">
        <f t="shared" si="2"/>
        <v>2/2026</v>
      </c>
      <c r="AP61" s="45">
        <f t="shared" si="3"/>
        <v>3</v>
      </c>
      <c r="AQ61" s="45">
        <f t="shared" si="4"/>
        <v>-18</v>
      </c>
      <c r="AR61" s="45">
        <f t="shared" si="5"/>
        <v>0</v>
      </c>
      <c r="AS61" s="45">
        <f t="shared" si="6"/>
        <v>0</v>
      </c>
      <c r="AT61" s="45">
        <f t="shared" si="7"/>
        <v>32.611111111109494</v>
      </c>
      <c r="AU61" s="45" t="str">
        <f>_xlfn.XLOOKUP(U61,'Lista Suspensa'!$AA$20:$AA$23,'Lista Suspensa'!$AB$20:$AB$23,"N/A")</f>
        <v>S</v>
      </c>
    </row>
    <row r="62" spans="1:47" ht="12" customHeight="1" x14ac:dyDescent="0.3">
      <c r="A62" s="87" t="s">
        <v>47</v>
      </c>
      <c r="B62" s="88">
        <v>46091</v>
      </c>
      <c r="C62" s="89" t="s">
        <v>48</v>
      </c>
      <c r="D62" s="89" t="s">
        <v>49</v>
      </c>
      <c r="E62" s="90">
        <v>81444750</v>
      </c>
      <c r="F62" s="220" t="s">
        <v>218</v>
      </c>
      <c r="G62" s="92">
        <v>6422450885</v>
      </c>
      <c r="H62" s="93">
        <v>23781</v>
      </c>
      <c r="I62" s="89">
        <v>61</v>
      </c>
      <c r="J62" s="89" t="s">
        <v>51</v>
      </c>
      <c r="K62" s="89" t="s">
        <v>52</v>
      </c>
      <c r="L62" s="89"/>
      <c r="M62" s="89"/>
      <c r="N62" s="89" t="s">
        <v>83</v>
      </c>
      <c r="O62" s="94" t="s">
        <v>219</v>
      </c>
      <c r="P62" s="95" t="s">
        <v>55</v>
      </c>
      <c r="Q62" s="144" t="s">
        <v>70</v>
      </c>
      <c r="R62" s="96">
        <v>46073</v>
      </c>
      <c r="S62" s="97"/>
      <c r="T62" s="97" t="s">
        <v>57</v>
      </c>
      <c r="U62" s="97" t="s">
        <v>71</v>
      </c>
      <c r="V62" s="93">
        <v>46073</v>
      </c>
      <c r="W62" s="93" t="s">
        <v>72</v>
      </c>
      <c r="X62" s="93" t="s">
        <v>72</v>
      </c>
      <c r="Y62" s="98"/>
      <c r="Z62" s="89" t="s">
        <v>60</v>
      </c>
      <c r="AA62" s="97">
        <v>46106.597222222219</v>
      </c>
      <c r="AB62" s="89" t="s">
        <v>61</v>
      </c>
      <c r="AC62" s="120"/>
      <c r="AD62" s="89" t="s">
        <v>85</v>
      </c>
      <c r="AE62" s="89">
        <v>57</v>
      </c>
      <c r="AF62" s="99" t="s">
        <v>220</v>
      </c>
      <c r="AG62" s="99"/>
      <c r="AH62" s="99" t="s">
        <v>75</v>
      </c>
      <c r="AI62" s="100" t="s">
        <v>62</v>
      </c>
      <c r="AJ62" s="100" t="s">
        <v>47</v>
      </c>
      <c r="AK62" s="100" t="s">
        <v>47</v>
      </c>
      <c r="AL62" s="45" t="s">
        <v>64</v>
      </c>
      <c r="AM62" s="198" t="str">
        <f t="shared" si="0"/>
        <v>3/2026</v>
      </c>
      <c r="AN62" s="45">
        <f t="shared" si="1"/>
        <v>2</v>
      </c>
      <c r="AO62" s="45" t="str">
        <f t="shared" si="2"/>
        <v>2/2026</v>
      </c>
      <c r="AP62" s="45">
        <f t="shared" si="3"/>
        <v>3</v>
      </c>
      <c r="AQ62" s="45">
        <f t="shared" si="4"/>
        <v>-18</v>
      </c>
      <c r="AR62" s="45">
        <f t="shared" si="5"/>
        <v>0</v>
      </c>
      <c r="AS62" s="45">
        <f t="shared" si="6"/>
        <v>0</v>
      </c>
      <c r="AT62" s="45">
        <f t="shared" si="7"/>
        <v>33.597222222218988</v>
      </c>
      <c r="AU62" s="45" t="str">
        <f>_xlfn.XLOOKUP(U62,'Lista Suspensa'!$AA$20:$AA$23,'Lista Suspensa'!$AB$20:$AB$23,"N/A")</f>
        <v>S</v>
      </c>
    </row>
    <row r="63" spans="1:47" ht="12" customHeight="1" x14ac:dyDescent="0.3">
      <c r="A63" s="87" t="s">
        <v>47</v>
      </c>
      <c r="B63" s="88">
        <v>46091</v>
      </c>
      <c r="C63" s="89" t="s">
        <v>48</v>
      </c>
      <c r="D63" s="89" t="s">
        <v>49</v>
      </c>
      <c r="E63" s="90">
        <v>81354910</v>
      </c>
      <c r="F63" s="220" t="s">
        <v>221</v>
      </c>
      <c r="G63" s="92">
        <v>6018196832</v>
      </c>
      <c r="H63" s="93">
        <v>19750</v>
      </c>
      <c r="I63" s="89">
        <v>72</v>
      </c>
      <c r="J63" s="89" t="s">
        <v>77</v>
      </c>
      <c r="K63" s="89" t="s">
        <v>52</v>
      </c>
      <c r="L63" s="89"/>
      <c r="M63" s="89"/>
      <c r="N63" s="89" t="s">
        <v>68</v>
      </c>
      <c r="O63" s="94" t="s">
        <v>222</v>
      </c>
      <c r="P63" s="95" t="s">
        <v>55</v>
      </c>
      <c r="Q63" s="144" t="s">
        <v>70</v>
      </c>
      <c r="R63" s="96">
        <v>46128</v>
      </c>
      <c r="S63" s="97"/>
      <c r="T63" s="97" t="s">
        <v>57</v>
      </c>
      <c r="U63" s="97" t="s">
        <v>71</v>
      </c>
      <c r="V63" s="93">
        <v>46097</v>
      </c>
      <c r="W63" s="93">
        <v>46126</v>
      </c>
      <c r="X63" s="93">
        <v>46128</v>
      </c>
      <c r="Y63" s="98"/>
      <c r="Z63" s="89" t="s">
        <v>60</v>
      </c>
      <c r="AA63" s="97">
        <v>46132</v>
      </c>
      <c r="AB63" s="89" t="s">
        <v>61</v>
      </c>
      <c r="AC63" s="120"/>
      <c r="AD63" s="89" t="s">
        <v>73</v>
      </c>
      <c r="AE63" s="89">
        <v>58</v>
      </c>
      <c r="AF63" s="99" t="s">
        <v>223</v>
      </c>
      <c r="AG63" s="99"/>
      <c r="AH63" s="99" t="s">
        <v>75</v>
      </c>
      <c r="AI63" s="100" t="s">
        <v>62</v>
      </c>
      <c r="AJ63" s="100" t="s">
        <v>47</v>
      </c>
      <c r="AK63" s="100" t="s">
        <v>47</v>
      </c>
      <c r="AL63" s="45" t="s">
        <v>64</v>
      </c>
      <c r="AM63" s="198" t="str">
        <f t="shared" si="0"/>
        <v>3/2026</v>
      </c>
      <c r="AN63" s="45">
        <f t="shared" si="1"/>
        <v>2</v>
      </c>
      <c r="AO63" s="45" t="str">
        <f t="shared" si="2"/>
        <v>4/2026</v>
      </c>
      <c r="AP63" s="45">
        <f t="shared" si="3"/>
        <v>3</v>
      </c>
      <c r="AQ63" s="45">
        <f t="shared" si="4"/>
        <v>37</v>
      </c>
      <c r="AR63" s="45">
        <f t="shared" si="5"/>
        <v>0</v>
      </c>
      <c r="AS63" s="45">
        <f t="shared" si="6"/>
        <v>15.5</v>
      </c>
      <c r="AT63" s="45">
        <f t="shared" si="7"/>
        <v>4</v>
      </c>
      <c r="AU63" s="45" t="str">
        <f>_xlfn.XLOOKUP(U63,'Lista Suspensa'!$AA$20:$AA$23,'Lista Suspensa'!$AB$20:$AB$23,"N/A")</f>
        <v>S</v>
      </c>
    </row>
    <row r="64" spans="1:47" ht="12" customHeight="1" x14ac:dyDescent="0.3">
      <c r="A64" s="87" t="s">
        <v>47</v>
      </c>
      <c r="B64" s="88">
        <v>46091</v>
      </c>
      <c r="C64" s="89" t="s">
        <v>48</v>
      </c>
      <c r="D64" s="89" t="s">
        <v>49</v>
      </c>
      <c r="E64" s="90">
        <v>745810551</v>
      </c>
      <c r="F64" s="220" t="s">
        <v>224</v>
      </c>
      <c r="G64" s="92">
        <v>9059498704</v>
      </c>
      <c r="H64" s="93">
        <v>29349</v>
      </c>
      <c r="I64" s="89">
        <v>46</v>
      </c>
      <c r="J64" s="89" t="s">
        <v>51</v>
      </c>
      <c r="K64" s="89" t="s">
        <v>78</v>
      </c>
      <c r="L64" s="89"/>
      <c r="M64" s="89"/>
      <c r="N64" s="89" t="s">
        <v>53</v>
      </c>
      <c r="O64" s="94" t="s">
        <v>225</v>
      </c>
      <c r="P64" s="95" t="s">
        <v>55</v>
      </c>
      <c r="Q64" s="144" t="s">
        <v>70</v>
      </c>
      <c r="R64" s="96">
        <v>46128</v>
      </c>
      <c r="S64" s="97"/>
      <c r="T64" s="97" t="s">
        <v>57</v>
      </c>
      <c r="U64" s="97" t="s">
        <v>71</v>
      </c>
      <c r="V64" s="93">
        <v>46111</v>
      </c>
      <c r="W64" s="93">
        <v>46126</v>
      </c>
      <c r="X64" s="93">
        <v>46128</v>
      </c>
      <c r="Y64" s="98"/>
      <c r="Z64" s="89" t="s">
        <v>60</v>
      </c>
      <c r="AA64" s="97">
        <v>46135</v>
      </c>
      <c r="AB64" s="89" t="s">
        <v>61</v>
      </c>
      <c r="AC64" s="120">
        <v>46153</v>
      </c>
      <c r="AD64" s="89" t="s">
        <v>85</v>
      </c>
      <c r="AE64" s="89">
        <v>65</v>
      </c>
      <c r="AF64" s="99"/>
      <c r="AG64" s="99"/>
      <c r="AH64" s="99"/>
      <c r="AI64" s="100" t="s">
        <v>62</v>
      </c>
      <c r="AJ64" s="100" t="s">
        <v>47</v>
      </c>
      <c r="AK64" s="100" t="s">
        <v>47</v>
      </c>
      <c r="AL64" s="45" t="s">
        <v>64</v>
      </c>
      <c r="AM64" s="198" t="str">
        <f t="shared" si="0"/>
        <v>3/2026</v>
      </c>
      <c r="AN64" s="45">
        <f t="shared" si="1"/>
        <v>2</v>
      </c>
      <c r="AO64" s="45" t="str">
        <f t="shared" si="2"/>
        <v>4/2026</v>
      </c>
      <c r="AP64" s="45">
        <f t="shared" si="3"/>
        <v>3</v>
      </c>
      <c r="AQ64" s="45">
        <f t="shared" si="4"/>
        <v>37</v>
      </c>
      <c r="AR64" s="45">
        <f t="shared" si="5"/>
        <v>0</v>
      </c>
      <c r="AS64" s="45">
        <f t="shared" si="6"/>
        <v>8.5</v>
      </c>
      <c r="AT64" s="45">
        <f t="shared" si="7"/>
        <v>7</v>
      </c>
      <c r="AU64" s="45" t="str">
        <f>_xlfn.XLOOKUP(U64,'Lista Suspensa'!$AA$20:$AA$23,'Lista Suspensa'!$AB$20:$AB$23,"N/A")</f>
        <v>S</v>
      </c>
    </row>
    <row r="65" spans="1:47" ht="12" customHeight="1" x14ac:dyDescent="0.3">
      <c r="A65" s="87" t="s">
        <v>47</v>
      </c>
      <c r="B65" s="88">
        <v>46091</v>
      </c>
      <c r="C65" s="89" t="s">
        <v>48</v>
      </c>
      <c r="D65" s="89" t="s">
        <v>49</v>
      </c>
      <c r="E65" s="90">
        <v>86845027</v>
      </c>
      <c r="F65" s="220" t="s">
        <v>226</v>
      </c>
      <c r="G65" s="92">
        <v>26867812899</v>
      </c>
      <c r="H65" s="93">
        <v>28174</v>
      </c>
      <c r="I65" s="89">
        <v>49</v>
      </c>
      <c r="J65" s="89" t="s">
        <v>51</v>
      </c>
      <c r="K65" s="89" t="s">
        <v>52</v>
      </c>
      <c r="L65" s="89"/>
      <c r="M65" s="89"/>
      <c r="N65" s="89" t="s">
        <v>92</v>
      </c>
      <c r="O65" s="94" t="s">
        <v>227</v>
      </c>
      <c r="P65" s="95" t="s">
        <v>55</v>
      </c>
      <c r="Q65" s="144" t="s">
        <v>70</v>
      </c>
      <c r="R65" s="96">
        <v>46097</v>
      </c>
      <c r="S65" s="97"/>
      <c r="T65" s="97" t="s">
        <v>57</v>
      </c>
      <c r="U65" s="97" t="s">
        <v>71</v>
      </c>
      <c r="V65" s="93">
        <v>46098</v>
      </c>
      <c r="W65" s="93" t="s">
        <v>72</v>
      </c>
      <c r="X65" s="93" t="s">
        <v>72</v>
      </c>
      <c r="Y65" s="98"/>
      <c r="Z65" s="89" t="s">
        <v>60</v>
      </c>
      <c r="AA65" s="97">
        <v>46106</v>
      </c>
      <c r="AB65" s="89" t="s">
        <v>110</v>
      </c>
      <c r="AC65" s="120"/>
      <c r="AD65" s="89"/>
      <c r="AE65" s="89"/>
      <c r="AF65" s="99"/>
      <c r="AG65" s="99"/>
      <c r="AH65" s="99"/>
      <c r="AI65" s="100" t="s">
        <v>62</v>
      </c>
      <c r="AJ65" s="100" t="s">
        <v>47</v>
      </c>
      <c r="AK65" s="100" t="s">
        <v>47</v>
      </c>
      <c r="AL65" s="45" t="s">
        <v>64</v>
      </c>
      <c r="AM65" s="198" t="str">
        <f t="shared" si="0"/>
        <v>3/2026</v>
      </c>
      <c r="AN65" s="45">
        <f t="shared" si="1"/>
        <v>2</v>
      </c>
      <c r="AO65" s="45" t="str">
        <f t="shared" si="2"/>
        <v>3/2026</v>
      </c>
      <c r="AP65" s="45">
        <f t="shared" si="3"/>
        <v>3</v>
      </c>
      <c r="AQ65" s="45">
        <f t="shared" si="4"/>
        <v>6</v>
      </c>
      <c r="AR65" s="45">
        <f t="shared" si="5"/>
        <v>0</v>
      </c>
      <c r="AS65" s="45">
        <f t="shared" si="6"/>
        <v>0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customHeight="1" x14ac:dyDescent="0.3">
      <c r="A66" s="87" t="s">
        <v>47</v>
      </c>
      <c r="B66" s="88">
        <v>46091</v>
      </c>
      <c r="C66" s="89" t="s">
        <v>48</v>
      </c>
      <c r="D66" s="89" t="s">
        <v>49</v>
      </c>
      <c r="E66" s="90">
        <v>94446679</v>
      </c>
      <c r="F66" s="220" t="s">
        <v>228</v>
      </c>
      <c r="G66" s="92">
        <v>25285868840</v>
      </c>
      <c r="H66" s="93">
        <v>28109</v>
      </c>
      <c r="I66" s="89">
        <v>49</v>
      </c>
      <c r="J66" s="89" t="s">
        <v>51</v>
      </c>
      <c r="K66" s="89" t="s">
        <v>52</v>
      </c>
      <c r="L66" s="89"/>
      <c r="M66" s="89"/>
      <c r="N66" s="89" t="s">
        <v>83</v>
      </c>
      <c r="O66" s="94" t="s">
        <v>229</v>
      </c>
      <c r="P66" s="95" t="s">
        <v>55</v>
      </c>
      <c r="Q66" s="144" t="s">
        <v>70</v>
      </c>
      <c r="R66" s="96">
        <v>46097</v>
      </c>
      <c r="S66" s="97"/>
      <c r="T66" s="97" t="s">
        <v>57</v>
      </c>
      <c r="U66" s="97" t="s">
        <v>71</v>
      </c>
      <c r="V66" s="93">
        <v>46097</v>
      </c>
      <c r="W66" s="93" t="s">
        <v>72</v>
      </c>
      <c r="X66" s="93" t="s">
        <v>72</v>
      </c>
      <c r="Y66" s="98"/>
      <c r="Z66" s="89" t="s">
        <v>60</v>
      </c>
      <c r="AA66" s="97">
        <v>46106</v>
      </c>
      <c r="AB66" s="89" t="s">
        <v>110</v>
      </c>
      <c r="AC66" s="120">
        <v>46153</v>
      </c>
      <c r="AD66" s="89"/>
      <c r="AE66" s="89"/>
      <c r="AF66" s="99"/>
      <c r="AG66" s="99"/>
      <c r="AH66" s="99"/>
      <c r="AI66" s="100" t="s">
        <v>62</v>
      </c>
      <c r="AJ66" s="100" t="s">
        <v>47</v>
      </c>
      <c r="AK66" s="100" t="s">
        <v>47</v>
      </c>
      <c r="AL66" s="45" t="s">
        <v>64</v>
      </c>
      <c r="AM66" s="198" t="str">
        <f t="shared" ref="AM66:AM129" si="8">MONTH(B66)&amp;"/"&amp;YEAR(B66)</f>
        <v>3/2026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3/2026</v>
      </c>
      <c r="AP66" s="45">
        <f t="shared" ref="AP66:AP129" si="11">WEEKNUM(R66)-WEEKNUM(EOMONTH(R66,-1)+1)+1</f>
        <v>3</v>
      </c>
      <c r="AQ66" s="45">
        <f t="shared" ref="AQ66:AQ129" si="12">IF(AU66="S",IF(Q66="1. Aceitou o programa",R66-B66,0),0)</f>
        <v>6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 x14ac:dyDescent="0.3">
      <c r="A67" s="87" t="s">
        <v>47</v>
      </c>
      <c r="B67" s="88">
        <v>46091</v>
      </c>
      <c r="C67" s="89" t="s">
        <v>48</v>
      </c>
      <c r="D67" s="89" t="s">
        <v>49</v>
      </c>
      <c r="E67" s="90">
        <v>802568378</v>
      </c>
      <c r="F67" s="220" t="s">
        <v>230</v>
      </c>
      <c r="G67" s="92">
        <v>259580899</v>
      </c>
      <c r="H67" s="93">
        <v>21303</v>
      </c>
      <c r="I67" s="89">
        <v>68</v>
      </c>
      <c r="J67" s="89" t="s">
        <v>51</v>
      </c>
      <c r="K67" s="89" t="s">
        <v>52</v>
      </c>
      <c r="L67" s="89"/>
      <c r="M67" s="89"/>
      <c r="N67" s="89" t="s">
        <v>53</v>
      </c>
      <c r="O67" s="94" t="s">
        <v>231</v>
      </c>
      <c r="P67" s="95" t="s">
        <v>55</v>
      </c>
      <c r="Q67" s="144" t="s">
        <v>70</v>
      </c>
      <c r="R67" s="96">
        <v>46097</v>
      </c>
      <c r="S67" s="97"/>
      <c r="T67" s="97" t="s">
        <v>57</v>
      </c>
      <c r="U67" s="97" t="s">
        <v>71</v>
      </c>
      <c r="V67" s="93">
        <v>46097</v>
      </c>
      <c r="W67" s="93">
        <v>46073</v>
      </c>
      <c r="X67" s="93">
        <v>46154</v>
      </c>
      <c r="Y67" s="98"/>
      <c r="Z67" s="89" t="s">
        <v>60</v>
      </c>
      <c r="AA67" s="97">
        <v>46108.666666666664</v>
      </c>
      <c r="AB67" s="89" t="s">
        <v>110</v>
      </c>
      <c r="AC67" s="120">
        <v>46153</v>
      </c>
      <c r="AD67" s="89"/>
      <c r="AE67" s="89"/>
      <c r="AF67" s="99"/>
      <c r="AG67" s="99"/>
      <c r="AH67" s="99"/>
      <c r="AI67" s="100" t="s">
        <v>62</v>
      </c>
      <c r="AJ67" s="100" t="s">
        <v>47</v>
      </c>
      <c r="AK67" s="100" t="s">
        <v>47</v>
      </c>
      <c r="AL67" s="45" t="s">
        <v>64</v>
      </c>
      <c r="AM67" s="198" t="str">
        <f t="shared" si="8"/>
        <v>3/2026</v>
      </c>
      <c r="AN67" s="45">
        <f t="shared" si="9"/>
        <v>2</v>
      </c>
      <c r="AO67" s="45" t="str">
        <f t="shared" si="10"/>
        <v>3/2026</v>
      </c>
      <c r="AP67" s="45">
        <f t="shared" si="11"/>
        <v>3</v>
      </c>
      <c r="AQ67" s="45">
        <f t="shared" si="12"/>
        <v>6</v>
      </c>
      <c r="AR67" s="45">
        <f t="shared" si="13"/>
        <v>0</v>
      </c>
      <c r="AS67" s="45">
        <f t="shared" si="14"/>
        <v>28.5</v>
      </c>
      <c r="AT67" s="45">
        <f t="shared" si="15"/>
        <v>0</v>
      </c>
      <c r="AU67" s="45" t="str">
        <f>_xlfn.XLOOKUP(U67,'Lista Suspensa'!$AA$20:$AA$23,'Lista Suspensa'!$AB$20:$AB$23,"N/A")</f>
        <v>S</v>
      </c>
    </row>
    <row r="68" spans="1:47" ht="12" customHeight="1" x14ac:dyDescent="0.3">
      <c r="A68" s="87" t="s">
        <v>47</v>
      </c>
      <c r="B68" s="88">
        <v>46091</v>
      </c>
      <c r="C68" s="89" t="s">
        <v>48</v>
      </c>
      <c r="D68" s="89" t="s">
        <v>49</v>
      </c>
      <c r="E68" s="90">
        <v>95066496</v>
      </c>
      <c r="F68" s="220" t="s">
        <v>232</v>
      </c>
      <c r="G68" s="92">
        <v>4249400786</v>
      </c>
      <c r="H68" s="93">
        <v>27140</v>
      </c>
      <c r="I68" s="89">
        <v>52</v>
      </c>
      <c r="J68" s="89" t="s">
        <v>51</v>
      </c>
      <c r="K68" s="89" t="s">
        <v>78</v>
      </c>
      <c r="L68" s="89"/>
      <c r="M68" s="89"/>
      <c r="N68" s="89" t="s">
        <v>179</v>
      </c>
      <c r="O68" s="94" t="s">
        <v>233</v>
      </c>
      <c r="P68" s="95" t="s">
        <v>55</v>
      </c>
      <c r="Q68" s="144" t="s">
        <v>70</v>
      </c>
      <c r="R68" s="96">
        <v>46073</v>
      </c>
      <c r="S68" s="97"/>
      <c r="T68" s="97" t="s">
        <v>57</v>
      </c>
      <c r="U68" s="97" t="s">
        <v>71</v>
      </c>
      <c r="V68" s="93">
        <v>46073</v>
      </c>
      <c r="W68" s="93" t="s">
        <v>72</v>
      </c>
      <c r="X68" s="93" t="s">
        <v>72</v>
      </c>
      <c r="Y68" s="98"/>
      <c r="Z68" s="89" t="s">
        <v>60</v>
      </c>
      <c r="AA68" s="97">
        <v>46106.666666666664</v>
      </c>
      <c r="AB68" s="89" t="s">
        <v>110</v>
      </c>
      <c r="AC68" s="120">
        <v>46153</v>
      </c>
      <c r="AD68" s="89"/>
      <c r="AE68" s="89"/>
      <c r="AF68" s="99"/>
      <c r="AG68" s="99"/>
      <c r="AH68" s="99"/>
      <c r="AI68" s="100" t="s">
        <v>62</v>
      </c>
      <c r="AJ68" s="100" t="s">
        <v>47</v>
      </c>
      <c r="AK68" s="100" t="s">
        <v>47</v>
      </c>
      <c r="AL68" s="45" t="s">
        <v>64</v>
      </c>
      <c r="AM68" s="198" t="str">
        <f t="shared" si="8"/>
        <v>3/2026</v>
      </c>
      <c r="AN68" s="45">
        <f t="shared" si="9"/>
        <v>2</v>
      </c>
      <c r="AO68" s="45" t="str">
        <f t="shared" si="10"/>
        <v>2/2026</v>
      </c>
      <c r="AP68" s="45">
        <f t="shared" si="11"/>
        <v>3</v>
      </c>
      <c r="AQ68" s="45">
        <f t="shared" si="12"/>
        <v>-18</v>
      </c>
      <c r="AR68" s="45">
        <f t="shared" si="13"/>
        <v>0</v>
      </c>
      <c r="AS68" s="45">
        <f t="shared" si="14"/>
        <v>0</v>
      </c>
      <c r="AT68" s="45">
        <f t="shared" si="15"/>
        <v>0</v>
      </c>
      <c r="AU68" s="45" t="str">
        <f>_xlfn.XLOOKUP(U68,'Lista Suspensa'!$AA$20:$AA$23,'Lista Suspensa'!$AB$20:$AB$23,"N/A")</f>
        <v>S</v>
      </c>
    </row>
    <row r="69" spans="1:47" ht="12" customHeight="1" x14ac:dyDescent="0.3">
      <c r="A69" s="87" t="s">
        <v>47</v>
      </c>
      <c r="B69" s="88">
        <v>46091</v>
      </c>
      <c r="C69" s="89" t="s">
        <v>48</v>
      </c>
      <c r="D69" s="89" t="s">
        <v>49</v>
      </c>
      <c r="E69" s="90">
        <v>95529516</v>
      </c>
      <c r="F69" s="220" t="s">
        <v>234</v>
      </c>
      <c r="G69" s="92">
        <v>25289370838</v>
      </c>
      <c r="H69" s="93">
        <v>28018</v>
      </c>
      <c r="I69" s="89">
        <v>49</v>
      </c>
      <c r="J69" s="89" t="s">
        <v>51</v>
      </c>
      <c r="K69" s="89" t="s">
        <v>52</v>
      </c>
      <c r="L69" s="89"/>
      <c r="M69" s="89"/>
      <c r="N69" s="89" t="s">
        <v>126</v>
      </c>
      <c r="O69" s="94" t="s">
        <v>235</v>
      </c>
      <c r="P69" s="95" t="s">
        <v>55</v>
      </c>
      <c r="Q69" s="144" t="s">
        <v>70</v>
      </c>
      <c r="R69" s="96">
        <v>46128</v>
      </c>
      <c r="S69" s="97"/>
      <c r="T69" s="97" t="s">
        <v>57</v>
      </c>
      <c r="U69" s="97" t="s">
        <v>71</v>
      </c>
      <c r="V69" s="93">
        <v>46111</v>
      </c>
      <c r="W69" s="93">
        <v>46126</v>
      </c>
      <c r="X69" s="93">
        <v>46128</v>
      </c>
      <c r="Y69" s="98"/>
      <c r="Z69" s="89" t="s">
        <v>60</v>
      </c>
      <c r="AA69" s="97">
        <v>46139</v>
      </c>
      <c r="AB69" s="89" t="s">
        <v>61</v>
      </c>
      <c r="AC69" s="120"/>
      <c r="AD69" s="89" t="s">
        <v>73</v>
      </c>
      <c r="AE69" s="89">
        <v>47</v>
      </c>
      <c r="AF69" s="99" t="s">
        <v>90</v>
      </c>
      <c r="AG69" s="99"/>
      <c r="AH69" s="99" t="s">
        <v>236</v>
      </c>
      <c r="AI69" s="100" t="s">
        <v>62</v>
      </c>
      <c r="AJ69" s="100" t="s">
        <v>47</v>
      </c>
      <c r="AK69" s="100" t="s">
        <v>47</v>
      </c>
      <c r="AL69" s="45" t="s">
        <v>64</v>
      </c>
      <c r="AM69" s="198" t="str">
        <f t="shared" si="8"/>
        <v>3/2026</v>
      </c>
      <c r="AN69" s="45">
        <f t="shared" si="9"/>
        <v>2</v>
      </c>
      <c r="AO69" s="45" t="str">
        <f t="shared" si="10"/>
        <v>4/2026</v>
      </c>
      <c r="AP69" s="45">
        <f t="shared" si="11"/>
        <v>3</v>
      </c>
      <c r="AQ69" s="45">
        <f t="shared" si="12"/>
        <v>37</v>
      </c>
      <c r="AR69" s="45">
        <f t="shared" si="13"/>
        <v>0</v>
      </c>
      <c r="AS69" s="45">
        <f t="shared" si="14"/>
        <v>8.5</v>
      </c>
      <c r="AT69" s="45">
        <f t="shared" si="15"/>
        <v>11</v>
      </c>
      <c r="AU69" s="45" t="str">
        <f>_xlfn.XLOOKUP(U69,'Lista Suspensa'!$AA$20:$AA$23,'Lista Suspensa'!$AB$20:$AB$23,"N/A")</f>
        <v>S</v>
      </c>
    </row>
    <row r="70" spans="1:47" ht="12" customHeight="1" x14ac:dyDescent="0.3">
      <c r="A70" s="87" t="s">
        <v>47</v>
      </c>
      <c r="B70" s="88">
        <v>46091</v>
      </c>
      <c r="C70" s="89" t="s">
        <v>48</v>
      </c>
      <c r="D70" s="89" t="s">
        <v>49</v>
      </c>
      <c r="E70" s="90">
        <v>79016403</v>
      </c>
      <c r="F70" s="220" t="s">
        <v>237</v>
      </c>
      <c r="G70" s="92">
        <v>12711311880</v>
      </c>
      <c r="H70" s="93">
        <v>25200</v>
      </c>
      <c r="I70" s="89">
        <v>57</v>
      </c>
      <c r="J70" s="89" t="s">
        <v>51</v>
      </c>
      <c r="K70" s="89" t="s">
        <v>52</v>
      </c>
      <c r="L70" s="89"/>
      <c r="M70" s="89"/>
      <c r="N70" s="89" t="s">
        <v>83</v>
      </c>
      <c r="O70" s="94" t="s">
        <v>238</v>
      </c>
      <c r="P70" s="95" t="s">
        <v>55</v>
      </c>
      <c r="Q70" s="144" t="s">
        <v>70</v>
      </c>
      <c r="R70" s="96">
        <v>46073</v>
      </c>
      <c r="S70" s="97"/>
      <c r="T70" s="97" t="s">
        <v>57</v>
      </c>
      <c r="U70" s="97" t="s">
        <v>71</v>
      </c>
      <c r="V70" s="93">
        <v>46073</v>
      </c>
      <c r="W70" s="93">
        <v>46154</v>
      </c>
      <c r="X70" s="93" t="s">
        <v>72</v>
      </c>
      <c r="Y70" s="98"/>
      <c r="Z70" s="89" t="s">
        <v>60</v>
      </c>
      <c r="AA70" s="97">
        <v>46111</v>
      </c>
      <c r="AB70" s="89" t="s">
        <v>118</v>
      </c>
      <c r="AC70" s="120">
        <v>46164.458333333336</v>
      </c>
      <c r="AD70" s="89"/>
      <c r="AE70" s="89"/>
      <c r="AF70" s="99"/>
      <c r="AG70" s="99"/>
      <c r="AH70" s="99"/>
      <c r="AI70" s="100" t="s">
        <v>62</v>
      </c>
      <c r="AJ70" s="100" t="s">
        <v>47</v>
      </c>
      <c r="AK70" s="100" t="s">
        <v>47</v>
      </c>
      <c r="AL70" s="45" t="s">
        <v>64</v>
      </c>
      <c r="AM70" s="198" t="str">
        <f t="shared" si="8"/>
        <v>3/2026</v>
      </c>
      <c r="AN70" s="45">
        <f t="shared" si="9"/>
        <v>2</v>
      </c>
      <c r="AO70" s="45" t="str">
        <f t="shared" si="10"/>
        <v>2/2026</v>
      </c>
      <c r="AP70" s="45">
        <f t="shared" si="11"/>
        <v>3</v>
      </c>
      <c r="AQ70" s="45">
        <f t="shared" si="12"/>
        <v>-18</v>
      </c>
      <c r="AR70" s="45">
        <f t="shared" si="13"/>
        <v>0</v>
      </c>
      <c r="AS70" s="45">
        <f t="shared" si="14"/>
        <v>81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customHeight="1" x14ac:dyDescent="0.3">
      <c r="A71" s="87" t="s">
        <v>47</v>
      </c>
      <c r="B71" s="88">
        <v>46091</v>
      </c>
      <c r="C71" s="89" t="s">
        <v>48</v>
      </c>
      <c r="D71" s="89" t="s">
        <v>49</v>
      </c>
      <c r="E71" s="90">
        <v>222853735</v>
      </c>
      <c r="F71" s="220" t="s">
        <v>239</v>
      </c>
      <c r="G71" s="92">
        <v>39396851</v>
      </c>
      <c r="H71" s="93">
        <v>18389</v>
      </c>
      <c r="I71" s="89">
        <v>76</v>
      </c>
      <c r="J71" s="89" t="s">
        <v>51</v>
      </c>
      <c r="K71" s="89" t="s">
        <v>52</v>
      </c>
      <c r="L71" s="89"/>
      <c r="M71" s="89"/>
      <c r="N71" s="89" t="s">
        <v>151</v>
      </c>
      <c r="O71" s="94" t="s">
        <v>240</v>
      </c>
      <c r="P71" s="95" t="s">
        <v>55</v>
      </c>
      <c r="Q71" s="144" t="s">
        <v>136</v>
      </c>
      <c r="R71" s="96"/>
      <c r="S71" s="97">
        <v>46150</v>
      </c>
      <c r="T71" s="97" t="s">
        <v>57</v>
      </c>
      <c r="U71" s="97" t="s">
        <v>58</v>
      </c>
      <c r="V71" s="93">
        <v>46097</v>
      </c>
      <c r="W71" s="93">
        <v>46126</v>
      </c>
      <c r="X71" s="93">
        <v>46141</v>
      </c>
      <c r="Y71" s="98"/>
      <c r="Z71" s="89"/>
      <c r="AA71" s="97"/>
      <c r="AB71" s="89"/>
      <c r="AC71" s="120"/>
      <c r="AD71" s="89"/>
      <c r="AE71" s="89"/>
      <c r="AF71" s="99"/>
      <c r="AG71" s="99"/>
      <c r="AH71" s="99"/>
      <c r="AI71" s="100" t="s">
        <v>62</v>
      </c>
      <c r="AJ71" s="100" t="s">
        <v>63</v>
      </c>
      <c r="AK71" s="100" t="s">
        <v>47</v>
      </c>
      <c r="AL71" s="45" t="s">
        <v>64</v>
      </c>
      <c r="AM71" s="198" t="str">
        <f t="shared" si="8"/>
        <v>3/2026</v>
      </c>
      <c r="AN71" s="45">
        <f t="shared" si="9"/>
        <v>2</v>
      </c>
      <c r="AO71" s="45" t="str">
        <f t="shared" si="10"/>
        <v>1/1900</v>
      </c>
      <c r="AP71" s="45" t="e">
        <f t="shared" si="11"/>
        <v>#NUM!</v>
      </c>
      <c r="AQ71" s="45">
        <f t="shared" si="12"/>
        <v>0</v>
      </c>
      <c r="AR71" s="45">
        <f t="shared" si="13"/>
        <v>0</v>
      </c>
      <c r="AS71" s="45">
        <f t="shared" si="14"/>
        <v>0</v>
      </c>
      <c r="AT71" s="45">
        <f t="shared" si="15"/>
        <v>0</v>
      </c>
      <c r="AU71" s="45" t="str">
        <f>_xlfn.XLOOKUP(U71,'Lista Suspensa'!$AA$20:$AA$23,'Lista Suspensa'!$AB$20:$AB$23,"N/A")</f>
        <v>S</v>
      </c>
    </row>
    <row r="72" spans="1:47" ht="12" customHeight="1" x14ac:dyDescent="0.3">
      <c r="A72" s="87" t="s">
        <v>47</v>
      </c>
      <c r="B72" s="88">
        <v>46091</v>
      </c>
      <c r="C72" s="89" t="s">
        <v>48</v>
      </c>
      <c r="D72" s="89" t="s">
        <v>49</v>
      </c>
      <c r="E72" s="90">
        <v>95297071</v>
      </c>
      <c r="F72" s="220" t="s">
        <v>241</v>
      </c>
      <c r="G72" s="92">
        <v>80679986472</v>
      </c>
      <c r="H72" s="93">
        <v>25376</v>
      </c>
      <c r="I72" s="89">
        <v>56</v>
      </c>
      <c r="J72" s="89" t="s">
        <v>77</v>
      </c>
      <c r="K72" s="89" t="s">
        <v>52</v>
      </c>
      <c r="L72" s="89"/>
      <c r="M72" s="89"/>
      <c r="N72" s="89" t="s">
        <v>83</v>
      </c>
      <c r="O72" s="94" t="s">
        <v>242</v>
      </c>
      <c r="P72" s="95" t="s">
        <v>55</v>
      </c>
      <c r="Q72" s="144" t="s">
        <v>136</v>
      </c>
      <c r="R72" s="96"/>
      <c r="S72" s="97">
        <v>46150</v>
      </c>
      <c r="T72" s="97" t="s">
        <v>57</v>
      </c>
      <c r="U72" s="97" t="s">
        <v>58</v>
      </c>
      <c r="V72" s="93">
        <v>46097</v>
      </c>
      <c r="W72" s="93">
        <v>46126</v>
      </c>
      <c r="X72" s="93">
        <v>46141</v>
      </c>
      <c r="Y72" s="98"/>
      <c r="Z72" s="89"/>
      <c r="AA72" s="97"/>
      <c r="AB72" s="89"/>
      <c r="AC72" s="120"/>
      <c r="AD72" s="89"/>
      <c r="AE72" s="89"/>
      <c r="AF72" s="99"/>
      <c r="AG72" s="99"/>
      <c r="AH72" s="99"/>
      <c r="AI72" s="100" t="s">
        <v>62</v>
      </c>
      <c r="AJ72" s="100" t="s">
        <v>63</v>
      </c>
      <c r="AK72" s="100" t="s">
        <v>47</v>
      </c>
      <c r="AL72" s="45" t="s">
        <v>64</v>
      </c>
      <c r="AM72" s="198" t="str">
        <f t="shared" si="8"/>
        <v>3/2026</v>
      </c>
      <c r="AN72" s="45">
        <f t="shared" si="9"/>
        <v>2</v>
      </c>
      <c r="AO72" s="45" t="str">
        <f t="shared" si="10"/>
        <v>1/1900</v>
      </c>
      <c r="AP72" s="45" t="e">
        <f t="shared" si="11"/>
        <v>#NUM!</v>
      </c>
      <c r="AQ72" s="45">
        <f t="shared" si="12"/>
        <v>0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customHeight="1" x14ac:dyDescent="0.3">
      <c r="A73" s="87" t="s">
        <v>47</v>
      </c>
      <c r="B73" s="88">
        <v>46091</v>
      </c>
      <c r="C73" s="89" t="s">
        <v>48</v>
      </c>
      <c r="D73" s="89" t="s">
        <v>49</v>
      </c>
      <c r="E73" s="90">
        <v>77321441</v>
      </c>
      <c r="F73" s="220" t="s">
        <v>243</v>
      </c>
      <c r="G73" s="92">
        <v>26920147823</v>
      </c>
      <c r="H73" s="93">
        <v>28197</v>
      </c>
      <c r="I73" s="89">
        <v>49</v>
      </c>
      <c r="J73" s="89" t="s">
        <v>77</v>
      </c>
      <c r="K73" s="89" t="s">
        <v>52</v>
      </c>
      <c r="L73" s="89"/>
      <c r="M73" s="89"/>
      <c r="N73" s="89" t="s">
        <v>83</v>
      </c>
      <c r="O73" s="94" t="s">
        <v>244</v>
      </c>
      <c r="P73" s="95" t="s">
        <v>55</v>
      </c>
      <c r="Q73" s="144" t="s">
        <v>70</v>
      </c>
      <c r="R73" s="96">
        <v>46128</v>
      </c>
      <c r="S73" s="97"/>
      <c r="T73" s="97" t="s">
        <v>57</v>
      </c>
      <c r="U73" s="97" t="s">
        <v>71</v>
      </c>
      <c r="V73" s="93">
        <v>46111</v>
      </c>
      <c r="W73" s="93">
        <v>46126</v>
      </c>
      <c r="X73" s="93">
        <v>46128</v>
      </c>
      <c r="Y73" s="98"/>
      <c r="Z73" s="89" t="s">
        <v>60</v>
      </c>
      <c r="AA73" s="97">
        <v>46134</v>
      </c>
      <c r="AB73" s="89" t="s">
        <v>110</v>
      </c>
      <c r="AC73" s="120">
        <v>46153</v>
      </c>
      <c r="AD73" s="89"/>
      <c r="AE73" s="89"/>
      <c r="AF73" s="99"/>
      <c r="AG73" s="99"/>
      <c r="AH73" s="99"/>
      <c r="AI73" s="100" t="s">
        <v>62</v>
      </c>
      <c r="AJ73" s="100" t="s">
        <v>47</v>
      </c>
      <c r="AK73" s="100" t="s">
        <v>47</v>
      </c>
      <c r="AL73" s="45" t="s">
        <v>64</v>
      </c>
      <c r="AM73" s="198" t="str">
        <f t="shared" si="8"/>
        <v>3/2026</v>
      </c>
      <c r="AN73" s="45">
        <f t="shared" si="9"/>
        <v>2</v>
      </c>
      <c r="AO73" s="45" t="str">
        <f t="shared" si="10"/>
        <v>4/2026</v>
      </c>
      <c r="AP73" s="45">
        <f t="shared" si="11"/>
        <v>3</v>
      </c>
      <c r="AQ73" s="45">
        <f t="shared" si="12"/>
        <v>37</v>
      </c>
      <c r="AR73" s="45">
        <f t="shared" si="13"/>
        <v>0</v>
      </c>
      <c r="AS73" s="45">
        <f t="shared" si="14"/>
        <v>8.5</v>
      </c>
      <c r="AT73" s="45">
        <f t="shared" si="15"/>
        <v>0</v>
      </c>
      <c r="AU73" s="45" t="str">
        <f>_xlfn.XLOOKUP(U73,'Lista Suspensa'!$AA$20:$AA$23,'Lista Suspensa'!$AB$20:$AB$23,"N/A")</f>
        <v>S</v>
      </c>
    </row>
    <row r="74" spans="1:47" ht="12" customHeight="1" x14ac:dyDescent="0.3">
      <c r="A74" s="87" t="s">
        <v>47</v>
      </c>
      <c r="B74" s="88">
        <v>46091</v>
      </c>
      <c r="C74" s="89" t="s">
        <v>48</v>
      </c>
      <c r="D74" s="89" t="s">
        <v>49</v>
      </c>
      <c r="E74" s="90">
        <v>96263573</v>
      </c>
      <c r="F74" s="220" t="s">
        <v>245</v>
      </c>
      <c r="G74" s="92">
        <v>9330781888</v>
      </c>
      <c r="H74" s="93">
        <v>22368</v>
      </c>
      <c r="I74" s="89">
        <v>65</v>
      </c>
      <c r="J74" s="89" t="s">
        <v>51</v>
      </c>
      <c r="K74" s="89" t="s">
        <v>52</v>
      </c>
      <c r="L74" s="89"/>
      <c r="M74" s="89"/>
      <c r="N74" s="89" t="s">
        <v>126</v>
      </c>
      <c r="O74" s="94" t="s">
        <v>246</v>
      </c>
      <c r="P74" s="95" t="s">
        <v>55</v>
      </c>
      <c r="Q74" s="144" t="s">
        <v>136</v>
      </c>
      <c r="R74" s="96"/>
      <c r="S74" s="97">
        <v>46150</v>
      </c>
      <c r="T74" s="97" t="s">
        <v>57</v>
      </c>
      <c r="U74" s="97" t="s">
        <v>58</v>
      </c>
      <c r="V74" s="93">
        <v>46097</v>
      </c>
      <c r="W74" s="93">
        <v>46126</v>
      </c>
      <c r="X74" s="93">
        <v>46141</v>
      </c>
      <c r="Y74" s="98"/>
      <c r="Z74" s="89"/>
      <c r="AA74" s="97"/>
      <c r="AB74" s="89"/>
      <c r="AC74" s="120"/>
      <c r="AD74" s="89"/>
      <c r="AE74" s="89"/>
      <c r="AF74" s="99"/>
      <c r="AG74" s="99"/>
      <c r="AH74" s="99"/>
      <c r="AI74" s="100" t="s">
        <v>62</v>
      </c>
      <c r="AJ74" s="100" t="s">
        <v>63</v>
      </c>
      <c r="AK74" s="100" t="s">
        <v>47</v>
      </c>
      <c r="AL74" s="45" t="s">
        <v>64</v>
      </c>
      <c r="AM74" s="198" t="str">
        <f t="shared" si="8"/>
        <v>3/2026</v>
      </c>
      <c r="AN74" s="45">
        <f t="shared" si="9"/>
        <v>2</v>
      </c>
      <c r="AO74" s="45" t="str">
        <f t="shared" si="10"/>
        <v>1/1900</v>
      </c>
      <c r="AP74" s="45" t="e">
        <f t="shared" si="11"/>
        <v>#NUM!</v>
      </c>
      <c r="AQ74" s="45">
        <f t="shared" si="12"/>
        <v>0</v>
      </c>
      <c r="AR74" s="45">
        <f t="shared" si="13"/>
        <v>0</v>
      </c>
      <c r="AS74" s="45">
        <f t="shared" si="14"/>
        <v>0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customHeight="1" x14ac:dyDescent="0.3">
      <c r="A75" s="87" t="s">
        <v>47</v>
      </c>
      <c r="B75" s="88">
        <v>46091</v>
      </c>
      <c r="C75" s="89" t="s">
        <v>48</v>
      </c>
      <c r="D75" s="89" t="s">
        <v>49</v>
      </c>
      <c r="E75" s="90">
        <v>87392354</v>
      </c>
      <c r="F75" s="220" t="s">
        <v>247</v>
      </c>
      <c r="G75" s="92">
        <v>1975580702</v>
      </c>
      <c r="H75" s="93">
        <v>23678</v>
      </c>
      <c r="I75" s="89">
        <v>61</v>
      </c>
      <c r="J75" s="89" t="s">
        <v>77</v>
      </c>
      <c r="K75" s="89" t="s">
        <v>78</v>
      </c>
      <c r="L75" s="89"/>
      <c r="M75" s="89"/>
      <c r="N75" s="89" t="s">
        <v>179</v>
      </c>
      <c r="O75" s="94" t="s">
        <v>248</v>
      </c>
      <c r="P75" s="95" t="s">
        <v>55</v>
      </c>
      <c r="Q75" s="144" t="s">
        <v>70</v>
      </c>
      <c r="R75" s="96">
        <v>46128</v>
      </c>
      <c r="S75" s="97"/>
      <c r="T75" s="97" t="s">
        <v>57</v>
      </c>
      <c r="U75" s="97" t="s">
        <v>71</v>
      </c>
      <c r="V75" s="93">
        <v>46111</v>
      </c>
      <c r="W75" s="93">
        <v>46126</v>
      </c>
      <c r="X75" s="93">
        <v>46128</v>
      </c>
      <c r="Y75" s="98"/>
      <c r="Z75" s="89" t="s">
        <v>60</v>
      </c>
      <c r="AA75" s="97">
        <v>46146</v>
      </c>
      <c r="AB75" s="89" t="s">
        <v>110</v>
      </c>
      <c r="AC75" s="120"/>
      <c r="AD75" s="89"/>
      <c r="AE75" s="89"/>
      <c r="AF75" s="99"/>
      <c r="AG75" s="99"/>
      <c r="AH75" s="99"/>
      <c r="AI75" s="100" t="s">
        <v>62</v>
      </c>
      <c r="AJ75" s="100" t="s">
        <v>47</v>
      </c>
      <c r="AK75" s="100" t="s">
        <v>47</v>
      </c>
      <c r="AL75" s="45" t="s">
        <v>64</v>
      </c>
      <c r="AM75" s="198" t="str">
        <f t="shared" si="8"/>
        <v>3/2026</v>
      </c>
      <c r="AN75" s="45">
        <f t="shared" si="9"/>
        <v>2</v>
      </c>
      <c r="AO75" s="45" t="str">
        <f t="shared" si="10"/>
        <v>4/2026</v>
      </c>
      <c r="AP75" s="45">
        <f t="shared" si="11"/>
        <v>3</v>
      </c>
      <c r="AQ75" s="45">
        <f t="shared" si="12"/>
        <v>37</v>
      </c>
      <c r="AR75" s="45">
        <f t="shared" si="13"/>
        <v>0</v>
      </c>
      <c r="AS75" s="45">
        <f t="shared" si="14"/>
        <v>8.5</v>
      </c>
      <c r="AT75" s="45">
        <f t="shared" si="15"/>
        <v>0</v>
      </c>
      <c r="AU75" s="45" t="str">
        <f>_xlfn.XLOOKUP(U75,'Lista Suspensa'!$AA$20:$AA$23,'Lista Suspensa'!$AB$20:$AB$23,"N/A")</f>
        <v>S</v>
      </c>
    </row>
    <row r="76" spans="1:47" ht="12" customHeight="1" x14ac:dyDescent="0.3">
      <c r="A76" s="87" t="s">
        <v>47</v>
      </c>
      <c r="B76" s="88">
        <v>46091</v>
      </c>
      <c r="C76" s="89" t="s">
        <v>48</v>
      </c>
      <c r="D76" s="89" t="s">
        <v>49</v>
      </c>
      <c r="E76" s="90">
        <v>76889099</v>
      </c>
      <c r="F76" s="220" t="s">
        <v>249</v>
      </c>
      <c r="G76" s="92">
        <v>14504044803</v>
      </c>
      <c r="H76" s="93">
        <v>25084</v>
      </c>
      <c r="I76" s="89">
        <v>57</v>
      </c>
      <c r="J76" s="89" t="s">
        <v>51</v>
      </c>
      <c r="K76" s="89" t="s">
        <v>52</v>
      </c>
      <c r="L76" s="89"/>
      <c r="M76" s="89"/>
      <c r="N76" s="89" t="s">
        <v>92</v>
      </c>
      <c r="O76" s="94" t="s">
        <v>250</v>
      </c>
      <c r="P76" s="95" t="s">
        <v>55</v>
      </c>
      <c r="Q76" s="144" t="s">
        <v>136</v>
      </c>
      <c r="R76" s="96"/>
      <c r="S76" s="97">
        <v>46150</v>
      </c>
      <c r="T76" s="97" t="s">
        <v>183</v>
      </c>
      <c r="U76" s="97" t="s">
        <v>58</v>
      </c>
      <c r="V76" s="93">
        <v>46111</v>
      </c>
      <c r="W76" s="93">
        <v>46126</v>
      </c>
      <c r="X76" s="93">
        <v>46141</v>
      </c>
      <c r="Y76" s="98"/>
      <c r="Z76" s="89"/>
      <c r="AA76" s="97"/>
      <c r="AB76" s="89"/>
      <c r="AC76" s="120"/>
      <c r="AD76" s="89"/>
      <c r="AE76" s="89"/>
      <c r="AF76" s="99"/>
      <c r="AG76" s="99"/>
      <c r="AH76" s="99"/>
      <c r="AI76" s="100" t="s">
        <v>62</v>
      </c>
      <c r="AJ76" s="100" t="s">
        <v>63</v>
      </c>
      <c r="AK76" s="100" t="s">
        <v>47</v>
      </c>
      <c r="AL76" s="45" t="s">
        <v>64</v>
      </c>
      <c r="AM76" s="198" t="str">
        <f t="shared" si="8"/>
        <v>3/2026</v>
      </c>
      <c r="AN76" s="45">
        <f t="shared" si="9"/>
        <v>2</v>
      </c>
      <c r="AO76" s="45" t="str">
        <f t="shared" si="10"/>
        <v>1/1900</v>
      </c>
      <c r="AP76" s="45" t="e">
        <f t="shared" si="11"/>
        <v>#NUM!</v>
      </c>
      <c r="AQ76" s="45">
        <f t="shared" si="12"/>
        <v>0</v>
      </c>
      <c r="AR76" s="45">
        <f t="shared" si="13"/>
        <v>0</v>
      </c>
      <c r="AS76" s="45">
        <f t="shared" si="14"/>
        <v>0</v>
      </c>
      <c r="AT76" s="45">
        <f t="shared" si="15"/>
        <v>0</v>
      </c>
      <c r="AU76" s="45" t="str">
        <f>_xlfn.XLOOKUP(U76,'Lista Suspensa'!$AA$20:$AA$23,'Lista Suspensa'!$AB$20:$AB$23,"N/A")</f>
        <v>S</v>
      </c>
    </row>
    <row r="77" spans="1:47" ht="12" customHeight="1" x14ac:dyDescent="0.3">
      <c r="A77" s="87" t="s">
        <v>47</v>
      </c>
      <c r="B77" s="88">
        <v>46091</v>
      </c>
      <c r="C77" s="89" t="s">
        <v>48</v>
      </c>
      <c r="D77" s="89" t="s">
        <v>49</v>
      </c>
      <c r="E77" s="90">
        <v>93842468</v>
      </c>
      <c r="F77" s="220" t="s">
        <v>251</v>
      </c>
      <c r="G77" s="92">
        <v>74519263468</v>
      </c>
      <c r="H77" s="93">
        <v>22417</v>
      </c>
      <c r="I77" s="89">
        <v>64</v>
      </c>
      <c r="J77" s="89" t="s">
        <v>77</v>
      </c>
      <c r="K77" s="89" t="s">
        <v>78</v>
      </c>
      <c r="L77" s="89"/>
      <c r="M77" s="89"/>
      <c r="N77" s="89" t="s">
        <v>132</v>
      </c>
      <c r="O77" s="94" t="s">
        <v>252</v>
      </c>
      <c r="P77" s="95" t="s">
        <v>55</v>
      </c>
      <c r="Q77" s="144" t="s">
        <v>136</v>
      </c>
      <c r="R77" s="96"/>
      <c r="S77" s="97">
        <v>46150</v>
      </c>
      <c r="T77" s="97" t="s">
        <v>183</v>
      </c>
      <c r="U77" s="97" t="s">
        <v>58</v>
      </c>
      <c r="V77" s="93">
        <v>46111</v>
      </c>
      <c r="W77" s="93">
        <v>46126</v>
      </c>
      <c r="X77" s="93">
        <v>46141</v>
      </c>
      <c r="Y77" s="98"/>
      <c r="Z77" s="89"/>
      <c r="AA77" s="97"/>
      <c r="AB77" s="89"/>
      <c r="AC77" s="120"/>
      <c r="AD77" s="89"/>
      <c r="AE77" s="89"/>
      <c r="AF77" s="99"/>
      <c r="AG77" s="99"/>
      <c r="AH77" s="99"/>
      <c r="AI77" s="100" t="s">
        <v>62</v>
      </c>
      <c r="AJ77" s="100" t="s">
        <v>63</v>
      </c>
      <c r="AK77" s="100" t="s">
        <v>47</v>
      </c>
      <c r="AL77" s="45" t="s">
        <v>64</v>
      </c>
      <c r="AM77" s="198" t="str">
        <f t="shared" si="8"/>
        <v>3/2026</v>
      </c>
      <c r="AN77" s="45">
        <f t="shared" si="9"/>
        <v>2</v>
      </c>
      <c r="AO77" s="45" t="str">
        <f t="shared" si="10"/>
        <v>1/1900</v>
      </c>
      <c r="AP77" s="45" t="e">
        <f t="shared" si="11"/>
        <v>#NUM!</v>
      </c>
      <c r="AQ77" s="45">
        <f t="shared" si="12"/>
        <v>0</v>
      </c>
      <c r="AR77" s="45">
        <f t="shared" si="13"/>
        <v>0</v>
      </c>
      <c r="AS77" s="45">
        <f t="shared" si="14"/>
        <v>0</v>
      </c>
      <c r="AT77" s="45">
        <f t="shared" si="15"/>
        <v>0</v>
      </c>
      <c r="AU77" s="45" t="str">
        <f>_xlfn.XLOOKUP(U77,'Lista Suspensa'!$AA$20:$AA$23,'Lista Suspensa'!$AB$20:$AB$23,"N/A")</f>
        <v>S</v>
      </c>
    </row>
    <row r="78" spans="1:47" ht="12" customHeight="1" x14ac:dyDescent="0.3">
      <c r="A78" s="87" t="s">
        <v>47</v>
      </c>
      <c r="B78" s="88">
        <v>46091</v>
      </c>
      <c r="C78" s="89" t="s">
        <v>48</v>
      </c>
      <c r="D78" s="89" t="s">
        <v>49</v>
      </c>
      <c r="E78" s="90">
        <v>95708956</v>
      </c>
      <c r="F78" s="220" t="s">
        <v>253</v>
      </c>
      <c r="G78" s="92">
        <v>38237650867</v>
      </c>
      <c r="H78" s="93">
        <v>32915</v>
      </c>
      <c r="I78" s="89">
        <v>36</v>
      </c>
      <c r="J78" s="89" t="s">
        <v>51</v>
      </c>
      <c r="K78" s="89" t="s">
        <v>52</v>
      </c>
      <c r="L78" s="89"/>
      <c r="M78" s="89"/>
      <c r="N78" s="89" t="s">
        <v>68</v>
      </c>
      <c r="O78" s="94" t="s">
        <v>254</v>
      </c>
      <c r="P78" s="95" t="s">
        <v>55</v>
      </c>
      <c r="Q78" s="144" t="s">
        <v>136</v>
      </c>
      <c r="R78" s="96"/>
      <c r="S78" s="97">
        <v>46150</v>
      </c>
      <c r="T78" s="97" t="s">
        <v>183</v>
      </c>
      <c r="U78" s="97" t="s">
        <v>58</v>
      </c>
      <c r="V78" s="93">
        <v>46111</v>
      </c>
      <c r="W78" s="93">
        <v>46126</v>
      </c>
      <c r="X78" s="93">
        <v>46141</v>
      </c>
      <c r="Y78" s="98"/>
      <c r="Z78" s="89"/>
      <c r="AA78" s="97"/>
      <c r="AB78" s="89"/>
      <c r="AC78" s="120"/>
      <c r="AD78" s="89"/>
      <c r="AE78" s="89"/>
      <c r="AF78" s="99"/>
      <c r="AG78" s="99"/>
      <c r="AH78" s="99"/>
      <c r="AI78" s="100" t="s">
        <v>62</v>
      </c>
      <c r="AJ78" s="100" t="s">
        <v>63</v>
      </c>
      <c r="AK78" s="100" t="s">
        <v>47</v>
      </c>
      <c r="AL78" s="45" t="s">
        <v>64</v>
      </c>
      <c r="AM78" s="198" t="str">
        <f t="shared" si="8"/>
        <v>3/2026</v>
      </c>
      <c r="AN78" s="45">
        <f t="shared" si="9"/>
        <v>2</v>
      </c>
      <c r="AO78" s="45" t="str">
        <f t="shared" si="10"/>
        <v>1/1900</v>
      </c>
      <c r="AP78" s="45" t="e">
        <f t="shared" si="11"/>
        <v>#NUM!</v>
      </c>
      <c r="AQ78" s="45">
        <f t="shared" si="12"/>
        <v>0</v>
      </c>
      <c r="AR78" s="45">
        <f t="shared" si="13"/>
        <v>0</v>
      </c>
      <c r="AS78" s="45">
        <f t="shared" si="14"/>
        <v>0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customHeight="1" x14ac:dyDescent="0.3">
      <c r="A79" s="87" t="s">
        <v>47</v>
      </c>
      <c r="B79" s="88">
        <v>46091</v>
      </c>
      <c r="C79" s="89" t="s">
        <v>48</v>
      </c>
      <c r="D79" s="89" t="s">
        <v>49</v>
      </c>
      <c r="E79" s="90">
        <v>93093213</v>
      </c>
      <c r="F79" s="220" t="s">
        <v>255</v>
      </c>
      <c r="G79" s="92">
        <v>98129104768</v>
      </c>
      <c r="H79" s="93">
        <v>24695</v>
      </c>
      <c r="I79" s="89">
        <v>58</v>
      </c>
      <c r="J79" s="89" t="s">
        <v>51</v>
      </c>
      <c r="K79" s="89" t="s">
        <v>78</v>
      </c>
      <c r="L79" s="89"/>
      <c r="M79" s="89"/>
      <c r="N79" s="89" t="s">
        <v>126</v>
      </c>
      <c r="O79" s="94" t="s">
        <v>256</v>
      </c>
      <c r="P79" s="95" t="s">
        <v>55</v>
      </c>
      <c r="Q79" s="144" t="s">
        <v>70</v>
      </c>
      <c r="R79" s="96">
        <v>46141</v>
      </c>
      <c r="S79" s="97"/>
      <c r="T79" s="97" t="s">
        <v>57</v>
      </c>
      <c r="U79" s="97" t="s">
        <v>71</v>
      </c>
      <c r="V79" s="93">
        <v>46111</v>
      </c>
      <c r="W79" s="93">
        <v>46126</v>
      </c>
      <c r="X79" s="93">
        <v>46141</v>
      </c>
      <c r="Y79" s="98"/>
      <c r="Z79" s="89" t="s">
        <v>60</v>
      </c>
      <c r="AA79" s="97">
        <v>46146</v>
      </c>
      <c r="AB79" s="89" t="s">
        <v>110</v>
      </c>
      <c r="AC79" s="120"/>
      <c r="AD79" s="89"/>
      <c r="AE79" s="89"/>
      <c r="AF79" s="99"/>
      <c r="AG79" s="99"/>
      <c r="AH79" s="99"/>
      <c r="AI79" s="100" t="s">
        <v>62</v>
      </c>
      <c r="AJ79" s="100" t="s">
        <v>47</v>
      </c>
      <c r="AK79" s="100" t="s">
        <v>47</v>
      </c>
      <c r="AL79" s="45" t="s">
        <v>64</v>
      </c>
      <c r="AM79" s="198" t="str">
        <f t="shared" si="8"/>
        <v>3/2026</v>
      </c>
      <c r="AN79" s="45">
        <f t="shared" si="9"/>
        <v>2</v>
      </c>
      <c r="AO79" s="45" t="str">
        <f t="shared" si="10"/>
        <v>4/2026</v>
      </c>
      <c r="AP79" s="45">
        <f t="shared" si="11"/>
        <v>5</v>
      </c>
      <c r="AQ79" s="45">
        <f t="shared" si="12"/>
        <v>50</v>
      </c>
      <c r="AR79" s="45">
        <f t="shared" si="13"/>
        <v>0</v>
      </c>
      <c r="AS79" s="45">
        <f t="shared" si="14"/>
        <v>15</v>
      </c>
      <c r="AT79" s="45">
        <f t="shared" si="15"/>
        <v>0</v>
      </c>
      <c r="AU79" s="45" t="str">
        <f>_xlfn.XLOOKUP(U79,'Lista Suspensa'!$AA$20:$AA$23,'Lista Suspensa'!$AB$20:$AB$23,"N/A")</f>
        <v>S</v>
      </c>
    </row>
    <row r="80" spans="1:47" ht="12" customHeight="1" x14ac:dyDescent="0.3">
      <c r="A80" s="87" t="s">
        <v>47</v>
      </c>
      <c r="B80" s="88">
        <v>46091</v>
      </c>
      <c r="C80" s="89" t="s">
        <v>48</v>
      </c>
      <c r="D80" s="89" t="s">
        <v>49</v>
      </c>
      <c r="E80" s="90">
        <v>190857498</v>
      </c>
      <c r="F80" s="220" t="s">
        <v>257</v>
      </c>
      <c r="G80" s="92">
        <v>74922076700</v>
      </c>
      <c r="H80" s="93">
        <v>23196</v>
      </c>
      <c r="I80" s="89">
        <v>62</v>
      </c>
      <c r="J80" s="89" t="s">
        <v>51</v>
      </c>
      <c r="K80" s="89" t="s">
        <v>78</v>
      </c>
      <c r="L80" s="89"/>
      <c r="M80" s="89"/>
      <c r="N80" s="89" t="s">
        <v>258</v>
      </c>
      <c r="O80" s="94" t="s">
        <v>259</v>
      </c>
      <c r="P80" s="95" t="s">
        <v>55</v>
      </c>
      <c r="Q80" s="144" t="s">
        <v>70</v>
      </c>
      <c r="R80" s="96">
        <v>46128</v>
      </c>
      <c r="S80" s="97"/>
      <c r="T80" s="97" t="s">
        <v>57</v>
      </c>
      <c r="U80" s="97" t="s">
        <v>71</v>
      </c>
      <c r="V80" s="93">
        <v>46111</v>
      </c>
      <c r="W80" s="93">
        <v>46126</v>
      </c>
      <c r="X80" s="93">
        <v>46128</v>
      </c>
      <c r="Y80" s="98"/>
      <c r="Z80" s="89" t="s">
        <v>60</v>
      </c>
      <c r="AA80" s="97">
        <v>46136</v>
      </c>
      <c r="AB80" s="89" t="s">
        <v>61</v>
      </c>
      <c r="AC80" s="120"/>
      <c r="AD80" s="89"/>
      <c r="AE80" s="89"/>
      <c r="AF80" s="99"/>
      <c r="AG80" s="99"/>
      <c r="AH80" s="99"/>
      <c r="AI80" s="100" t="s">
        <v>62</v>
      </c>
      <c r="AJ80" s="100" t="s">
        <v>47</v>
      </c>
      <c r="AK80" s="100" t="s">
        <v>47</v>
      </c>
      <c r="AL80" s="45" t="s">
        <v>64</v>
      </c>
      <c r="AM80" s="198" t="str">
        <f t="shared" si="8"/>
        <v>3/2026</v>
      </c>
      <c r="AN80" s="45">
        <f t="shared" si="9"/>
        <v>2</v>
      </c>
      <c r="AO80" s="45" t="str">
        <f t="shared" si="10"/>
        <v>4/2026</v>
      </c>
      <c r="AP80" s="45">
        <f t="shared" si="11"/>
        <v>3</v>
      </c>
      <c r="AQ80" s="45">
        <f t="shared" si="12"/>
        <v>37</v>
      </c>
      <c r="AR80" s="45">
        <f t="shared" si="13"/>
        <v>0</v>
      </c>
      <c r="AS80" s="45">
        <f t="shared" si="14"/>
        <v>8.5</v>
      </c>
      <c r="AT80" s="45">
        <f t="shared" si="15"/>
        <v>8</v>
      </c>
      <c r="AU80" s="45" t="str">
        <f>_xlfn.XLOOKUP(U80,'Lista Suspensa'!$AA$20:$AA$23,'Lista Suspensa'!$AB$20:$AB$23,"N/A")</f>
        <v>S</v>
      </c>
    </row>
    <row r="81" spans="1:47" ht="12" customHeight="1" x14ac:dyDescent="0.3">
      <c r="A81" s="87" t="s">
        <v>47</v>
      </c>
      <c r="B81" s="88">
        <v>46091</v>
      </c>
      <c r="C81" s="89" t="s">
        <v>48</v>
      </c>
      <c r="D81" s="89" t="s">
        <v>49</v>
      </c>
      <c r="E81" s="90">
        <v>95216634</v>
      </c>
      <c r="F81" s="220" t="s">
        <v>260</v>
      </c>
      <c r="G81" s="92">
        <v>69340862872</v>
      </c>
      <c r="H81" s="93">
        <v>19255</v>
      </c>
      <c r="I81" s="89">
        <v>73</v>
      </c>
      <c r="J81" s="89" t="s">
        <v>51</v>
      </c>
      <c r="K81" s="89" t="s">
        <v>52</v>
      </c>
      <c r="L81" s="89"/>
      <c r="M81" s="89"/>
      <c r="N81" s="89" t="s">
        <v>104</v>
      </c>
      <c r="O81" s="94" t="s">
        <v>261</v>
      </c>
      <c r="P81" s="95" t="s">
        <v>55</v>
      </c>
      <c r="Q81" s="144" t="s">
        <v>136</v>
      </c>
      <c r="R81" s="96"/>
      <c r="S81" s="97">
        <v>46150</v>
      </c>
      <c r="T81" s="97" t="s">
        <v>183</v>
      </c>
      <c r="U81" s="97" t="s">
        <v>58</v>
      </c>
      <c r="V81" s="93">
        <v>46111</v>
      </c>
      <c r="W81" s="93">
        <v>46126</v>
      </c>
      <c r="X81" s="93">
        <v>46141</v>
      </c>
      <c r="Y81" s="98"/>
      <c r="Z81" s="89"/>
      <c r="AA81" s="97"/>
      <c r="AB81" s="89"/>
      <c r="AC81" s="120"/>
      <c r="AD81" s="89"/>
      <c r="AE81" s="89"/>
      <c r="AF81" s="99"/>
      <c r="AG81" s="99"/>
      <c r="AH81" s="99"/>
      <c r="AI81" s="100" t="s">
        <v>62</v>
      </c>
      <c r="AJ81" s="100" t="s">
        <v>63</v>
      </c>
      <c r="AK81" s="100" t="s">
        <v>47</v>
      </c>
      <c r="AL81" s="45" t="s">
        <v>64</v>
      </c>
      <c r="AM81" s="198" t="str">
        <f t="shared" si="8"/>
        <v>3/2026</v>
      </c>
      <c r="AN81" s="45">
        <f t="shared" si="9"/>
        <v>2</v>
      </c>
      <c r="AO81" s="45" t="str">
        <f t="shared" si="10"/>
        <v>1/1900</v>
      </c>
      <c r="AP81" s="45" t="e">
        <f t="shared" si="11"/>
        <v>#NUM!</v>
      </c>
      <c r="AQ81" s="45">
        <f t="shared" si="12"/>
        <v>0</v>
      </c>
      <c r="AR81" s="45">
        <f t="shared" si="13"/>
        <v>0</v>
      </c>
      <c r="AS81" s="45">
        <f t="shared" si="14"/>
        <v>0</v>
      </c>
      <c r="AT81" s="45">
        <f t="shared" si="15"/>
        <v>0</v>
      </c>
      <c r="AU81" s="45" t="str">
        <f>_xlfn.XLOOKUP(U81,'Lista Suspensa'!$AA$20:$AA$23,'Lista Suspensa'!$AB$20:$AB$23,"N/A")</f>
        <v>S</v>
      </c>
    </row>
    <row r="82" spans="1:47" ht="12" customHeight="1" x14ac:dyDescent="0.3">
      <c r="A82" s="87" t="s">
        <v>47</v>
      </c>
      <c r="B82" s="88">
        <v>46091</v>
      </c>
      <c r="C82" s="89" t="s">
        <v>48</v>
      </c>
      <c r="D82" s="89" t="s">
        <v>49</v>
      </c>
      <c r="E82" s="90">
        <v>774275146</v>
      </c>
      <c r="F82" s="220" t="s">
        <v>262</v>
      </c>
      <c r="G82" s="92">
        <v>65118448891</v>
      </c>
      <c r="H82" s="93">
        <v>19541</v>
      </c>
      <c r="I82" s="89">
        <v>72</v>
      </c>
      <c r="J82" s="89" t="s">
        <v>51</v>
      </c>
      <c r="K82" s="89" t="s">
        <v>52</v>
      </c>
      <c r="L82" s="89"/>
      <c r="M82" s="89"/>
      <c r="N82" s="89" t="s">
        <v>92</v>
      </c>
      <c r="O82" s="94" t="s">
        <v>263</v>
      </c>
      <c r="P82" s="95" t="s">
        <v>55</v>
      </c>
      <c r="Q82" s="144" t="s">
        <v>70</v>
      </c>
      <c r="R82" s="96">
        <v>46178</v>
      </c>
      <c r="S82" s="97"/>
      <c r="T82" s="97" t="s">
        <v>57</v>
      </c>
      <c r="U82" s="97" t="s">
        <v>71</v>
      </c>
      <c r="V82" s="93">
        <v>46111</v>
      </c>
      <c r="W82" s="93">
        <v>46126</v>
      </c>
      <c r="X82" s="93">
        <v>46141</v>
      </c>
      <c r="Y82" s="98"/>
      <c r="Z82" s="89" t="s">
        <v>60</v>
      </c>
      <c r="AA82" s="97">
        <v>46189</v>
      </c>
      <c r="AB82" s="89"/>
      <c r="AC82" s="120"/>
      <c r="AD82" s="89"/>
      <c r="AE82" s="89"/>
      <c r="AF82" s="99"/>
      <c r="AG82" s="99"/>
      <c r="AH82" s="99"/>
      <c r="AI82" s="100" t="s">
        <v>62</v>
      </c>
      <c r="AJ82" s="100" t="s">
        <v>47</v>
      </c>
      <c r="AK82" s="100" t="s">
        <v>47</v>
      </c>
      <c r="AL82" s="45" t="s">
        <v>64</v>
      </c>
      <c r="AM82" s="198" t="str">
        <f t="shared" si="8"/>
        <v>3/2026</v>
      </c>
      <c r="AN82" s="45">
        <f t="shared" si="9"/>
        <v>2</v>
      </c>
      <c r="AO82" s="45" t="str">
        <f t="shared" si="10"/>
        <v>6/2026</v>
      </c>
      <c r="AP82" s="45">
        <f t="shared" si="11"/>
        <v>1</v>
      </c>
      <c r="AQ82" s="45">
        <f t="shared" si="12"/>
        <v>87</v>
      </c>
      <c r="AR82" s="45">
        <f t="shared" si="13"/>
        <v>0</v>
      </c>
      <c r="AS82" s="45">
        <f t="shared" si="14"/>
        <v>15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customHeight="1" x14ac:dyDescent="0.3">
      <c r="A83" s="87" t="s">
        <v>47</v>
      </c>
      <c r="B83" s="88">
        <v>46091</v>
      </c>
      <c r="C83" s="89" t="s">
        <v>48</v>
      </c>
      <c r="D83" s="89" t="s">
        <v>49</v>
      </c>
      <c r="E83" s="90">
        <v>84926662</v>
      </c>
      <c r="F83" s="220" t="s">
        <v>264</v>
      </c>
      <c r="G83" s="92">
        <v>46290335804</v>
      </c>
      <c r="H83" s="93">
        <v>35331</v>
      </c>
      <c r="I83" s="89">
        <v>29</v>
      </c>
      <c r="J83" s="89" t="s">
        <v>77</v>
      </c>
      <c r="K83" s="89" t="s">
        <v>52</v>
      </c>
      <c r="L83" s="89"/>
      <c r="M83" s="89"/>
      <c r="N83" s="89" t="s">
        <v>68</v>
      </c>
      <c r="O83" s="94" t="s">
        <v>265</v>
      </c>
      <c r="P83" s="95" t="s">
        <v>55</v>
      </c>
      <c r="Q83" s="144" t="s">
        <v>56</v>
      </c>
      <c r="R83" s="96">
        <v>46142</v>
      </c>
      <c r="S83" s="97">
        <v>46153</v>
      </c>
      <c r="T83" s="97" t="s">
        <v>57</v>
      </c>
      <c r="U83" s="97" t="s">
        <v>58</v>
      </c>
      <c r="V83" s="93">
        <v>46111</v>
      </c>
      <c r="W83" s="93">
        <v>46126</v>
      </c>
      <c r="X83" s="93">
        <v>46141</v>
      </c>
      <c r="Y83" s="98" t="s">
        <v>59</v>
      </c>
      <c r="Z83" s="89" t="s">
        <v>60</v>
      </c>
      <c r="AA83" s="97">
        <v>46147</v>
      </c>
      <c r="AB83" s="89" t="s">
        <v>61</v>
      </c>
      <c r="AC83" s="120">
        <v>46153</v>
      </c>
      <c r="AD83" s="89"/>
      <c r="AE83" s="89"/>
      <c r="AF83" s="99"/>
      <c r="AG83" s="99"/>
      <c r="AH83" s="99"/>
      <c r="AI83" s="100" t="s">
        <v>62</v>
      </c>
      <c r="AJ83" s="100" t="s">
        <v>63</v>
      </c>
      <c r="AK83" s="100" t="s">
        <v>47</v>
      </c>
      <c r="AL83" s="45" t="s">
        <v>64</v>
      </c>
      <c r="AM83" s="198" t="str">
        <f t="shared" si="8"/>
        <v>3/2026</v>
      </c>
      <c r="AN83" s="45">
        <f t="shared" si="9"/>
        <v>2</v>
      </c>
      <c r="AO83" s="45" t="str">
        <f t="shared" si="10"/>
        <v>4/2026</v>
      </c>
      <c r="AP83" s="45">
        <f t="shared" si="11"/>
        <v>5</v>
      </c>
      <c r="AQ83" s="45">
        <f t="shared" si="12"/>
        <v>0</v>
      </c>
      <c r="AR83" s="45">
        <f t="shared" si="13"/>
        <v>11</v>
      </c>
      <c r="AS83" s="45">
        <f t="shared" si="14"/>
        <v>0</v>
      </c>
      <c r="AT83" s="45">
        <f t="shared" si="15"/>
        <v>0</v>
      </c>
      <c r="AU83" s="45" t="str">
        <f>_xlfn.XLOOKUP(U83,'Lista Suspensa'!$AA$20:$AA$23,'Lista Suspensa'!$AB$20:$AB$23,"N/A")</f>
        <v>S</v>
      </c>
    </row>
    <row r="84" spans="1:47" ht="12" customHeight="1" x14ac:dyDescent="0.3">
      <c r="A84" s="87" t="s">
        <v>47</v>
      </c>
      <c r="B84" s="88">
        <v>46091</v>
      </c>
      <c r="C84" s="89" t="s">
        <v>48</v>
      </c>
      <c r="D84" s="89" t="s">
        <v>49</v>
      </c>
      <c r="E84" s="90">
        <v>89981677</v>
      </c>
      <c r="F84" s="220" t="s">
        <v>266</v>
      </c>
      <c r="G84" s="92">
        <v>9394998780</v>
      </c>
      <c r="H84" s="93">
        <v>29772</v>
      </c>
      <c r="I84" s="89">
        <v>44</v>
      </c>
      <c r="J84" s="89" t="s">
        <v>77</v>
      </c>
      <c r="K84" s="89" t="s">
        <v>78</v>
      </c>
      <c r="L84" s="89"/>
      <c r="M84" s="89"/>
      <c r="N84" s="89" t="s">
        <v>132</v>
      </c>
      <c r="O84" s="94" t="s">
        <v>267</v>
      </c>
      <c r="P84" s="95" t="s">
        <v>55</v>
      </c>
      <c r="Q84" s="144" t="s">
        <v>136</v>
      </c>
      <c r="R84" s="96"/>
      <c r="S84" s="97">
        <v>46150</v>
      </c>
      <c r="T84" s="97" t="s">
        <v>183</v>
      </c>
      <c r="U84" s="97" t="s">
        <v>58</v>
      </c>
      <c r="V84" s="93">
        <v>46111</v>
      </c>
      <c r="W84" s="93">
        <v>46126</v>
      </c>
      <c r="X84" s="93">
        <v>46141</v>
      </c>
      <c r="Y84" s="98"/>
      <c r="Z84" s="89"/>
      <c r="AA84" s="97"/>
      <c r="AB84" s="89"/>
      <c r="AC84" s="120"/>
      <c r="AD84" s="89"/>
      <c r="AE84" s="89"/>
      <c r="AF84" s="99"/>
      <c r="AG84" s="99"/>
      <c r="AH84" s="99"/>
      <c r="AI84" s="100" t="s">
        <v>62</v>
      </c>
      <c r="AJ84" s="100" t="s">
        <v>63</v>
      </c>
      <c r="AK84" s="100" t="s">
        <v>47</v>
      </c>
      <c r="AL84" s="45" t="s">
        <v>64</v>
      </c>
      <c r="AM84" s="198" t="str">
        <f t="shared" si="8"/>
        <v>3/2026</v>
      </c>
      <c r="AN84" s="45">
        <f t="shared" si="9"/>
        <v>2</v>
      </c>
      <c r="AO84" s="45" t="str">
        <f t="shared" si="10"/>
        <v>1/1900</v>
      </c>
      <c r="AP84" s="45" t="e">
        <f t="shared" si="11"/>
        <v>#NUM!</v>
      </c>
      <c r="AQ84" s="45">
        <f t="shared" si="12"/>
        <v>0</v>
      </c>
      <c r="AR84" s="45">
        <f t="shared" si="13"/>
        <v>0</v>
      </c>
      <c r="AS84" s="45">
        <f t="shared" si="14"/>
        <v>0</v>
      </c>
      <c r="AT84" s="45">
        <f t="shared" si="15"/>
        <v>0</v>
      </c>
      <c r="AU84" s="45" t="str">
        <f>_xlfn.XLOOKUP(U84,'Lista Suspensa'!$AA$20:$AA$23,'Lista Suspensa'!$AB$20:$AB$23,"N/A")</f>
        <v>S</v>
      </c>
    </row>
    <row r="85" spans="1:47" ht="12" customHeight="1" x14ac:dyDescent="0.3">
      <c r="A85" s="87" t="s">
        <v>47</v>
      </c>
      <c r="B85" s="88">
        <v>46091</v>
      </c>
      <c r="C85" s="89" t="s">
        <v>48</v>
      </c>
      <c r="D85" s="89" t="s">
        <v>49</v>
      </c>
      <c r="E85" s="90">
        <v>483828165</v>
      </c>
      <c r="F85" s="220" t="s">
        <v>268</v>
      </c>
      <c r="G85" s="92">
        <v>26989310782</v>
      </c>
      <c r="H85" s="93">
        <v>19819</v>
      </c>
      <c r="I85" s="89">
        <v>72</v>
      </c>
      <c r="J85" s="89" t="s">
        <v>51</v>
      </c>
      <c r="K85" s="89" t="s">
        <v>78</v>
      </c>
      <c r="L85" s="89"/>
      <c r="M85" s="89"/>
      <c r="N85" s="89" t="s">
        <v>107</v>
      </c>
      <c r="O85" s="94" t="s">
        <v>269</v>
      </c>
      <c r="P85" s="95" t="s">
        <v>55</v>
      </c>
      <c r="Q85" s="144" t="s">
        <v>136</v>
      </c>
      <c r="R85" s="96"/>
      <c r="S85" s="97">
        <v>46150</v>
      </c>
      <c r="T85" s="97" t="s">
        <v>183</v>
      </c>
      <c r="U85" s="97" t="s">
        <v>58</v>
      </c>
      <c r="V85" s="93">
        <v>46111</v>
      </c>
      <c r="W85" s="93">
        <v>46126</v>
      </c>
      <c r="X85" s="93">
        <v>46141</v>
      </c>
      <c r="Y85" s="98"/>
      <c r="Z85" s="89"/>
      <c r="AA85" s="97"/>
      <c r="AB85" s="89"/>
      <c r="AC85" s="120"/>
      <c r="AD85" s="89"/>
      <c r="AE85" s="89"/>
      <c r="AF85" s="99"/>
      <c r="AG85" s="99"/>
      <c r="AH85" s="99"/>
      <c r="AI85" s="100" t="s">
        <v>62</v>
      </c>
      <c r="AJ85" s="100" t="s">
        <v>63</v>
      </c>
      <c r="AK85" s="100" t="s">
        <v>47</v>
      </c>
      <c r="AL85" s="45" t="s">
        <v>64</v>
      </c>
      <c r="AM85" s="198" t="str">
        <f t="shared" si="8"/>
        <v>3/2026</v>
      </c>
      <c r="AN85" s="45">
        <f t="shared" si="9"/>
        <v>2</v>
      </c>
      <c r="AO85" s="45" t="str">
        <f t="shared" si="10"/>
        <v>1/1900</v>
      </c>
      <c r="AP85" s="45" t="e">
        <f t="shared" si="11"/>
        <v>#NUM!</v>
      </c>
      <c r="AQ85" s="45">
        <f t="shared" si="12"/>
        <v>0</v>
      </c>
      <c r="AR85" s="45">
        <f t="shared" si="13"/>
        <v>0</v>
      </c>
      <c r="AS85" s="45">
        <f t="shared" si="14"/>
        <v>0</v>
      </c>
      <c r="AT85" s="45">
        <f t="shared" si="15"/>
        <v>0</v>
      </c>
      <c r="AU85" s="45" t="str">
        <f>_xlfn.XLOOKUP(U85,'Lista Suspensa'!$AA$20:$AA$23,'Lista Suspensa'!$AB$20:$AB$23,"N/A")</f>
        <v>S</v>
      </c>
    </row>
    <row r="86" spans="1:47" ht="12" customHeight="1" x14ac:dyDescent="0.3">
      <c r="A86" s="87" t="s">
        <v>65</v>
      </c>
      <c r="B86" s="88">
        <v>46104</v>
      </c>
      <c r="C86" s="89" t="s">
        <v>66</v>
      </c>
      <c r="D86" s="89" t="s">
        <v>49</v>
      </c>
      <c r="E86" s="90">
        <v>93322178</v>
      </c>
      <c r="F86" s="220" t="s">
        <v>270</v>
      </c>
      <c r="G86" s="92"/>
      <c r="H86" s="93">
        <v>23808</v>
      </c>
      <c r="I86" s="89">
        <v>61</v>
      </c>
      <c r="J86" s="89" t="s">
        <v>51</v>
      </c>
      <c r="K86" s="89" t="s">
        <v>271</v>
      </c>
      <c r="L86" s="89" t="s">
        <v>272</v>
      </c>
      <c r="M86" s="89"/>
      <c r="N86" s="89" t="s">
        <v>129</v>
      </c>
      <c r="O86" s="94" t="s">
        <v>273</v>
      </c>
      <c r="P86" s="95" t="s">
        <v>55</v>
      </c>
      <c r="Q86" s="144" t="s">
        <v>70</v>
      </c>
      <c r="R86" s="96">
        <v>46127</v>
      </c>
      <c r="S86" s="97"/>
      <c r="T86" s="97" t="s">
        <v>57</v>
      </c>
      <c r="U86" s="97" t="s">
        <v>71</v>
      </c>
      <c r="V86" s="93">
        <v>46122</v>
      </c>
      <c r="W86" s="93">
        <v>46126</v>
      </c>
      <c r="X86" s="93">
        <v>46141</v>
      </c>
      <c r="Y86" s="98"/>
      <c r="Z86" s="89" t="s">
        <v>60</v>
      </c>
      <c r="AA86" s="97">
        <v>46157</v>
      </c>
      <c r="AB86" s="89" t="s">
        <v>110</v>
      </c>
      <c r="AC86" s="120"/>
      <c r="AD86" s="89"/>
      <c r="AE86" s="89"/>
      <c r="AF86" s="99"/>
      <c r="AG86" s="99"/>
      <c r="AH86" s="99"/>
      <c r="AI86" s="100" t="s">
        <v>62</v>
      </c>
      <c r="AJ86" s="100" t="s">
        <v>62</v>
      </c>
      <c r="AK86" s="100" t="s">
        <v>62</v>
      </c>
      <c r="AL86" s="45" t="s">
        <v>64</v>
      </c>
      <c r="AM86" s="198" t="str">
        <f t="shared" si="8"/>
        <v>3/2026</v>
      </c>
      <c r="AN86" s="45">
        <f t="shared" si="9"/>
        <v>4</v>
      </c>
      <c r="AO86" s="45" t="str">
        <f t="shared" si="10"/>
        <v>4/2026</v>
      </c>
      <c r="AP86" s="45">
        <f t="shared" si="11"/>
        <v>3</v>
      </c>
      <c r="AQ86" s="45">
        <f t="shared" si="12"/>
        <v>23</v>
      </c>
      <c r="AR86" s="45">
        <f t="shared" si="13"/>
        <v>0</v>
      </c>
      <c r="AS86" s="45">
        <f t="shared" si="14"/>
        <v>9.5</v>
      </c>
      <c r="AT86" s="45">
        <f t="shared" si="15"/>
        <v>0</v>
      </c>
      <c r="AU86" s="45" t="str">
        <f>_xlfn.XLOOKUP(U86,'Lista Suspensa'!$AA$20:$AA$23,'Lista Suspensa'!$AB$20:$AB$23,"N/A")</f>
        <v>S</v>
      </c>
    </row>
    <row r="87" spans="1:47" ht="12" customHeight="1" x14ac:dyDescent="0.3">
      <c r="A87" s="87" t="s">
        <v>65</v>
      </c>
      <c r="B87" s="88">
        <v>46104</v>
      </c>
      <c r="C87" s="89" t="s">
        <v>66</v>
      </c>
      <c r="D87" s="89" t="s">
        <v>49</v>
      </c>
      <c r="E87" s="90">
        <v>123911656</v>
      </c>
      <c r="F87" s="220" t="s">
        <v>274</v>
      </c>
      <c r="G87" s="92"/>
      <c r="H87" s="93">
        <v>16363</v>
      </c>
      <c r="I87" s="89">
        <v>81</v>
      </c>
      <c r="J87" s="89" t="s">
        <v>51</v>
      </c>
      <c r="K87" s="89" t="s">
        <v>52</v>
      </c>
      <c r="L87" s="89" t="s">
        <v>275</v>
      </c>
      <c r="M87" s="89"/>
      <c r="N87" s="89" t="s">
        <v>95</v>
      </c>
      <c r="O87" s="94" t="s">
        <v>276</v>
      </c>
      <c r="P87" s="95" t="s">
        <v>55</v>
      </c>
      <c r="Q87" s="144" t="s">
        <v>136</v>
      </c>
      <c r="R87" s="96"/>
      <c r="S87" s="97">
        <v>46150</v>
      </c>
      <c r="T87" s="97" t="s">
        <v>183</v>
      </c>
      <c r="U87" s="97" t="s">
        <v>58</v>
      </c>
      <c r="V87" s="93">
        <v>46122</v>
      </c>
      <c r="W87" s="93">
        <v>46126</v>
      </c>
      <c r="X87" s="93">
        <v>46141</v>
      </c>
      <c r="Y87" s="98"/>
      <c r="Z87" s="89"/>
      <c r="AA87" s="97"/>
      <c r="AB87" s="89"/>
      <c r="AC87" s="120"/>
      <c r="AD87" s="89"/>
      <c r="AE87" s="89"/>
      <c r="AF87" s="99"/>
      <c r="AG87" s="99"/>
      <c r="AH87" s="99"/>
      <c r="AI87" s="100"/>
      <c r="AJ87" s="100"/>
      <c r="AK87" s="100"/>
      <c r="AL87" s="45" t="s">
        <v>64</v>
      </c>
      <c r="AM87" s="198" t="str">
        <f t="shared" si="8"/>
        <v>3/2026</v>
      </c>
      <c r="AN87" s="45">
        <f t="shared" si="9"/>
        <v>4</v>
      </c>
      <c r="AO87" s="45" t="str">
        <f t="shared" si="10"/>
        <v>1/1900</v>
      </c>
      <c r="AP87" s="45" t="e">
        <f t="shared" si="11"/>
        <v>#NUM!</v>
      </c>
      <c r="AQ87" s="45">
        <f t="shared" si="12"/>
        <v>0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customHeight="1" x14ac:dyDescent="0.3">
      <c r="A88" s="87" t="s">
        <v>65</v>
      </c>
      <c r="B88" s="88">
        <v>46104</v>
      </c>
      <c r="C88" s="89" t="s">
        <v>66</v>
      </c>
      <c r="D88" s="89" t="s">
        <v>49</v>
      </c>
      <c r="E88" s="90">
        <v>28226658</v>
      </c>
      <c r="F88" s="220" t="s">
        <v>277</v>
      </c>
      <c r="G88" s="92"/>
      <c r="H88" s="93">
        <v>18878</v>
      </c>
      <c r="I88" s="89">
        <v>74</v>
      </c>
      <c r="J88" s="89" t="s">
        <v>51</v>
      </c>
      <c r="K88" s="89" t="s">
        <v>52</v>
      </c>
      <c r="L88" s="89" t="s">
        <v>278</v>
      </c>
      <c r="M88" s="89"/>
      <c r="N88" s="89" t="s">
        <v>95</v>
      </c>
      <c r="O88" s="94" t="s">
        <v>279</v>
      </c>
      <c r="P88" s="95" t="s">
        <v>55</v>
      </c>
      <c r="Q88" s="144" t="s">
        <v>70</v>
      </c>
      <c r="R88" s="96">
        <v>46122</v>
      </c>
      <c r="S88" s="97"/>
      <c r="T88" s="97" t="s">
        <v>57</v>
      </c>
      <c r="U88" s="97" t="s">
        <v>71</v>
      </c>
      <c r="V88" s="93">
        <v>46122</v>
      </c>
      <c r="W88" s="93" t="s">
        <v>72</v>
      </c>
      <c r="X88" s="93" t="s">
        <v>72</v>
      </c>
      <c r="Y88" s="98"/>
      <c r="Z88" s="89" t="s">
        <v>60</v>
      </c>
      <c r="AA88" s="97">
        <v>46129</v>
      </c>
      <c r="AB88" s="89" t="s">
        <v>110</v>
      </c>
      <c r="AC88" s="120"/>
      <c r="AD88" s="89"/>
      <c r="AE88" s="89"/>
      <c r="AF88" s="99"/>
      <c r="AG88" s="99"/>
      <c r="AH88" s="99"/>
      <c r="AI88" s="100" t="s">
        <v>62</v>
      </c>
      <c r="AJ88" s="100" t="s">
        <v>47</v>
      </c>
      <c r="AK88" s="100" t="s">
        <v>62</v>
      </c>
      <c r="AL88" s="45" t="s">
        <v>64</v>
      </c>
      <c r="AM88" s="198" t="str">
        <f t="shared" si="8"/>
        <v>3/2026</v>
      </c>
      <c r="AN88" s="45">
        <f t="shared" si="9"/>
        <v>4</v>
      </c>
      <c r="AO88" s="45" t="str">
        <f t="shared" si="10"/>
        <v>4/2026</v>
      </c>
      <c r="AP88" s="45">
        <f t="shared" si="11"/>
        <v>2</v>
      </c>
      <c r="AQ88" s="45">
        <f t="shared" si="12"/>
        <v>18</v>
      </c>
      <c r="AR88" s="45">
        <f t="shared" si="13"/>
        <v>0</v>
      </c>
      <c r="AS88" s="45">
        <f t="shared" si="14"/>
        <v>0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customHeight="1" x14ac:dyDescent="0.3">
      <c r="A89" s="87" t="s">
        <v>65</v>
      </c>
      <c r="B89" s="88">
        <v>46104</v>
      </c>
      <c r="C89" s="89" t="s">
        <v>66</v>
      </c>
      <c r="D89" s="89" t="s">
        <v>49</v>
      </c>
      <c r="E89" s="90">
        <v>75800772</v>
      </c>
      <c r="F89" s="220" t="s">
        <v>280</v>
      </c>
      <c r="G89" s="92"/>
      <c r="H89" s="93">
        <v>28443</v>
      </c>
      <c r="I89" s="89">
        <v>48</v>
      </c>
      <c r="J89" s="89" t="s">
        <v>51</v>
      </c>
      <c r="K89" s="89" t="s">
        <v>52</v>
      </c>
      <c r="L89" s="89" t="s">
        <v>275</v>
      </c>
      <c r="M89" s="89"/>
      <c r="N89" s="89" t="s">
        <v>79</v>
      </c>
      <c r="O89" s="94" t="s">
        <v>281</v>
      </c>
      <c r="P89" s="95" t="s">
        <v>55</v>
      </c>
      <c r="Q89" s="144" t="s">
        <v>70</v>
      </c>
      <c r="R89" s="96">
        <v>46128</v>
      </c>
      <c r="S89" s="97"/>
      <c r="T89" s="97" t="s">
        <v>57</v>
      </c>
      <c r="U89" s="97" t="s">
        <v>71</v>
      </c>
      <c r="V89" s="93">
        <v>46122</v>
      </c>
      <c r="W89" s="93">
        <v>46126</v>
      </c>
      <c r="X89" s="93">
        <v>46128</v>
      </c>
      <c r="Y89" s="98"/>
      <c r="Z89" s="89" t="s">
        <v>60</v>
      </c>
      <c r="AA89" s="97">
        <v>46135</v>
      </c>
      <c r="AB89" s="89" t="s">
        <v>110</v>
      </c>
      <c r="AC89" s="120"/>
      <c r="AD89" s="89"/>
      <c r="AE89" s="89"/>
      <c r="AF89" s="99"/>
      <c r="AG89" s="99"/>
      <c r="AH89" s="99"/>
      <c r="AI89" s="100" t="s">
        <v>62</v>
      </c>
      <c r="AJ89" s="100" t="s">
        <v>47</v>
      </c>
      <c r="AK89" s="100" t="s">
        <v>62</v>
      </c>
      <c r="AL89" s="45" t="s">
        <v>64</v>
      </c>
      <c r="AM89" s="198" t="str">
        <f t="shared" si="8"/>
        <v>3/2026</v>
      </c>
      <c r="AN89" s="45">
        <f t="shared" si="9"/>
        <v>4</v>
      </c>
      <c r="AO89" s="45" t="str">
        <f t="shared" si="10"/>
        <v>4/2026</v>
      </c>
      <c r="AP89" s="45">
        <f t="shared" si="11"/>
        <v>3</v>
      </c>
      <c r="AQ89" s="45">
        <f t="shared" si="12"/>
        <v>24</v>
      </c>
      <c r="AR89" s="45">
        <f t="shared" si="13"/>
        <v>0</v>
      </c>
      <c r="AS89" s="45">
        <f t="shared" si="14"/>
        <v>3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customHeight="1" x14ac:dyDescent="0.3">
      <c r="A90" s="87" t="s">
        <v>65</v>
      </c>
      <c r="B90" s="88">
        <v>46104</v>
      </c>
      <c r="C90" s="89" t="s">
        <v>66</v>
      </c>
      <c r="D90" s="89" t="s">
        <v>49</v>
      </c>
      <c r="E90" s="90">
        <v>128560118</v>
      </c>
      <c r="F90" s="220" t="s">
        <v>282</v>
      </c>
      <c r="G90" s="92"/>
      <c r="H90" s="93">
        <v>13993</v>
      </c>
      <c r="I90" s="89">
        <v>87</v>
      </c>
      <c r="J90" s="89" t="s">
        <v>51</v>
      </c>
      <c r="K90" s="89" t="s">
        <v>52</v>
      </c>
      <c r="L90" s="89" t="s">
        <v>275</v>
      </c>
      <c r="M90" s="89"/>
      <c r="N90" s="89" t="s">
        <v>151</v>
      </c>
      <c r="O90" s="94" t="s">
        <v>283</v>
      </c>
      <c r="P90" s="95" t="s">
        <v>55</v>
      </c>
      <c r="Q90" s="144" t="s">
        <v>70</v>
      </c>
      <c r="R90" s="96">
        <v>46065</v>
      </c>
      <c r="S90" s="97"/>
      <c r="T90" s="97" t="s">
        <v>57</v>
      </c>
      <c r="U90" s="97" t="s">
        <v>71</v>
      </c>
      <c r="V90" s="93">
        <v>46122</v>
      </c>
      <c r="W90" s="93">
        <v>46126</v>
      </c>
      <c r="X90" s="93">
        <v>46141</v>
      </c>
      <c r="Y90" s="98"/>
      <c r="Z90" s="89" t="s">
        <v>60</v>
      </c>
      <c r="AA90" s="97">
        <v>46157</v>
      </c>
      <c r="AB90" s="89" t="s">
        <v>110</v>
      </c>
      <c r="AC90" s="120"/>
      <c r="AD90" s="89"/>
      <c r="AE90" s="89"/>
      <c r="AF90" s="99"/>
      <c r="AG90" s="99"/>
      <c r="AH90" s="99"/>
      <c r="AI90" s="100" t="s">
        <v>62</v>
      </c>
      <c r="AJ90" s="100" t="s">
        <v>62</v>
      </c>
      <c r="AK90" s="100" t="s">
        <v>62</v>
      </c>
      <c r="AL90" s="45" t="s">
        <v>64</v>
      </c>
      <c r="AM90" s="198" t="str">
        <f t="shared" si="8"/>
        <v>3/2026</v>
      </c>
      <c r="AN90" s="45">
        <f t="shared" si="9"/>
        <v>4</v>
      </c>
      <c r="AO90" s="45" t="str">
        <f t="shared" si="10"/>
        <v>2/2026</v>
      </c>
      <c r="AP90" s="45">
        <f t="shared" si="11"/>
        <v>2</v>
      </c>
      <c r="AQ90" s="45">
        <f t="shared" si="12"/>
        <v>-39</v>
      </c>
      <c r="AR90" s="45">
        <f t="shared" si="13"/>
        <v>0</v>
      </c>
      <c r="AS90" s="45">
        <f t="shared" si="14"/>
        <v>9.5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customHeight="1" x14ac:dyDescent="0.3">
      <c r="A91" s="87" t="s">
        <v>65</v>
      </c>
      <c r="B91" s="88">
        <v>46104</v>
      </c>
      <c r="C91" s="89" t="s">
        <v>66</v>
      </c>
      <c r="D91" s="89" t="s">
        <v>49</v>
      </c>
      <c r="E91" s="90">
        <v>300974698</v>
      </c>
      <c r="F91" s="220" t="s">
        <v>284</v>
      </c>
      <c r="G91" s="92"/>
      <c r="H91" s="93">
        <v>20253</v>
      </c>
      <c r="I91" s="89">
        <v>70</v>
      </c>
      <c r="J91" s="89" t="s">
        <v>51</v>
      </c>
      <c r="K91" s="89" t="s">
        <v>52</v>
      </c>
      <c r="L91" s="89" t="s">
        <v>275</v>
      </c>
      <c r="M91" s="89"/>
      <c r="N91" s="89" t="s">
        <v>151</v>
      </c>
      <c r="O91" s="94" t="s">
        <v>285</v>
      </c>
      <c r="P91" s="95" t="s">
        <v>55</v>
      </c>
      <c r="Q91" s="144" t="s">
        <v>136</v>
      </c>
      <c r="R91" s="96"/>
      <c r="S91" s="97">
        <v>46150</v>
      </c>
      <c r="T91" s="97" t="s">
        <v>183</v>
      </c>
      <c r="U91" s="97" t="s">
        <v>58</v>
      </c>
      <c r="V91" s="93">
        <v>46122</v>
      </c>
      <c r="W91" s="93">
        <v>46126</v>
      </c>
      <c r="X91" s="93">
        <v>46141</v>
      </c>
      <c r="Y91" s="98"/>
      <c r="Z91" s="89"/>
      <c r="AA91" s="97"/>
      <c r="AB91" s="89"/>
      <c r="AC91" s="120"/>
      <c r="AD91" s="89"/>
      <c r="AE91" s="89"/>
      <c r="AF91" s="99"/>
      <c r="AG91" s="99"/>
      <c r="AH91" s="99"/>
      <c r="AI91" s="100"/>
      <c r="AJ91" s="100"/>
      <c r="AK91" s="100"/>
      <c r="AL91" s="45" t="s">
        <v>64</v>
      </c>
      <c r="AM91" s="198" t="str">
        <f t="shared" si="8"/>
        <v>3/2026</v>
      </c>
      <c r="AN91" s="45">
        <f t="shared" si="9"/>
        <v>4</v>
      </c>
      <c r="AO91" s="45" t="str">
        <f t="shared" si="10"/>
        <v>1/1900</v>
      </c>
      <c r="AP91" s="45" t="e">
        <f t="shared" si="11"/>
        <v>#NUM!</v>
      </c>
      <c r="AQ91" s="45">
        <f t="shared" si="12"/>
        <v>0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customHeight="1" x14ac:dyDescent="0.3">
      <c r="A92" s="87" t="s">
        <v>65</v>
      </c>
      <c r="B92" s="88">
        <v>46104</v>
      </c>
      <c r="C92" s="89" t="s">
        <v>66</v>
      </c>
      <c r="D92" s="89" t="s">
        <v>49</v>
      </c>
      <c r="E92" s="90">
        <v>124994059</v>
      </c>
      <c r="F92" s="220" t="s">
        <v>286</v>
      </c>
      <c r="G92" s="92"/>
      <c r="H92" s="93">
        <v>16713</v>
      </c>
      <c r="I92" s="89">
        <v>80</v>
      </c>
      <c r="J92" s="89" t="s">
        <v>77</v>
      </c>
      <c r="K92" s="89" t="s">
        <v>52</v>
      </c>
      <c r="L92" s="89" t="s">
        <v>275</v>
      </c>
      <c r="M92" s="89"/>
      <c r="N92" s="89" t="s">
        <v>151</v>
      </c>
      <c r="O92" s="94" t="s">
        <v>287</v>
      </c>
      <c r="P92" s="95" t="s">
        <v>55</v>
      </c>
      <c r="Q92" s="144" t="s">
        <v>70</v>
      </c>
      <c r="R92" s="96">
        <v>46128</v>
      </c>
      <c r="S92" s="97"/>
      <c r="T92" s="97" t="s">
        <v>57</v>
      </c>
      <c r="U92" s="97" t="s">
        <v>71</v>
      </c>
      <c r="V92" s="93">
        <v>46122</v>
      </c>
      <c r="W92" s="93">
        <v>46126</v>
      </c>
      <c r="X92" s="93">
        <v>46128</v>
      </c>
      <c r="Y92" s="98"/>
      <c r="Z92" s="89" t="s">
        <v>60</v>
      </c>
      <c r="AA92" s="97">
        <v>46135</v>
      </c>
      <c r="AB92" s="89" t="s">
        <v>110</v>
      </c>
      <c r="AC92" s="120"/>
      <c r="AD92" s="89"/>
      <c r="AE92" s="89"/>
      <c r="AF92" s="99"/>
      <c r="AG92" s="99"/>
      <c r="AH92" s="99"/>
      <c r="AI92" s="100" t="s">
        <v>62</v>
      </c>
      <c r="AJ92" s="100" t="s">
        <v>47</v>
      </c>
      <c r="AK92" s="100" t="s">
        <v>62</v>
      </c>
      <c r="AL92" s="45" t="s">
        <v>64</v>
      </c>
      <c r="AM92" s="198" t="str">
        <f t="shared" si="8"/>
        <v>3/2026</v>
      </c>
      <c r="AN92" s="45">
        <f t="shared" si="9"/>
        <v>4</v>
      </c>
      <c r="AO92" s="45" t="str">
        <f t="shared" si="10"/>
        <v>4/2026</v>
      </c>
      <c r="AP92" s="45">
        <f t="shared" si="11"/>
        <v>3</v>
      </c>
      <c r="AQ92" s="45">
        <f t="shared" si="12"/>
        <v>24</v>
      </c>
      <c r="AR92" s="45">
        <f t="shared" si="13"/>
        <v>0</v>
      </c>
      <c r="AS92" s="45">
        <f t="shared" si="14"/>
        <v>3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customHeight="1" x14ac:dyDescent="0.3">
      <c r="A93" s="87" t="s">
        <v>65</v>
      </c>
      <c r="B93" s="88">
        <v>46104</v>
      </c>
      <c r="C93" s="89" t="s">
        <v>66</v>
      </c>
      <c r="D93" s="89" t="s">
        <v>49</v>
      </c>
      <c r="E93" s="90">
        <v>128180234</v>
      </c>
      <c r="F93" s="220" t="s">
        <v>288</v>
      </c>
      <c r="G93" s="92"/>
      <c r="H93" s="93">
        <v>17665</v>
      </c>
      <c r="I93" s="89">
        <v>77</v>
      </c>
      <c r="J93" s="89" t="s">
        <v>51</v>
      </c>
      <c r="K93" s="89" t="s">
        <v>52</v>
      </c>
      <c r="L93" s="89" t="s">
        <v>275</v>
      </c>
      <c r="M93" s="89"/>
      <c r="N93" s="89" t="s">
        <v>95</v>
      </c>
      <c r="O93" s="94" t="s">
        <v>289</v>
      </c>
      <c r="P93" s="95" t="s">
        <v>55</v>
      </c>
      <c r="Q93" s="144" t="s">
        <v>70</v>
      </c>
      <c r="R93" s="96">
        <v>46128</v>
      </c>
      <c r="S93" s="97"/>
      <c r="T93" s="97" t="s">
        <v>57</v>
      </c>
      <c r="U93" s="97" t="s">
        <v>71</v>
      </c>
      <c r="V93" s="93">
        <v>46122</v>
      </c>
      <c r="W93" s="93">
        <v>46126</v>
      </c>
      <c r="X93" s="93">
        <v>46128</v>
      </c>
      <c r="Y93" s="98"/>
      <c r="Z93" s="89" t="s">
        <v>60</v>
      </c>
      <c r="AA93" s="97">
        <v>46136</v>
      </c>
      <c r="AB93" s="89" t="s">
        <v>110</v>
      </c>
      <c r="AC93" s="120"/>
      <c r="AD93" s="89"/>
      <c r="AE93" s="89"/>
      <c r="AF93" s="99"/>
      <c r="AG93" s="99"/>
      <c r="AH93" s="99"/>
      <c r="AI93" s="100" t="s">
        <v>62</v>
      </c>
      <c r="AJ93" s="100" t="s">
        <v>47</v>
      </c>
      <c r="AK93" s="100" t="s">
        <v>62</v>
      </c>
      <c r="AL93" s="45" t="s">
        <v>64</v>
      </c>
      <c r="AM93" s="198" t="str">
        <f t="shared" si="8"/>
        <v>3/2026</v>
      </c>
      <c r="AN93" s="45">
        <f t="shared" si="9"/>
        <v>4</v>
      </c>
      <c r="AO93" s="45" t="str">
        <f t="shared" si="10"/>
        <v>4/2026</v>
      </c>
      <c r="AP93" s="45">
        <f t="shared" si="11"/>
        <v>3</v>
      </c>
      <c r="AQ93" s="45">
        <f t="shared" si="12"/>
        <v>24</v>
      </c>
      <c r="AR93" s="45">
        <f t="shared" si="13"/>
        <v>0</v>
      </c>
      <c r="AS93" s="45">
        <f t="shared" si="14"/>
        <v>3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customHeight="1" x14ac:dyDescent="0.3">
      <c r="A94" s="87" t="s">
        <v>65</v>
      </c>
      <c r="B94" s="88">
        <v>46104</v>
      </c>
      <c r="C94" s="89" t="s">
        <v>66</v>
      </c>
      <c r="D94" s="89" t="s">
        <v>49</v>
      </c>
      <c r="E94" s="90">
        <v>301019142</v>
      </c>
      <c r="F94" s="220" t="s">
        <v>290</v>
      </c>
      <c r="G94" s="92"/>
      <c r="H94" s="93">
        <v>14619</v>
      </c>
      <c r="I94" s="89">
        <v>86</v>
      </c>
      <c r="J94" s="89" t="s">
        <v>51</v>
      </c>
      <c r="K94" s="89" t="s">
        <v>52</v>
      </c>
      <c r="L94" s="89" t="s">
        <v>275</v>
      </c>
      <c r="M94" s="89"/>
      <c r="N94" s="89" t="s">
        <v>95</v>
      </c>
      <c r="O94" s="94" t="s">
        <v>291</v>
      </c>
      <c r="P94" s="95" t="s">
        <v>55</v>
      </c>
      <c r="Q94" s="144" t="s">
        <v>136</v>
      </c>
      <c r="R94" s="96"/>
      <c r="S94" s="97">
        <v>46150</v>
      </c>
      <c r="T94" s="97" t="s">
        <v>183</v>
      </c>
      <c r="U94" s="97" t="s">
        <v>58</v>
      </c>
      <c r="V94" s="93">
        <v>46122</v>
      </c>
      <c r="W94" s="93">
        <v>46126</v>
      </c>
      <c r="X94" s="93">
        <v>46141</v>
      </c>
      <c r="Y94" s="98"/>
      <c r="Z94" s="89"/>
      <c r="AA94" s="97"/>
      <c r="AB94" s="89"/>
      <c r="AC94" s="120"/>
      <c r="AD94" s="89"/>
      <c r="AE94" s="89"/>
      <c r="AF94" s="99"/>
      <c r="AG94" s="99"/>
      <c r="AH94" s="99"/>
      <c r="AI94" s="100"/>
      <c r="AJ94" s="100"/>
      <c r="AK94" s="100"/>
      <c r="AL94" s="45" t="s">
        <v>64</v>
      </c>
      <c r="AM94" s="198" t="str">
        <f t="shared" si="8"/>
        <v>3/2026</v>
      </c>
      <c r="AN94" s="45">
        <f t="shared" si="9"/>
        <v>4</v>
      </c>
      <c r="AO94" s="45" t="str">
        <f t="shared" si="10"/>
        <v>1/1900</v>
      </c>
      <c r="AP94" s="45" t="e">
        <f t="shared" si="11"/>
        <v>#NUM!</v>
      </c>
      <c r="AQ94" s="45">
        <f t="shared" si="12"/>
        <v>0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customHeight="1" x14ac:dyDescent="0.3">
      <c r="A95" s="87" t="s">
        <v>65</v>
      </c>
      <c r="B95" s="88">
        <v>46104</v>
      </c>
      <c r="C95" s="89" t="s">
        <v>66</v>
      </c>
      <c r="D95" s="89" t="s">
        <v>49</v>
      </c>
      <c r="E95" s="90">
        <v>316484679</v>
      </c>
      <c r="F95" s="220" t="s">
        <v>292</v>
      </c>
      <c r="G95" s="92"/>
      <c r="H95" s="93">
        <v>18655</v>
      </c>
      <c r="I95" s="89">
        <v>75</v>
      </c>
      <c r="J95" s="89" t="s">
        <v>51</v>
      </c>
      <c r="K95" s="89" t="s">
        <v>271</v>
      </c>
      <c r="L95" s="89" t="s">
        <v>293</v>
      </c>
      <c r="M95" s="89"/>
      <c r="N95" s="89" t="s">
        <v>107</v>
      </c>
      <c r="O95" s="94" t="s">
        <v>294</v>
      </c>
      <c r="P95" s="95" t="s">
        <v>55</v>
      </c>
      <c r="Q95" s="144" t="s">
        <v>70</v>
      </c>
      <c r="R95" s="96">
        <v>46129</v>
      </c>
      <c r="S95" s="97"/>
      <c r="T95" s="97" t="s">
        <v>57</v>
      </c>
      <c r="U95" s="97" t="s">
        <v>71</v>
      </c>
      <c r="V95" s="93">
        <v>46122</v>
      </c>
      <c r="W95" s="93">
        <v>46126</v>
      </c>
      <c r="X95" s="93">
        <v>46141</v>
      </c>
      <c r="Y95" s="98"/>
      <c r="Z95" s="89" t="s">
        <v>60</v>
      </c>
      <c r="AA95" s="97">
        <v>46195</v>
      </c>
      <c r="AB95" s="89" t="s">
        <v>61</v>
      </c>
      <c r="AC95" s="120"/>
      <c r="AD95" s="89"/>
      <c r="AE95" s="89"/>
      <c r="AF95" s="99"/>
      <c r="AG95" s="99"/>
      <c r="AH95" s="99"/>
      <c r="AI95" s="100" t="s">
        <v>62</v>
      </c>
      <c r="AJ95" s="100" t="s">
        <v>62</v>
      </c>
      <c r="AK95" s="100" t="s">
        <v>62</v>
      </c>
      <c r="AL95" s="45" t="s">
        <v>64</v>
      </c>
      <c r="AM95" s="198" t="str">
        <f t="shared" si="8"/>
        <v>3/2026</v>
      </c>
      <c r="AN95" s="45">
        <f t="shared" si="9"/>
        <v>4</v>
      </c>
      <c r="AO95" s="45" t="str">
        <f t="shared" si="10"/>
        <v>4/2026</v>
      </c>
      <c r="AP95" s="45">
        <f t="shared" si="11"/>
        <v>3</v>
      </c>
      <c r="AQ95" s="45">
        <f t="shared" si="12"/>
        <v>25</v>
      </c>
      <c r="AR95" s="45">
        <f t="shared" si="13"/>
        <v>0</v>
      </c>
      <c r="AS95" s="45">
        <f t="shared" si="14"/>
        <v>9.5</v>
      </c>
      <c r="AT95" s="45">
        <f t="shared" si="15"/>
        <v>66</v>
      </c>
      <c r="AU95" s="45" t="str">
        <f>_xlfn.XLOOKUP(U95,'Lista Suspensa'!$AA$20:$AA$23,'Lista Suspensa'!$AB$20:$AB$23,"N/A")</f>
        <v>S</v>
      </c>
    </row>
    <row r="96" spans="1:47" ht="12" customHeight="1" x14ac:dyDescent="0.3">
      <c r="A96" s="87" t="s">
        <v>65</v>
      </c>
      <c r="B96" s="88">
        <v>46104</v>
      </c>
      <c r="C96" s="89" t="s">
        <v>66</v>
      </c>
      <c r="D96" s="89" t="s">
        <v>49</v>
      </c>
      <c r="E96" s="90">
        <v>437341062</v>
      </c>
      <c r="F96" s="220" t="s">
        <v>295</v>
      </c>
      <c r="G96" s="92"/>
      <c r="H96" s="93">
        <v>17007</v>
      </c>
      <c r="I96" s="89">
        <v>79</v>
      </c>
      <c r="J96" s="89" t="s">
        <v>51</v>
      </c>
      <c r="K96" s="89" t="s">
        <v>271</v>
      </c>
      <c r="L96" s="89" t="s">
        <v>293</v>
      </c>
      <c r="M96" s="89"/>
      <c r="N96" s="89" t="s">
        <v>258</v>
      </c>
      <c r="O96" s="94" t="s">
        <v>296</v>
      </c>
      <c r="P96" s="95" t="s">
        <v>55</v>
      </c>
      <c r="Q96" s="144" t="s">
        <v>70</v>
      </c>
      <c r="R96" s="96">
        <v>46171</v>
      </c>
      <c r="S96" s="97"/>
      <c r="T96" s="97" t="s">
        <v>57</v>
      </c>
      <c r="U96" s="97" t="s">
        <v>71</v>
      </c>
      <c r="V96" s="93">
        <v>46122</v>
      </c>
      <c r="W96" s="93">
        <v>46126</v>
      </c>
      <c r="X96" s="93">
        <v>46141</v>
      </c>
      <c r="Y96" s="98"/>
      <c r="Z96" s="89" t="s">
        <v>60</v>
      </c>
      <c r="AA96" s="97">
        <v>46176</v>
      </c>
      <c r="AB96" s="89" t="s">
        <v>110</v>
      </c>
      <c r="AC96" s="120"/>
      <c r="AD96" s="89"/>
      <c r="AE96" s="89"/>
      <c r="AF96" s="99"/>
      <c r="AG96" s="99"/>
      <c r="AH96" s="99"/>
      <c r="AI96" s="100"/>
      <c r="AJ96" s="100" t="s">
        <v>62</v>
      </c>
      <c r="AK96" s="100" t="s">
        <v>47</v>
      </c>
      <c r="AL96" s="45" t="s">
        <v>64</v>
      </c>
      <c r="AM96" s="198" t="str">
        <f t="shared" si="8"/>
        <v>3/2026</v>
      </c>
      <c r="AN96" s="45">
        <f t="shared" si="9"/>
        <v>4</v>
      </c>
      <c r="AO96" s="45" t="str">
        <f t="shared" si="10"/>
        <v>5/2026</v>
      </c>
      <c r="AP96" s="45">
        <f t="shared" si="11"/>
        <v>5</v>
      </c>
      <c r="AQ96" s="45">
        <f t="shared" si="12"/>
        <v>67</v>
      </c>
      <c r="AR96" s="45">
        <f t="shared" si="13"/>
        <v>0</v>
      </c>
      <c r="AS96" s="45">
        <f t="shared" si="14"/>
        <v>9.5</v>
      </c>
      <c r="AT96" s="45">
        <f t="shared" si="15"/>
        <v>0</v>
      </c>
      <c r="AU96" s="45" t="str">
        <f>_xlfn.XLOOKUP(U96,'Lista Suspensa'!$AA$20:$AA$23,'Lista Suspensa'!$AB$20:$AB$23,"N/A")</f>
        <v>S</v>
      </c>
    </row>
    <row r="97" spans="1:47" ht="12" customHeight="1" x14ac:dyDescent="0.3">
      <c r="A97" s="87" t="s">
        <v>65</v>
      </c>
      <c r="B97" s="88">
        <v>46104</v>
      </c>
      <c r="C97" s="89" t="s">
        <v>66</v>
      </c>
      <c r="D97" s="89" t="s">
        <v>49</v>
      </c>
      <c r="E97" s="90">
        <v>449808491</v>
      </c>
      <c r="F97" s="220" t="s">
        <v>297</v>
      </c>
      <c r="G97" s="92"/>
      <c r="H97" s="93">
        <v>20825</v>
      </c>
      <c r="I97" s="89">
        <v>69</v>
      </c>
      <c r="J97" s="89" t="s">
        <v>77</v>
      </c>
      <c r="K97" s="89" t="s">
        <v>52</v>
      </c>
      <c r="L97" s="89" t="s">
        <v>298</v>
      </c>
      <c r="M97" s="89"/>
      <c r="N97" s="89" t="s">
        <v>107</v>
      </c>
      <c r="O97" s="94" t="s">
        <v>299</v>
      </c>
      <c r="P97" s="95" t="s">
        <v>55</v>
      </c>
      <c r="Q97" s="144" t="s">
        <v>136</v>
      </c>
      <c r="R97" s="96"/>
      <c r="S97" s="97">
        <v>46150</v>
      </c>
      <c r="T97" s="97" t="s">
        <v>183</v>
      </c>
      <c r="U97" s="97" t="s">
        <v>58</v>
      </c>
      <c r="V97" s="93">
        <v>46122</v>
      </c>
      <c r="W97" s="93">
        <v>46126</v>
      </c>
      <c r="X97" s="93">
        <v>46141</v>
      </c>
      <c r="Y97" s="98"/>
      <c r="Z97" s="89"/>
      <c r="AA97" s="97"/>
      <c r="AB97" s="89"/>
      <c r="AC97" s="120"/>
      <c r="AD97" s="89"/>
      <c r="AE97" s="89"/>
      <c r="AF97" s="99"/>
      <c r="AG97" s="99"/>
      <c r="AH97" s="99"/>
      <c r="AI97" s="100"/>
      <c r="AJ97" s="100"/>
      <c r="AK97" s="100"/>
      <c r="AL97" s="45" t="s">
        <v>64</v>
      </c>
      <c r="AM97" s="198" t="str">
        <f t="shared" si="8"/>
        <v>3/2026</v>
      </c>
      <c r="AN97" s="45">
        <f t="shared" si="9"/>
        <v>4</v>
      </c>
      <c r="AO97" s="45" t="str">
        <f t="shared" si="10"/>
        <v>1/1900</v>
      </c>
      <c r="AP97" s="45" t="e">
        <f t="shared" si="11"/>
        <v>#NUM!</v>
      </c>
      <c r="AQ97" s="45">
        <f t="shared" si="12"/>
        <v>0</v>
      </c>
      <c r="AR97" s="45">
        <f t="shared" si="13"/>
        <v>0</v>
      </c>
      <c r="AS97" s="45">
        <f t="shared" si="14"/>
        <v>0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customHeight="1" x14ac:dyDescent="0.3">
      <c r="A98" s="87" t="s">
        <v>65</v>
      </c>
      <c r="B98" s="88">
        <v>46104</v>
      </c>
      <c r="C98" s="89" t="s">
        <v>66</v>
      </c>
      <c r="D98" s="89" t="s">
        <v>49</v>
      </c>
      <c r="E98" s="90">
        <v>450218201</v>
      </c>
      <c r="F98" s="220" t="s">
        <v>300</v>
      </c>
      <c r="G98" s="92"/>
      <c r="H98" s="93">
        <v>18921</v>
      </c>
      <c r="I98" s="89">
        <v>74</v>
      </c>
      <c r="J98" s="89" t="s">
        <v>77</v>
      </c>
      <c r="K98" s="89" t="s">
        <v>52</v>
      </c>
      <c r="L98" s="89" t="s">
        <v>275</v>
      </c>
      <c r="M98" s="89"/>
      <c r="N98" s="89" t="s">
        <v>151</v>
      </c>
      <c r="O98" s="94" t="s">
        <v>301</v>
      </c>
      <c r="P98" s="95" t="s">
        <v>55</v>
      </c>
      <c r="Q98" s="144" t="s">
        <v>136</v>
      </c>
      <c r="R98" s="96"/>
      <c r="S98" s="97">
        <v>46150</v>
      </c>
      <c r="T98" s="97" t="s">
        <v>183</v>
      </c>
      <c r="U98" s="97" t="s">
        <v>58</v>
      </c>
      <c r="V98" s="93">
        <v>46122</v>
      </c>
      <c r="W98" s="93">
        <v>46126</v>
      </c>
      <c r="X98" s="93">
        <v>46141</v>
      </c>
      <c r="Y98" s="98"/>
      <c r="Z98" s="89"/>
      <c r="AA98" s="97"/>
      <c r="AB98" s="89"/>
      <c r="AC98" s="120"/>
      <c r="AD98" s="89"/>
      <c r="AE98" s="89"/>
      <c r="AF98" s="99"/>
      <c r="AG98" s="99"/>
      <c r="AH98" s="99"/>
      <c r="AI98" s="100"/>
      <c r="AJ98" s="100"/>
      <c r="AK98" s="100"/>
      <c r="AL98" s="45" t="s">
        <v>64</v>
      </c>
      <c r="AM98" s="198" t="str">
        <f t="shared" si="8"/>
        <v>3/2026</v>
      </c>
      <c r="AN98" s="45">
        <f t="shared" si="9"/>
        <v>4</v>
      </c>
      <c r="AO98" s="45" t="str">
        <f t="shared" si="10"/>
        <v>1/1900</v>
      </c>
      <c r="AP98" s="45" t="e">
        <f t="shared" si="11"/>
        <v>#NUM!</v>
      </c>
      <c r="AQ98" s="45">
        <f t="shared" si="12"/>
        <v>0</v>
      </c>
      <c r="AR98" s="45">
        <f t="shared" si="13"/>
        <v>0</v>
      </c>
      <c r="AS98" s="45">
        <f t="shared" si="14"/>
        <v>0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customHeight="1" x14ac:dyDescent="0.3">
      <c r="A99" s="87" t="s">
        <v>65</v>
      </c>
      <c r="B99" s="88">
        <v>46104</v>
      </c>
      <c r="C99" s="89" t="s">
        <v>66</v>
      </c>
      <c r="D99" s="89" t="s">
        <v>49</v>
      </c>
      <c r="E99" s="90">
        <v>450249298</v>
      </c>
      <c r="F99" s="220" t="s">
        <v>302</v>
      </c>
      <c r="G99" s="92"/>
      <c r="H99" s="93">
        <v>22337</v>
      </c>
      <c r="I99" s="89">
        <v>65</v>
      </c>
      <c r="J99" s="89" t="s">
        <v>51</v>
      </c>
      <c r="K99" s="89" t="s">
        <v>52</v>
      </c>
      <c r="L99" s="89" t="s">
        <v>275</v>
      </c>
      <c r="M99" s="89"/>
      <c r="N99" s="89" t="s">
        <v>53</v>
      </c>
      <c r="O99" s="94" t="s">
        <v>303</v>
      </c>
      <c r="P99" s="95" t="s">
        <v>55</v>
      </c>
      <c r="Q99" s="144" t="s">
        <v>136</v>
      </c>
      <c r="R99" s="96"/>
      <c r="S99" s="97">
        <v>46150</v>
      </c>
      <c r="T99" s="97" t="s">
        <v>183</v>
      </c>
      <c r="U99" s="97" t="s">
        <v>58</v>
      </c>
      <c r="V99" s="93">
        <v>46122</v>
      </c>
      <c r="W99" s="93">
        <v>46126</v>
      </c>
      <c r="X99" s="93">
        <v>46141</v>
      </c>
      <c r="Y99" s="98"/>
      <c r="Z99" s="89"/>
      <c r="AA99" s="97"/>
      <c r="AB99" s="89"/>
      <c r="AC99" s="120"/>
      <c r="AD99" s="89"/>
      <c r="AE99" s="89"/>
      <c r="AF99" s="99"/>
      <c r="AG99" s="99"/>
      <c r="AH99" s="99"/>
      <c r="AI99" s="100"/>
      <c r="AJ99" s="100"/>
      <c r="AK99" s="100"/>
      <c r="AL99" s="45" t="s">
        <v>64</v>
      </c>
      <c r="AM99" s="198" t="str">
        <f t="shared" si="8"/>
        <v>3/2026</v>
      </c>
      <c r="AN99" s="45">
        <f t="shared" si="9"/>
        <v>4</v>
      </c>
      <c r="AO99" s="45" t="str">
        <f t="shared" si="10"/>
        <v>1/1900</v>
      </c>
      <c r="AP99" s="45" t="e">
        <f t="shared" si="11"/>
        <v>#NUM!</v>
      </c>
      <c r="AQ99" s="45">
        <f t="shared" si="12"/>
        <v>0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customHeight="1" x14ac:dyDescent="0.3">
      <c r="A100" s="87" t="s">
        <v>65</v>
      </c>
      <c r="B100" s="88">
        <v>46104</v>
      </c>
      <c r="C100" s="89" t="s">
        <v>66</v>
      </c>
      <c r="D100" s="89" t="s">
        <v>49</v>
      </c>
      <c r="E100" s="90">
        <v>450509133</v>
      </c>
      <c r="F100" s="220" t="s">
        <v>304</v>
      </c>
      <c r="G100" s="92"/>
      <c r="H100" s="93">
        <v>16613</v>
      </c>
      <c r="I100" s="89">
        <v>80</v>
      </c>
      <c r="J100" s="89" t="s">
        <v>77</v>
      </c>
      <c r="K100" s="89" t="s">
        <v>52</v>
      </c>
      <c r="L100" s="89" t="s">
        <v>275</v>
      </c>
      <c r="M100" s="89"/>
      <c r="N100" s="89" t="s">
        <v>53</v>
      </c>
      <c r="O100" s="94" t="s">
        <v>305</v>
      </c>
      <c r="P100" s="95" t="s">
        <v>55</v>
      </c>
      <c r="Q100" s="144" t="s">
        <v>136</v>
      </c>
      <c r="R100" s="96"/>
      <c r="S100" s="97">
        <v>46150</v>
      </c>
      <c r="T100" s="97" t="s">
        <v>183</v>
      </c>
      <c r="U100" s="97" t="s">
        <v>58</v>
      </c>
      <c r="V100" s="93">
        <v>46122</v>
      </c>
      <c r="W100" s="93">
        <v>46126</v>
      </c>
      <c r="X100" s="93">
        <v>46141</v>
      </c>
      <c r="Y100" s="98"/>
      <c r="Z100" s="89"/>
      <c r="AA100" s="97"/>
      <c r="AB100" s="89"/>
      <c r="AC100" s="120"/>
      <c r="AD100" s="89"/>
      <c r="AE100" s="89"/>
      <c r="AF100" s="99"/>
      <c r="AG100" s="99"/>
      <c r="AH100" s="99"/>
      <c r="AI100" s="100"/>
      <c r="AJ100" s="100"/>
      <c r="AK100" s="100"/>
      <c r="AL100" s="45" t="s">
        <v>64</v>
      </c>
      <c r="AM100" s="198" t="str">
        <f t="shared" si="8"/>
        <v>3/2026</v>
      </c>
      <c r="AN100" s="45">
        <f t="shared" si="9"/>
        <v>4</v>
      </c>
      <c r="AO100" s="45" t="str">
        <f t="shared" si="10"/>
        <v>1/1900</v>
      </c>
      <c r="AP100" s="45" t="e">
        <f t="shared" si="11"/>
        <v>#NUM!</v>
      </c>
      <c r="AQ100" s="45">
        <f t="shared" si="12"/>
        <v>0</v>
      </c>
      <c r="AR100" s="45">
        <f t="shared" si="13"/>
        <v>0</v>
      </c>
      <c r="AS100" s="45">
        <f t="shared" si="14"/>
        <v>0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customHeight="1" x14ac:dyDescent="0.3">
      <c r="A101" s="87" t="s">
        <v>65</v>
      </c>
      <c r="B101" s="88">
        <v>46104</v>
      </c>
      <c r="C101" s="89" t="s">
        <v>66</v>
      </c>
      <c r="D101" s="89" t="s">
        <v>49</v>
      </c>
      <c r="E101" s="90">
        <v>451016505</v>
      </c>
      <c r="F101" s="220" t="s">
        <v>306</v>
      </c>
      <c r="G101" s="92"/>
      <c r="H101" s="93">
        <v>21504</v>
      </c>
      <c r="I101" s="89">
        <v>67</v>
      </c>
      <c r="J101" s="89" t="s">
        <v>51</v>
      </c>
      <c r="K101" s="89" t="s">
        <v>52</v>
      </c>
      <c r="L101" s="89" t="s">
        <v>275</v>
      </c>
      <c r="M101" s="89"/>
      <c r="N101" s="89" t="s">
        <v>92</v>
      </c>
      <c r="O101" s="94" t="s">
        <v>307</v>
      </c>
      <c r="P101" s="95" t="s">
        <v>55</v>
      </c>
      <c r="Q101" s="144" t="s">
        <v>136</v>
      </c>
      <c r="R101" s="96"/>
      <c r="S101" s="97">
        <v>46150</v>
      </c>
      <c r="T101" s="97" t="s">
        <v>183</v>
      </c>
      <c r="U101" s="97" t="s">
        <v>58</v>
      </c>
      <c r="V101" s="93">
        <v>46122</v>
      </c>
      <c r="W101" s="93">
        <v>46126</v>
      </c>
      <c r="X101" s="93">
        <v>46141</v>
      </c>
      <c r="Y101" s="98"/>
      <c r="Z101" s="89"/>
      <c r="AA101" s="97"/>
      <c r="AB101" s="89"/>
      <c r="AC101" s="120"/>
      <c r="AD101" s="89"/>
      <c r="AE101" s="89"/>
      <c r="AF101" s="99"/>
      <c r="AG101" s="99"/>
      <c r="AH101" s="99"/>
      <c r="AI101" s="100"/>
      <c r="AJ101" s="100"/>
      <c r="AK101" s="100"/>
      <c r="AL101" s="45" t="s">
        <v>64</v>
      </c>
      <c r="AM101" s="198" t="str">
        <f t="shared" si="8"/>
        <v>3/2026</v>
      </c>
      <c r="AN101" s="45">
        <f t="shared" si="9"/>
        <v>4</v>
      </c>
      <c r="AO101" s="45" t="str">
        <f t="shared" si="10"/>
        <v>1/1900</v>
      </c>
      <c r="AP101" s="45" t="e">
        <f t="shared" si="11"/>
        <v>#NUM!</v>
      </c>
      <c r="AQ101" s="45">
        <f t="shared" si="12"/>
        <v>0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customHeight="1" x14ac:dyDescent="0.3">
      <c r="A102" s="87" t="s">
        <v>65</v>
      </c>
      <c r="B102" s="88">
        <v>46104</v>
      </c>
      <c r="C102" s="89" t="s">
        <v>66</v>
      </c>
      <c r="D102" s="89" t="s">
        <v>49</v>
      </c>
      <c r="E102" s="90">
        <v>451170407</v>
      </c>
      <c r="F102" s="220" t="s">
        <v>308</v>
      </c>
      <c r="G102" s="92"/>
      <c r="H102" s="93">
        <v>18037</v>
      </c>
      <c r="I102" s="89">
        <v>76</v>
      </c>
      <c r="J102" s="89" t="s">
        <v>51</v>
      </c>
      <c r="K102" s="89" t="s">
        <v>52</v>
      </c>
      <c r="L102" s="89" t="s">
        <v>275</v>
      </c>
      <c r="M102" s="89"/>
      <c r="N102" s="89" t="s">
        <v>92</v>
      </c>
      <c r="O102" s="94" t="s">
        <v>309</v>
      </c>
      <c r="P102" s="95" t="s">
        <v>55</v>
      </c>
      <c r="Q102" s="144" t="s">
        <v>136</v>
      </c>
      <c r="R102" s="96"/>
      <c r="S102" s="97">
        <v>46150</v>
      </c>
      <c r="T102" s="97" t="s">
        <v>183</v>
      </c>
      <c r="U102" s="97" t="s">
        <v>58</v>
      </c>
      <c r="V102" s="93">
        <v>46122</v>
      </c>
      <c r="W102" s="93">
        <v>46126</v>
      </c>
      <c r="X102" s="93">
        <v>46141</v>
      </c>
      <c r="Y102" s="98"/>
      <c r="Z102" s="89"/>
      <c r="AA102" s="97"/>
      <c r="AB102" s="89"/>
      <c r="AC102" s="120"/>
      <c r="AD102" s="89"/>
      <c r="AE102" s="89"/>
      <c r="AF102" s="99"/>
      <c r="AG102" s="99"/>
      <c r="AH102" s="99"/>
      <c r="AI102" s="100"/>
      <c r="AJ102" s="100"/>
      <c r="AK102" s="100"/>
      <c r="AL102" s="45" t="s">
        <v>64</v>
      </c>
      <c r="AM102" s="198" t="str">
        <f t="shared" si="8"/>
        <v>3/2026</v>
      </c>
      <c r="AN102" s="45">
        <f t="shared" si="9"/>
        <v>4</v>
      </c>
      <c r="AO102" s="45" t="str">
        <f t="shared" si="10"/>
        <v>1/1900</v>
      </c>
      <c r="AP102" s="45" t="e">
        <f t="shared" si="11"/>
        <v>#NUM!</v>
      </c>
      <c r="AQ102" s="45">
        <f t="shared" si="12"/>
        <v>0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customHeight="1" x14ac:dyDescent="0.3">
      <c r="A103" s="87" t="s">
        <v>65</v>
      </c>
      <c r="B103" s="88">
        <v>46104</v>
      </c>
      <c r="C103" s="89" t="s">
        <v>66</v>
      </c>
      <c r="D103" s="89" t="s">
        <v>49</v>
      </c>
      <c r="E103" s="90">
        <v>451560612</v>
      </c>
      <c r="F103" s="220" t="s">
        <v>310</v>
      </c>
      <c r="G103" s="92"/>
      <c r="H103" s="93">
        <v>25057</v>
      </c>
      <c r="I103" s="89">
        <v>57</v>
      </c>
      <c r="J103" s="89" t="s">
        <v>51</v>
      </c>
      <c r="K103" s="89" t="s">
        <v>52</v>
      </c>
      <c r="L103" s="89" t="s">
        <v>275</v>
      </c>
      <c r="M103" s="89"/>
      <c r="N103" s="89" t="s">
        <v>95</v>
      </c>
      <c r="O103" s="94" t="s">
        <v>311</v>
      </c>
      <c r="P103" s="95" t="s">
        <v>55</v>
      </c>
      <c r="Q103" s="144" t="s">
        <v>136</v>
      </c>
      <c r="R103" s="96"/>
      <c r="S103" s="97">
        <v>46150</v>
      </c>
      <c r="T103" s="97" t="s">
        <v>183</v>
      </c>
      <c r="U103" s="97" t="s">
        <v>58</v>
      </c>
      <c r="V103" s="93">
        <v>46122</v>
      </c>
      <c r="W103" s="93">
        <v>46126</v>
      </c>
      <c r="X103" s="93">
        <v>46141</v>
      </c>
      <c r="Y103" s="98"/>
      <c r="Z103" s="89"/>
      <c r="AA103" s="97"/>
      <c r="AB103" s="89"/>
      <c r="AC103" s="120"/>
      <c r="AD103" s="89"/>
      <c r="AE103" s="89"/>
      <c r="AF103" s="99"/>
      <c r="AG103" s="99"/>
      <c r="AH103" s="99"/>
      <c r="AI103" s="100"/>
      <c r="AJ103" s="100"/>
      <c r="AK103" s="100"/>
      <c r="AL103" s="45" t="s">
        <v>64</v>
      </c>
      <c r="AM103" s="198" t="str">
        <f t="shared" si="8"/>
        <v>3/2026</v>
      </c>
      <c r="AN103" s="45">
        <f t="shared" si="9"/>
        <v>4</v>
      </c>
      <c r="AO103" s="45" t="str">
        <f t="shared" si="10"/>
        <v>1/1900</v>
      </c>
      <c r="AP103" s="45" t="e">
        <f t="shared" si="11"/>
        <v>#NUM!</v>
      </c>
      <c r="AQ103" s="45">
        <f t="shared" si="12"/>
        <v>0</v>
      </c>
      <c r="AR103" s="45">
        <f t="shared" si="13"/>
        <v>0</v>
      </c>
      <c r="AS103" s="45">
        <f t="shared" si="14"/>
        <v>0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customHeight="1" x14ac:dyDescent="0.3">
      <c r="A104" s="87" t="s">
        <v>65</v>
      </c>
      <c r="B104" s="88">
        <v>46104</v>
      </c>
      <c r="C104" s="89" t="s">
        <v>66</v>
      </c>
      <c r="D104" s="89" t="s">
        <v>49</v>
      </c>
      <c r="E104" s="90">
        <v>451580907</v>
      </c>
      <c r="F104" s="220" t="s">
        <v>312</v>
      </c>
      <c r="G104" s="92"/>
      <c r="H104" s="93">
        <v>14502</v>
      </c>
      <c r="I104" s="89">
        <v>86</v>
      </c>
      <c r="J104" s="89" t="s">
        <v>77</v>
      </c>
      <c r="K104" s="89" t="s">
        <v>52</v>
      </c>
      <c r="L104" s="89" t="s">
        <v>275</v>
      </c>
      <c r="M104" s="89"/>
      <c r="N104" s="89" t="s">
        <v>151</v>
      </c>
      <c r="O104" s="94" t="s">
        <v>313</v>
      </c>
      <c r="P104" s="95" t="s">
        <v>55</v>
      </c>
      <c r="Q104" s="144" t="s">
        <v>136</v>
      </c>
      <c r="R104" s="96"/>
      <c r="S104" s="97">
        <v>46150</v>
      </c>
      <c r="T104" s="97" t="s">
        <v>183</v>
      </c>
      <c r="U104" s="97" t="s">
        <v>58</v>
      </c>
      <c r="V104" s="93">
        <v>46122</v>
      </c>
      <c r="W104" s="93">
        <v>46126</v>
      </c>
      <c r="X104" s="93">
        <v>46141</v>
      </c>
      <c r="Y104" s="98"/>
      <c r="Z104" s="89"/>
      <c r="AA104" s="97"/>
      <c r="AB104" s="89"/>
      <c r="AC104" s="120"/>
      <c r="AD104" s="89"/>
      <c r="AE104" s="89"/>
      <c r="AF104" s="99"/>
      <c r="AG104" s="99"/>
      <c r="AH104" s="99"/>
      <c r="AI104" s="100"/>
      <c r="AJ104" s="100"/>
      <c r="AK104" s="100"/>
      <c r="AL104" s="45" t="s">
        <v>64</v>
      </c>
      <c r="AM104" s="198" t="str">
        <f t="shared" si="8"/>
        <v>3/2026</v>
      </c>
      <c r="AN104" s="45">
        <f t="shared" si="9"/>
        <v>4</v>
      </c>
      <c r="AO104" s="45" t="str">
        <f t="shared" si="10"/>
        <v>1/1900</v>
      </c>
      <c r="AP104" s="45" t="e">
        <f t="shared" si="11"/>
        <v>#NUM!</v>
      </c>
      <c r="AQ104" s="45">
        <f t="shared" si="12"/>
        <v>0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customHeight="1" x14ac:dyDescent="0.3">
      <c r="A105" s="87" t="s">
        <v>65</v>
      </c>
      <c r="B105" s="88">
        <v>46104</v>
      </c>
      <c r="C105" s="89" t="s">
        <v>66</v>
      </c>
      <c r="D105" s="89" t="s">
        <v>49</v>
      </c>
      <c r="E105" s="90">
        <v>451591151</v>
      </c>
      <c r="F105" s="220" t="s">
        <v>314</v>
      </c>
      <c r="G105" s="92"/>
      <c r="H105" s="93">
        <v>15744</v>
      </c>
      <c r="I105" s="89">
        <v>83</v>
      </c>
      <c r="J105" s="89" t="s">
        <v>77</v>
      </c>
      <c r="K105" s="89" t="s">
        <v>52</v>
      </c>
      <c r="L105" s="89" t="s">
        <v>275</v>
      </c>
      <c r="M105" s="89"/>
      <c r="N105" s="89" t="s">
        <v>151</v>
      </c>
      <c r="O105" s="94" t="s">
        <v>315</v>
      </c>
      <c r="P105" s="95" t="s">
        <v>55</v>
      </c>
      <c r="Q105" s="144" t="s">
        <v>136</v>
      </c>
      <c r="R105" s="96"/>
      <c r="S105" s="97">
        <v>46150</v>
      </c>
      <c r="T105" s="97" t="s">
        <v>183</v>
      </c>
      <c r="U105" s="97" t="s">
        <v>58</v>
      </c>
      <c r="V105" s="93">
        <v>46122</v>
      </c>
      <c r="W105" s="93">
        <v>46126</v>
      </c>
      <c r="X105" s="93">
        <v>46141</v>
      </c>
      <c r="Y105" s="98"/>
      <c r="Z105" s="89"/>
      <c r="AA105" s="97"/>
      <c r="AB105" s="89"/>
      <c r="AC105" s="120"/>
      <c r="AD105" s="89"/>
      <c r="AE105" s="89"/>
      <c r="AF105" s="99"/>
      <c r="AG105" s="99"/>
      <c r="AH105" s="99"/>
      <c r="AI105" s="100"/>
      <c r="AJ105" s="100"/>
      <c r="AK105" s="100"/>
      <c r="AL105" s="45" t="s">
        <v>64</v>
      </c>
      <c r="AM105" s="198" t="str">
        <f t="shared" si="8"/>
        <v>3/2026</v>
      </c>
      <c r="AN105" s="45">
        <f t="shared" si="9"/>
        <v>4</v>
      </c>
      <c r="AO105" s="45" t="str">
        <f t="shared" si="10"/>
        <v>1/1900</v>
      </c>
      <c r="AP105" s="45" t="e">
        <f t="shared" si="11"/>
        <v>#NUM!</v>
      </c>
      <c r="AQ105" s="45">
        <f t="shared" si="12"/>
        <v>0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customHeight="1" x14ac:dyDescent="0.3">
      <c r="A106" s="87" t="s">
        <v>65</v>
      </c>
      <c r="B106" s="88">
        <v>46104</v>
      </c>
      <c r="C106" s="89" t="s">
        <v>66</v>
      </c>
      <c r="D106" s="89" t="s">
        <v>49</v>
      </c>
      <c r="E106" s="90">
        <v>451779177</v>
      </c>
      <c r="F106" s="220" t="s">
        <v>316</v>
      </c>
      <c r="G106" s="92"/>
      <c r="H106" s="93">
        <v>21928</v>
      </c>
      <c r="I106" s="89">
        <v>66</v>
      </c>
      <c r="J106" s="89" t="s">
        <v>77</v>
      </c>
      <c r="K106" s="89" t="s">
        <v>52</v>
      </c>
      <c r="L106" s="89" t="s">
        <v>275</v>
      </c>
      <c r="M106" s="89"/>
      <c r="N106" s="89" t="s">
        <v>151</v>
      </c>
      <c r="O106" s="94" t="s">
        <v>317</v>
      </c>
      <c r="P106" s="95" t="s">
        <v>55</v>
      </c>
      <c r="Q106" s="144" t="s">
        <v>136</v>
      </c>
      <c r="R106" s="96"/>
      <c r="S106" s="97">
        <v>46150</v>
      </c>
      <c r="T106" s="97" t="s">
        <v>183</v>
      </c>
      <c r="U106" s="97" t="s">
        <v>58</v>
      </c>
      <c r="V106" s="93">
        <v>46122</v>
      </c>
      <c r="W106" s="93">
        <v>46126</v>
      </c>
      <c r="X106" s="93">
        <v>46141</v>
      </c>
      <c r="Y106" s="98"/>
      <c r="Z106" s="89"/>
      <c r="AA106" s="97"/>
      <c r="AB106" s="89"/>
      <c r="AC106" s="120"/>
      <c r="AD106" s="89"/>
      <c r="AE106" s="89"/>
      <c r="AF106" s="99"/>
      <c r="AG106" s="99"/>
      <c r="AH106" s="99"/>
      <c r="AI106" s="100"/>
      <c r="AJ106" s="100"/>
      <c r="AK106" s="100"/>
      <c r="AL106" s="45" t="s">
        <v>64</v>
      </c>
      <c r="AM106" s="198" t="str">
        <f t="shared" si="8"/>
        <v>3/2026</v>
      </c>
      <c r="AN106" s="45">
        <f t="shared" si="9"/>
        <v>4</v>
      </c>
      <c r="AO106" s="45" t="str">
        <f t="shared" si="10"/>
        <v>1/1900</v>
      </c>
      <c r="AP106" s="45" t="e">
        <f t="shared" si="11"/>
        <v>#NUM!</v>
      </c>
      <c r="AQ106" s="45">
        <f t="shared" si="12"/>
        <v>0</v>
      </c>
      <c r="AR106" s="45">
        <f t="shared" si="13"/>
        <v>0</v>
      </c>
      <c r="AS106" s="45">
        <f t="shared" si="14"/>
        <v>0</v>
      </c>
      <c r="AT106" s="45">
        <f t="shared" si="15"/>
        <v>0</v>
      </c>
      <c r="AU106" s="45" t="str">
        <f>_xlfn.XLOOKUP(U106,'Lista Suspensa'!$AA$20:$AA$23,'Lista Suspensa'!$AB$20:$AB$23,"N/A")</f>
        <v>S</v>
      </c>
    </row>
    <row r="107" spans="1:47" ht="12" customHeight="1" x14ac:dyDescent="0.3">
      <c r="A107" s="87" t="s">
        <v>65</v>
      </c>
      <c r="B107" s="88">
        <v>46104</v>
      </c>
      <c r="C107" s="89" t="s">
        <v>66</v>
      </c>
      <c r="D107" s="89" t="s">
        <v>49</v>
      </c>
      <c r="E107" s="90">
        <v>451835298</v>
      </c>
      <c r="F107" s="220" t="s">
        <v>318</v>
      </c>
      <c r="G107" s="92"/>
      <c r="H107" s="93">
        <v>17031</v>
      </c>
      <c r="I107" s="89">
        <v>79</v>
      </c>
      <c r="J107" s="89" t="s">
        <v>51</v>
      </c>
      <c r="K107" s="89" t="s">
        <v>52</v>
      </c>
      <c r="L107" s="89" t="s">
        <v>298</v>
      </c>
      <c r="M107" s="89"/>
      <c r="N107" s="89" t="s">
        <v>151</v>
      </c>
      <c r="O107" s="94" t="s">
        <v>319</v>
      </c>
      <c r="P107" s="95" t="s">
        <v>55</v>
      </c>
      <c r="Q107" s="144" t="s">
        <v>136</v>
      </c>
      <c r="R107" s="96"/>
      <c r="S107" s="97">
        <v>46150</v>
      </c>
      <c r="T107" s="97" t="s">
        <v>183</v>
      </c>
      <c r="U107" s="97" t="s">
        <v>58</v>
      </c>
      <c r="V107" s="93">
        <v>46122</v>
      </c>
      <c r="W107" s="93">
        <v>46126</v>
      </c>
      <c r="X107" s="93">
        <v>46141</v>
      </c>
      <c r="Y107" s="98"/>
      <c r="Z107" s="89"/>
      <c r="AA107" s="97"/>
      <c r="AB107" s="89"/>
      <c r="AC107" s="120"/>
      <c r="AD107" s="89"/>
      <c r="AE107" s="89"/>
      <c r="AF107" s="99"/>
      <c r="AG107" s="99"/>
      <c r="AH107" s="99"/>
      <c r="AI107" s="100"/>
      <c r="AJ107" s="100"/>
      <c r="AK107" s="100"/>
      <c r="AL107" s="45" t="s">
        <v>64</v>
      </c>
      <c r="AM107" s="198" t="str">
        <f t="shared" si="8"/>
        <v>3/2026</v>
      </c>
      <c r="AN107" s="45">
        <f t="shared" si="9"/>
        <v>4</v>
      </c>
      <c r="AO107" s="45" t="str">
        <f t="shared" si="10"/>
        <v>1/1900</v>
      </c>
      <c r="AP107" s="45" t="e">
        <f t="shared" si="11"/>
        <v>#NUM!</v>
      </c>
      <c r="AQ107" s="45">
        <f t="shared" si="12"/>
        <v>0</v>
      </c>
      <c r="AR107" s="45">
        <f t="shared" si="13"/>
        <v>0</v>
      </c>
      <c r="AS107" s="45">
        <f t="shared" si="14"/>
        <v>0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customHeight="1" x14ac:dyDescent="0.3">
      <c r="A108" s="87" t="s">
        <v>65</v>
      </c>
      <c r="B108" s="88">
        <v>46104</v>
      </c>
      <c r="C108" s="89" t="s">
        <v>66</v>
      </c>
      <c r="D108" s="89" t="s">
        <v>49</v>
      </c>
      <c r="E108" s="90">
        <v>451592743</v>
      </c>
      <c r="F108" s="220" t="s">
        <v>320</v>
      </c>
      <c r="G108" s="92"/>
      <c r="H108" s="93">
        <v>15209</v>
      </c>
      <c r="I108" s="89">
        <v>84</v>
      </c>
      <c r="J108" s="89" t="s">
        <v>77</v>
      </c>
      <c r="K108" s="89" t="s">
        <v>52</v>
      </c>
      <c r="L108" s="89" t="s">
        <v>321</v>
      </c>
      <c r="M108" s="89"/>
      <c r="N108" s="89" t="s">
        <v>151</v>
      </c>
      <c r="O108" s="94" t="s">
        <v>322</v>
      </c>
      <c r="P108" s="95" t="s">
        <v>55</v>
      </c>
      <c r="Q108" s="144" t="s">
        <v>70</v>
      </c>
      <c r="R108" s="96">
        <v>46128</v>
      </c>
      <c r="S108" s="97"/>
      <c r="T108" s="97" t="s">
        <v>57</v>
      </c>
      <c r="U108" s="97" t="s">
        <v>71</v>
      </c>
      <c r="V108" s="93">
        <v>46122</v>
      </c>
      <c r="W108" s="93">
        <v>46126</v>
      </c>
      <c r="X108" s="93">
        <v>46128</v>
      </c>
      <c r="Y108" s="98"/>
      <c r="Z108" s="89" t="s">
        <v>60</v>
      </c>
      <c r="AA108" s="97">
        <v>46136</v>
      </c>
      <c r="AB108" s="89" t="s">
        <v>110</v>
      </c>
      <c r="AC108" s="120"/>
      <c r="AD108" s="89"/>
      <c r="AE108" s="89"/>
      <c r="AF108" s="99"/>
      <c r="AG108" s="99"/>
      <c r="AH108" s="99"/>
      <c r="AI108" s="100" t="s">
        <v>62</v>
      </c>
      <c r="AJ108" s="100" t="s">
        <v>47</v>
      </c>
      <c r="AK108" s="100" t="s">
        <v>62</v>
      </c>
      <c r="AL108" s="45" t="s">
        <v>64</v>
      </c>
      <c r="AM108" s="198" t="str">
        <f t="shared" si="8"/>
        <v>3/2026</v>
      </c>
      <c r="AN108" s="45">
        <f t="shared" si="9"/>
        <v>4</v>
      </c>
      <c r="AO108" s="45" t="str">
        <f t="shared" si="10"/>
        <v>4/2026</v>
      </c>
      <c r="AP108" s="45">
        <f t="shared" si="11"/>
        <v>3</v>
      </c>
      <c r="AQ108" s="45">
        <f t="shared" si="12"/>
        <v>24</v>
      </c>
      <c r="AR108" s="45">
        <f t="shared" si="13"/>
        <v>0</v>
      </c>
      <c r="AS108" s="45">
        <f t="shared" si="14"/>
        <v>3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customHeight="1" x14ac:dyDescent="0.3">
      <c r="A109" s="87" t="s">
        <v>65</v>
      </c>
      <c r="B109" s="88">
        <v>46104</v>
      </c>
      <c r="C109" s="89" t="s">
        <v>66</v>
      </c>
      <c r="D109" s="89" t="s">
        <v>49</v>
      </c>
      <c r="E109" s="90">
        <v>451747500</v>
      </c>
      <c r="F109" s="220" t="s">
        <v>323</v>
      </c>
      <c r="G109" s="92"/>
      <c r="H109" s="93">
        <v>18280</v>
      </c>
      <c r="I109" s="89">
        <v>76</v>
      </c>
      <c r="J109" s="89" t="s">
        <v>51</v>
      </c>
      <c r="K109" s="89" t="s">
        <v>52</v>
      </c>
      <c r="L109" s="89" t="s">
        <v>275</v>
      </c>
      <c r="M109" s="89"/>
      <c r="N109" s="89" t="s">
        <v>151</v>
      </c>
      <c r="O109" s="94" t="s">
        <v>324</v>
      </c>
      <c r="P109" s="95" t="s">
        <v>55</v>
      </c>
      <c r="Q109" s="144" t="s">
        <v>70</v>
      </c>
      <c r="R109" s="96">
        <v>46122</v>
      </c>
      <c r="S109" s="97"/>
      <c r="T109" s="97" t="s">
        <v>57</v>
      </c>
      <c r="U109" s="97" t="s">
        <v>71</v>
      </c>
      <c r="V109" s="93">
        <v>46122</v>
      </c>
      <c r="W109" s="93" t="s">
        <v>72</v>
      </c>
      <c r="X109" s="93" t="s">
        <v>72</v>
      </c>
      <c r="Y109" s="98"/>
      <c r="Z109" s="89" t="s">
        <v>60</v>
      </c>
      <c r="AA109" s="97">
        <v>46126</v>
      </c>
      <c r="AB109" s="89" t="s">
        <v>61</v>
      </c>
      <c r="AC109" s="120"/>
      <c r="AD109" s="89"/>
      <c r="AE109" s="89"/>
      <c r="AF109" s="99"/>
      <c r="AG109" s="99"/>
      <c r="AH109" s="99"/>
      <c r="AI109" s="100" t="s">
        <v>62</v>
      </c>
      <c r="AJ109" s="100" t="s">
        <v>47</v>
      </c>
      <c r="AK109" s="100" t="s">
        <v>62</v>
      </c>
      <c r="AL109" s="45" t="s">
        <v>64</v>
      </c>
      <c r="AM109" s="198" t="str">
        <f t="shared" si="8"/>
        <v>3/2026</v>
      </c>
      <c r="AN109" s="45">
        <f t="shared" si="9"/>
        <v>4</v>
      </c>
      <c r="AO109" s="45" t="str">
        <f t="shared" si="10"/>
        <v>4/2026</v>
      </c>
      <c r="AP109" s="45">
        <f t="shared" si="11"/>
        <v>2</v>
      </c>
      <c r="AQ109" s="45">
        <f t="shared" si="12"/>
        <v>18</v>
      </c>
      <c r="AR109" s="45">
        <f t="shared" si="13"/>
        <v>0</v>
      </c>
      <c r="AS109" s="45">
        <f t="shared" si="14"/>
        <v>0</v>
      </c>
      <c r="AT109" s="45">
        <f t="shared" si="15"/>
        <v>4</v>
      </c>
      <c r="AU109" s="45" t="str">
        <f>_xlfn.XLOOKUP(U109,'Lista Suspensa'!$AA$20:$AA$23,'Lista Suspensa'!$AB$20:$AB$23,"N/A")</f>
        <v>S</v>
      </c>
    </row>
    <row r="110" spans="1:47" ht="12" customHeight="1" x14ac:dyDescent="0.3">
      <c r="A110" s="87" t="s">
        <v>65</v>
      </c>
      <c r="B110" s="88">
        <v>46104</v>
      </c>
      <c r="C110" s="89" t="s">
        <v>66</v>
      </c>
      <c r="D110" s="89" t="s">
        <v>49</v>
      </c>
      <c r="E110" s="90">
        <v>452208777</v>
      </c>
      <c r="F110" s="220" t="s">
        <v>325</v>
      </c>
      <c r="G110" s="92"/>
      <c r="H110" s="93">
        <v>24079</v>
      </c>
      <c r="I110" s="89">
        <v>60</v>
      </c>
      <c r="J110" s="89" t="s">
        <v>51</v>
      </c>
      <c r="K110" s="89" t="s">
        <v>52</v>
      </c>
      <c r="L110" s="89" t="s">
        <v>275</v>
      </c>
      <c r="M110" s="89"/>
      <c r="N110" s="89" t="s">
        <v>151</v>
      </c>
      <c r="O110" s="94" t="s">
        <v>326</v>
      </c>
      <c r="P110" s="95" t="s">
        <v>55</v>
      </c>
      <c r="Q110" s="144" t="s">
        <v>136</v>
      </c>
      <c r="R110" s="96"/>
      <c r="S110" s="97">
        <v>46150</v>
      </c>
      <c r="T110" s="97" t="s">
        <v>183</v>
      </c>
      <c r="U110" s="97" t="s">
        <v>58</v>
      </c>
      <c r="V110" s="93">
        <v>46122</v>
      </c>
      <c r="W110" s="93">
        <v>46126</v>
      </c>
      <c r="X110" s="93">
        <v>46141</v>
      </c>
      <c r="Y110" s="98"/>
      <c r="Z110" s="89"/>
      <c r="AA110" s="97"/>
      <c r="AB110" s="89"/>
      <c r="AC110" s="120"/>
      <c r="AD110" s="89"/>
      <c r="AE110" s="89"/>
      <c r="AF110" s="99"/>
      <c r="AG110" s="99"/>
      <c r="AH110" s="99"/>
      <c r="AI110" s="100"/>
      <c r="AJ110" s="100"/>
      <c r="AK110" s="100"/>
      <c r="AL110" s="45" t="s">
        <v>64</v>
      </c>
      <c r="AM110" s="198" t="str">
        <f t="shared" si="8"/>
        <v>3/2026</v>
      </c>
      <c r="AN110" s="45">
        <f t="shared" si="9"/>
        <v>4</v>
      </c>
      <c r="AO110" s="45" t="str">
        <f t="shared" si="10"/>
        <v>1/1900</v>
      </c>
      <c r="AP110" s="45" t="e">
        <f t="shared" si="11"/>
        <v>#NUM!</v>
      </c>
      <c r="AQ110" s="45">
        <f t="shared" si="12"/>
        <v>0</v>
      </c>
      <c r="AR110" s="45">
        <f t="shared" si="13"/>
        <v>0</v>
      </c>
      <c r="AS110" s="45">
        <f t="shared" si="14"/>
        <v>0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customHeight="1" x14ac:dyDescent="0.3">
      <c r="A111" s="87" t="s">
        <v>65</v>
      </c>
      <c r="B111" s="88">
        <v>46104</v>
      </c>
      <c r="C111" s="89" t="s">
        <v>66</v>
      </c>
      <c r="D111" s="89" t="s">
        <v>49</v>
      </c>
      <c r="E111" s="90">
        <v>593964209</v>
      </c>
      <c r="F111" s="220" t="s">
        <v>327</v>
      </c>
      <c r="G111" s="92"/>
      <c r="H111" s="93">
        <v>28001</v>
      </c>
      <c r="I111" s="89">
        <v>49</v>
      </c>
      <c r="J111" s="89" t="s">
        <v>51</v>
      </c>
      <c r="K111" s="89" t="s">
        <v>52</v>
      </c>
      <c r="L111" s="89" t="s">
        <v>328</v>
      </c>
      <c r="M111" s="89"/>
      <c r="N111" s="89" t="s">
        <v>79</v>
      </c>
      <c r="O111" s="94" t="s">
        <v>329</v>
      </c>
      <c r="P111" s="95" t="s">
        <v>55</v>
      </c>
      <c r="Q111" s="144" t="s">
        <v>136</v>
      </c>
      <c r="R111" s="96"/>
      <c r="S111" s="97">
        <v>46150</v>
      </c>
      <c r="T111" s="97" t="s">
        <v>183</v>
      </c>
      <c r="U111" s="97" t="s">
        <v>58</v>
      </c>
      <c r="V111" s="93">
        <v>46122</v>
      </c>
      <c r="W111" s="93">
        <v>46126</v>
      </c>
      <c r="X111" s="93">
        <v>46141</v>
      </c>
      <c r="Y111" s="98"/>
      <c r="Z111" s="89"/>
      <c r="AA111" s="97"/>
      <c r="AB111" s="89"/>
      <c r="AC111" s="120"/>
      <c r="AD111" s="89"/>
      <c r="AE111" s="89"/>
      <c r="AF111" s="99"/>
      <c r="AG111" s="99"/>
      <c r="AH111" s="99"/>
      <c r="AI111" s="100"/>
      <c r="AJ111" s="100"/>
      <c r="AK111" s="100"/>
      <c r="AL111" s="45" t="s">
        <v>64</v>
      </c>
      <c r="AM111" s="198" t="str">
        <f t="shared" si="8"/>
        <v>3/2026</v>
      </c>
      <c r="AN111" s="45">
        <f t="shared" si="9"/>
        <v>4</v>
      </c>
      <c r="AO111" s="45" t="str">
        <f t="shared" si="10"/>
        <v>1/1900</v>
      </c>
      <c r="AP111" s="45" t="e">
        <f t="shared" si="11"/>
        <v>#NUM!</v>
      </c>
      <c r="AQ111" s="45">
        <f t="shared" si="12"/>
        <v>0</v>
      </c>
      <c r="AR111" s="45">
        <f t="shared" si="13"/>
        <v>0</v>
      </c>
      <c r="AS111" s="45">
        <f t="shared" si="14"/>
        <v>0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customHeight="1" x14ac:dyDescent="0.3">
      <c r="A112" s="87" t="s">
        <v>65</v>
      </c>
      <c r="B112" s="88">
        <v>46104</v>
      </c>
      <c r="C112" s="89" t="s">
        <v>66</v>
      </c>
      <c r="D112" s="89" t="s">
        <v>49</v>
      </c>
      <c r="E112" s="90">
        <v>741901374</v>
      </c>
      <c r="F112" s="220" t="s">
        <v>330</v>
      </c>
      <c r="G112" s="92"/>
      <c r="H112" s="93">
        <v>19565</v>
      </c>
      <c r="I112" s="89">
        <v>72</v>
      </c>
      <c r="J112" s="89" t="s">
        <v>51</v>
      </c>
      <c r="K112" s="89" t="s">
        <v>271</v>
      </c>
      <c r="L112" s="89" t="s">
        <v>293</v>
      </c>
      <c r="M112" s="89"/>
      <c r="N112" s="89" t="s">
        <v>107</v>
      </c>
      <c r="O112" s="94" t="s">
        <v>331</v>
      </c>
      <c r="P112" s="95" t="s">
        <v>55</v>
      </c>
      <c r="Q112" s="144" t="s">
        <v>70</v>
      </c>
      <c r="R112" s="96">
        <v>46171</v>
      </c>
      <c r="S112" s="97"/>
      <c r="T112" s="97" t="s">
        <v>57</v>
      </c>
      <c r="U112" s="97" t="s">
        <v>71</v>
      </c>
      <c r="V112" s="93">
        <v>46122</v>
      </c>
      <c r="W112" s="93">
        <v>46126</v>
      </c>
      <c r="X112" s="93">
        <v>46141</v>
      </c>
      <c r="Y112" s="98"/>
      <c r="Z112" s="89" t="s">
        <v>60</v>
      </c>
      <c r="AA112" s="97">
        <v>46178</v>
      </c>
      <c r="AB112" s="89" t="s">
        <v>110</v>
      </c>
      <c r="AC112" s="120"/>
      <c r="AD112" s="89"/>
      <c r="AE112" s="89"/>
      <c r="AF112" s="99"/>
      <c r="AG112" s="99"/>
      <c r="AH112" s="99"/>
      <c r="AI112" s="100"/>
      <c r="AJ112" s="100" t="s">
        <v>62</v>
      </c>
      <c r="AK112" s="100" t="s">
        <v>47</v>
      </c>
      <c r="AL112" s="45" t="s">
        <v>64</v>
      </c>
      <c r="AM112" s="198" t="str">
        <f t="shared" si="8"/>
        <v>3/2026</v>
      </c>
      <c r="AN112" s="45">
        <f t="shared" si="9"/>
        <v>4</v>
      </c>
      <c r="AO112" s="45" t="str">
        <f t="shared" si="10"/>
        <v>5/2026</v>
      </c>
      <c r="AP112" s="45">
        <f t="shared" si="11"/>
        <v>5</v>
      </c>
      <c r="AQ112" s="45">
        <f t="shared" si="12"/>
        <v>67</v>
      </c>
      <c r="AR112" s="45">
        <f t="shared" si="13"/>
        <v>0</v>
      </c>
      <c r="AS112" s="45">
        <f t="shared" si="14"/>
        <v>9.5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customHeight="1" x14ac:dyDescent="0.3">
      <c r="A113" s="87" t="s">
        <v>65</v>
      </c>
      <c r="B113" s="88">
        <v>46104</v>
      </c>
      <c r="C113" s="89" t="s">
        <v>66</v>
      </c>
      <c r="D113" s="89" t="s">
        <v>49</v>
      </c>
      <c r="E113" s="90">
        <v>771015836</v>
      </c>
      <c r="F113" s="220" t="s">
        <v>332</v>
      </c>
      <c r="G113" s="92"/>
      <c r="H113" s="93">
        <v>16867</v>
      </c>
      <c r="I113" s="89">
        <v>80</v>
      </c>
      <c r="J113" s="89" t="s">
        <v>51</v>
      </c>
      <c r="K113" s="89" t="s">
        <v>52</v>
      </c>
      <c r="L113" s="89" t="s">
        <v>275</v>
      </c>
      <c r="M113" s="89"/>
      <c r="N113" s="89" t="s">
        <v>92</v>
      </c>
      <c r="O113" s="94" t="s">
        <v>333</v>
      </c>
      <c r="P113" s="95" t="s">
        <v>55</v>
      </c>
      <c r="Q113" s="144" t="s">
        <v>136</v>
      </c>
      <c r="R113" s="96"/>
      <c r="S113" s="97">
        <v>46150</v>
      </c>
      <c r="T113" s="97" t="s">
        <v>183</v>
      </c>
      <c r="U113" s="97" t="s">
        <v>58</v>
      </c>
      <c r="V113" s="93">
        <v>46122</v>
      </c>
      <c r="W113" s="93">
        <v>46126</v>
      </c>
      <c r="X113" s="93">
        <v>46141</v>
      </c>
      <c r="Y113" s="98"/>
      <c r="Z113" s="89"/>
      <c r="AA113" s="97"/>
      <c r="AB113" s="89"/>
      <c r="AC113" s="120"/>
      <c r="AD113" s="89"/>
      <c r="AE113" s="89"/>
      <c r="AF113" s="99"/>
      <c r="AG113" s="99"/>
      <c r="AH113" s="99"/>
      <c r="AI113" s="100"/>
      <c r="AJ113" s="100"/>
      <c r="AK113" s="100"/>
      <c r="AL113" s="45" t="s">
        <v>64</v>
      </c>
      <c r="AM113" s="198" t="str">
        <f t="shared" si="8"/>
        <v>3/2026</v>
      </c>
      <c r="AN113" s="45">
        <f t="shared" si="9"/>
        <v>4</v>
      </c>
      <c r="AO113" s="45" t="str">
        <f t="shared" si="10"/>
        <v>1/1900</v>
      </c>
      <c r="AP113" s="45" t="e">
        <f t="shared" si="11"/>
        <v>#NUM!</v>
      </c>
      <c r="AQ113" s="45">
        <f t="shared" si="12"/>
        <v>0</v>
      </c>
      <c r="AR113" s="45">
        <f t="shared" si="13"/>
        <v>0</v>
      </c>
      <c r="AS113" s="45">
        <f t="shared" si="14"/>
        <v>0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customHeight="1" x14ac:dyDescent="0.3">
      <c r="A114" s="87" t="s">
        <v>65</v>
      </c>
      <c r="B114" s="88">
        <v>46104</v>
      </c>
      <c r="C114" s="89" t="s">
        <v>66</v>
      </c>
      <c r="D114" s="89" t="s">
        <v>49</v>
      </c>
      <c r="E114" s="90">
        <v>594075483</v>
      </c>
      <c r="F114" s="220" t="s">
        <v>334</v>
      </c>
      <c r="G114" s="92">
        <v>10872920852</v>
      </c>
      <c r="H114" s="93">
        <v>26050</v>
      </c>
      <c r="I114" s="89">
        <v>54</v>
      </c>
      <c r="J114" s="89" t="s">
        <v>77</v>
      </c>
      <c r="K114" s="89" t="s">
        <v>52</v>
      </c>
      <c r="L114" s="89" t="s">
        <v>335</v>
      </c>
      <c r="M114" s="89"/>
      <c r="N114" s="89" t="s">
        <v>79</v>
      </c>
      <c r="O114" s="94" t="s">
        <v>336</v>
      </c>
      <c r="P114" s="95" t="s">
        <v>55</v>
      </c>
      <c r="Q114" s="144" t="s">
        <v>70</v>
      </c>
      <c r="R114" s="96">
        <v>46128</v>
      </c>
      <c r="S114" s="97"/>
      <c r="T114" s="97" t="s">
        <v>57</v>
      </c>
      <c r="U114" s="97" t="s">
        <v>71</v>
      </c>
      <c r="V114" s="93">
        <v>46122</v>
      </c>
      <c r="W114" s="93">
        <v>46126</v>
      </c>
      <c r="X114" s="93">
        <v>46128</v>
      </c>
      <c r="Y114" s="98"/>
      <c r="Z114" s="89" t="s">
        <v>60</v>
      </c>
      <c r="AA114" s="97">
        <v>46139</v>
      </c>
      <c r="AB114" s="89" t="s">
        <v>110</v>
      </c>
      <c r="AC114" s="120">
        <v>46161</v>
      </c>
      <c r="AD114" s="89"/>
      <c r="AE114" s="89"/>
      <c r="AF114" s="99"/>
      <c r="AG114" s="99"/>
      <c r="AH114" s="99"/>
      <c r="AI114" s="100" t="s">
        <v>62</v>
      </c>
      <c r="AJ114" s="100" t="s">
        <v>47</v>
      </c>
      <c r="AK114" s="100" t="s">
        <v>62</v>
      </c>
      <c r="AL114" s="45" t="s">
        <v>64</v>
      </c>
      <c r="AM114" s="198" t="str">
        <f t="shared" si="8"/>
        <v>3/2026</v>
      </c>
      <c r="AN114" s="45">
        <f t="shared" si="9"/>
        <v>4</v>
      </c>
      <c r="AO114" s="45" t="str">
        <f t="shared" si="10"/>
        <v>4/2026</v>
      </c>
      <c r="AP114" s="45">
        <f t="shared" si="11"/>
        <v>3</v>
      </c>
      <c r="AQ114" s="45">
        <f t="shared" si="12"/>
        <v>24</v>
      </c>
      <c r="AR114" s="45">
        <f t="shared" si="13"/>
        <v>0</v>
      </c>
      <c r="AS114" s="45">
        <f t="shared" si="14"/>
        <v>3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customHeight="1" x14ac:dyDescent="0.3">
      <c r="A115" s="87" t="s">
        <v>65</v>
      </c>
      <c r="B115" s="88">
        <v>46104</v>
      </c>
      <c r="C115" s="89" t="s">
        <v>66</v>
      </c>
      <c r="D115" s="89" t="s">
        <v>49</v>
      </c>
      <c r="E115" s="90">
        <v>790276305</v>
      </c>
      <c r="F115" s="220" t="s">
        <v>337</v>
      </c>
      <c r="G115" s="92"/>
      <c r="H115" s="93">
        <v>26181</v>
      </c>
      <c r="I115" s="89">
        <v>54</v>
      </c>
      <c r="J115" s="89" t="s">
        <v>51</v>
      </c>
      <c r="K115" s="89" t="s">
        <v>52</v>
      </c>
      <c r="L115" s="89" t="s">
        <v>275</v>
      </c>
      <c r="M115" s="89"/>
      <c r="N115" s="89" t="s">
        <v>53</v>
      </c>
      <c r="O115" s="94" t="s">
        <v>338</v>
      </c>
      <c r="P115" s="95" t="s">
        <v>55</v>
      </c>
      <c r="Q115" s="144" t="s">
        <v>136</v>
      </c>
      <c r="R115" s="96"/>
      <c r="S115" s="97">
        <v>46150</v>
      </c>
      <c r="T115" s="97" t="s">
        <v>183</v>
      </c>
      <c r="U115" s="97" t="s">
        <v>58</v>
      </c>
      <c r="V115" s="93">
        <v>46122</v>
      </c>
      <c r="W115" s="93">
        <v>46126</v>
      </c>
      <c r="X115" s="93">
        <v>46141</v>
      </c>
      <c r="Y115" s="98"/>
      <c r="Z115" s="89"/>
      <c r="AA115" s="97"/>
      <c r="AB115" s="89"/>
      <c r="AC115" s="120"/>
      <c r="AD115" s="89"/>
      <c r="AE115" s="89"/>
      <c r="AF115" s="99"/>
      <c r="AG115" s="99"/>
      <c r="AH115" s="99"/>
      <c r="AI115" s="100"/>
      <c r="AJ115" s="100"/>
      <c r="AK115" s="100"/>
      <c r="AL115" s="45" t="s">
        <v>64</v>
      </c>
      <c r="AM115" s="198" t="str">
        <f t="shared" si="8"/>
        <v>3/2026</v>
      </c>
      <c r="AN115" s="45">
        <f t="shared" si="9"/>
        <v>4</v>
      </c>
      <c r="AO115" s="45" t="str">
        <f t="shared" si="10"/>
        <v>1/1900</v>
      </c>
      <c r="AP115" s="45" t="e">
        <f t="shared" si="11"/>
        <v>#NUM!</v>
      </c>
      <c r="AQ115" s="45">
        <f t="shared" si="12"/>
        <v>0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customHeight="1" x14ac:dyDescent="0.3">
      <c r="A116" s="87" t="s">
        <v>65</v>
      </c>
      <c r="B116" s="88">
        <v>46104</v>
      </c>
      <c r="C116" s="89" t="s">
        <v>66</v>
      </c>
      <c r="D116" s="89" t="s">
        <v>49</v>
      </c>
      <c r="E116" s="90">
        <v>751485209</v>
      </c>
      <c r="F116" s="220" t="s">
        <v>339</v>
      </c>
      <c r="G116" s="92">
        <v>86569236768</v>
      </c>
      <c r="H116" s="93">
        <v>16879</v>
      </c>
      <c r="I116" s="89">
        <v>80</v>
      </c>
      <c r="J116" s="89" t="s">
        <v>77</v>
      </c>
      <c r="K116" s="89" t="s">
        <v>271</v>
      </c>
      <c r="L116" s="89" t="s">
        <v>293</v>
      </c>
      <c r="M116" s="89"/>
      <c r="N116" s="89" t="s">
        <v>92</v>
      </c>
      <c r="O116" s="94" t="s">
        <v>340</v>
      </c>
      <c r="P116" s="95" t="s">
        <v>55</v>
      </c>
      <c r="Q116" s="144" t="s">
        <v>70</v>
      </c>
      <c r="R116" s="96">
        <v>46141</v>
      </c>
      <c r="S116" s="97"/>
      <c r="T116" s="97" t="s">
        <v>57</v>
      </c>
      <c r="U116" s="97" t="s">
        <v>71</v>
      </c>
      <c r="V116" s="93">
        <v>46122</v>
      </c>
      <c r="W116" s="93">
        <v>46126</v>
      </c>
      <c r="X116" s="93">
        <v>46141</v>
      </c>
      <c r="Y116" s="98"/>
      <c r="Z116" s="89" t="s">
        <v>60</v>
      </c>
      <c r="AA116" s="97">
        <v>46148</v>
      </c>
      <c r="AB116" s="89" t="s">
        <v>110</v>
      </c>
      <c r="AC116" s="120">
        <v>46161</v>
      </c>
      <c r="AD116" s="89"/>
      <c r="AE116" s="89"/>
      <c r="AF116" s="99"/>
      <c r="AG116" s="99"/>
      <c r="AH116" s="99"/>
      <c r="AI116" s="100" t="s">
        <v>62</v>
      </c>
      <c r="AJ116" s="100" t="s">
        <v>47</v>
      </c>
      <c r="AK116" s="100" t="s">
        <v>62</v>
      </c>
      <c r="AL116" s="45" t="s">
        <v>64</v>
      </c>
      <c r="AM116" s="198" t="str">
        <f t="shared" si="8"/>
        <v>3/2026</v>
      </c>
      <c r="AN116" s="45">
        <f t="shared" si="9"/>
        <v>4</v>
      </c>
      <c r="AO116" s="45" t="str">
        <f t="shared" si="10"/>
        <v>4/2026</v>
      </c>
      <c r="AP116" s="45">
        <f t="shared" si="11"/>
        <v>5</v>
      </c>
      <c r="AQ116" s="45">
        <f t="shared" si="12"/>
        <v>37</v>
      </c>
      <c r="AR116" s="45">
        <f t="shared" si="13"/>
        <v>0</v>
      </c>
      <c r="AS116" s="45">
        <f t="shared" si="14"/>
        <v>9.5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customHeight="1" x14ac:dyDescent="0.3">
      <c r="A117" s="87" t="s">
        <v>65</v>
      </c>
      <c r="B117" s="88">
        <v>46104</v>
      </c>
      <c r="C117" s="89" t="s">
        <v>66</v>
      </c>
      <c r="D117" s="89" t="s">
        <v>49</v>
      </c>
      <c r="E117" s="90">
        <v>754078833</v>
      </c>
      <c r="F117" s="220" t="s">
        <v>341</v>
      </c>
      <c r="G117" s="92"/>
      <c r="H117" s="93">
        <v>21778</v>
      </c>
      <c r="I117" s="89">
        <v>66</v>
      </c>
      <c r="J117" s="89" t="s">
        <v>77</v>
      </c>
      <c r="K117" s="89" t="s">
        <v>271</v>
      </c>
      <c r="L117" s="89" t="s">
        <v>342</v>
      </c>
      <c r="M117" s="89"/>
      <c r="N117" s="89" t="s">
        <v>53</v>
      </c>
      <c r="O117" s="94" t="s">
        <v>343</v>
      </c>
      <c r="P117" s="95" t="s">
        <v>55</v>
      </c>
      <c r="Q117" s="144" t="s">
        <v>70</v>
      </c>
      <c r="R117" s="96">
        <v>46128</v>
      </c>
      <c r="S117" s="97"/>
      <c r="T117" s="97" t="s">
        <v>57</v>
      </c>
      <c r="U117" s="97" t="s">
        <v>71</v>
      </c>
      <c r="V117" s="93">
        <v>46122</v>
      </c>
      <c r="W117" s="93">
        <v>46126</v>
      </c>
      <c r="X117" s="93">
        <v>46128</v>
      </c>
      <c r="Y117" s="98"/>
      <c r="Z117" s="89" t="s">
        <v>60</v>
      </c>
      <c r="AA117" s="97">
        <v>46135</v>
      </c>
      <c r="AB117" s="89" t="s">
        <v>110</v>
      </c>
      <c r="AC117" s="120"/>
      <c r="AD117" s="89"/>
      <c r="AE117" s="89"/>
      <c r="AF117" s="99"/>
      <c r="AG117" s="99"/>
      <c r="AH117" s="99"/>
      <c r="AI117" s="100" t="s">
        <v>62</v>
      </c>
      <c r="AJ117" s="100" t="s">
        <v>47</v>
      </c>
      <c r="AK117" s="100" t="s">
        <v>62</v>
      </c>
      <c r="AL117" s="45" t="s">
        <v>64</v>
      </c>
      <c r="AM117" s="198" t="str">
        <f t="shared" si="8"/>
        <v>3/2026</v>
      </c>
      <c r="AN117" s="45">
        <f t="shared" si="9"/>
        <v>4</v>
      </c>
      <c r="AO117" s="45" t="str">
        <f t="shared" si="10"/>
        <v>4/2026</v>
      </c>
      <c r="AP117" s="45">
        <f t="shared" si="11"/>
        <v>3</v>
      </c>
      <c r="AQ117" s="45">
        <f t="shared" si="12"/>
        <v>24</v>
      </c>
      <c r="AR117" s="45">
        <f t="shared" si="13"/>
        <v>0</v>
      </c>
      <c r="AS117" s="45">
        <f t="shared" si="14"/>
        <v>3</v>
      </c>
      <c r="AT117" s="45">
        <f t="shared" si="15"/>
        <v>0</v>
      </c>
      <c r="AU117" s="45" t="str">
        <f>_xlfn.XLOOKUP(U117,'Lista Suspensa'!$AA$20:$AA$23,'Lista Suspensa'!$AB$20:$AB$23,"N/A")</f>
        <v>S</v>
      </c>
    </row>
    <row r="118" spans="1:47" ht="12" customHeight="1" x14ac:dyDescent="0.3">
      <c r="A118" s="87" t="s">
        <v>65</v>
      </c>
      <c r="B118" s="88">
        <v>46104</v>
      </c>
      <c r="C118" s="89" t="s">
        <v>66</v>
      </c>
      <c r="D118" s="89" t="s">
        <v>49</v>
      </c>
      <c r="E118" s="90">
        <v>805177159</v>
      </c>
      <c r="F118" s="220" t="s">
        <v>344</v>
      </c>
      <c r="G118" s="92"/>
      <c r="H118" s="93">
        <v>21349</v>
      </c>
      <c r="I118" s="89">
        <v>67</v>
      </c>
      <c r="J118" s="89" t="s">
        <v>51</v>
      </c>
      <c r="K118" s="89" t="s">
        <v>52</v>
      </c>
      <c r="L118" s="89" t="s">
        <v>275</v>
      </c>
      <c r="M118" s="89"/>
      <c r="N118" s="89" t="s">
        <v>53</v>
      </c>
      <c r="O118" s="94" t="s">
        <v>345</v>
      </c>
      <c r="P118" s="95" t="s">
        <v>55</v>
      </c>
      <c r="Q118" s="144" t="s">
        <v>136</v>
      </c>
      <c r="R118" s="96"/>
      <c r="S118" s="97">
        <v>46150</v>
      </c>
      <c r="T118" s="97" t="s">
        <v>183</v>
      </c>
      <c r="U118" s="97" t="s">
        <v>58</v>
      </c>
      <c r="V118" s="93">
        <v>46122</v>
      </c>
      <c r="W118" s="93">
        <v>46126</v>
      </c>
      <c r="X118" s="93">
        <v>46141</v>
      </c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/>
      <c r="AJ118" s="100"/>
      <c r="AK118" s="100"/>
      <c r="AL118" s="45" t="s">
        <v>64</v>
      </c>
      <c r="AM118" s="198" t="str">
        <f t="shared" si="8"/>
        <v>3/2026</v>
      </c>
      <c r="AN118" s="45">
        <f t="shared" si="9"/>
        <v>4</v>
      </c>
      <c r="AO118" s="45" t="str">
        <f t="shared" si="10"/>
        <v>1/1900</v>
      </c>
      <c r="AP118" s="45" t="e">
        <f t="shared" si="11"/>
        <v>#NUM!</v>
      </c>
      <c r="AQ118" s="45">
        <f t="shared" si="12"/>
        <v>0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customHeight="1" x14ac:dyDescent="0.3">
      <c r="A119" s="87" t="s">
        <v>65</v>
      </c>
      <c r="B119" s="88">
        <v>46104</v>
      </c>
      <c r="C119" s="89" t="s">
        <v>66</v>
      </c>
      <c r="D119" s="89" t="s">
        <v>49</v>
      </c>
      <c r="E119" s="90">
        <v>774115645</v>
      </c>
      <c r="F119" s="220" t="s">
        <v>346</v>
      </c>
      <c r="G119" s="92"/>
      <c r="H119" s="93">
        <v>15582</v>
      </c>
      <c r="I119" s="89">
        <v>83</v>
      </c>
      <c r="J119" s="89" t="s">
        <v>77</v>
      </c>
      <c r="K119" s="89" t="s">
        <v>52</v>
      </c>
      <c r="L119" s="89" t="s">
        <v>275</v>
      </c>
      <c r="M119" s="89"/>
      <c r="N119" s="89" t="s">
        <v>92</v>
      </c>
      <c r="O119" s="94" t="s">
        <v>347</v>
      </c>
      <c r="P119" s="95" t="s">
        <v>55</v>
      </c>
      <c r="Q119" s="144" t="s">
        <v>70</v>
      </c>
      <c r="R119" s="96">
        <v>46128</v>
      </c>
      <c r="S119" s="97"/>
      <c r="T119" s="97" t="s">
        <v>57</v>
      </c>
      <c r="U119" s="97" t="s">
        <v>71</v>
      </c>
      <c r="V119" s="93">
        <v>46122</v>
      </c>
      <c r="W119" s="93">
        <v>46126</v>
      </c>
      <c r="X119" s="93">
        <v>46128</v>
      </c>
      <c r="Y119" s="98"/>
      <c r="Z119" s="89" t="s">
        <v>60</v>
      </c>
      <c r="AA119" s="97">
        <v>46135</v>
      </c>
      <c r="AB119" s="89" t="s">
        <v>110</v>
      </c>
      <c r="AC119" s="120"/>
      <c r="AD119" s="89"/>
      <c r="AE119" s="89"/>
      <c r="AF119" s="99"/>
      <c r="AG119" s="99"/>
      <c r="AH119" s="99"/>
      <c r="AI119" s="100" t="s">
        <v>62</v>
      </c>
      <c r="AJ119" s="100" t="s">
        <v>47</v>
      </c>
      <c r="AK119" s="100" t="s">
        <v>62</v>
      </c>
      <c r="AL119" s="45" t="s">
        <v>64</v>
      </c>
      <c r="AM119" s="198" t="str">
        <f t="shared" si="8"/>
        <v>3/2026</v>
      </c>
      <c r="AN119" s="45">
        <f t="shared" si="9"/>
        <v>4</v>
      </c>
      <c r="AO119" s="45" t="str">
        <f t="shared" si="10"/>
        <v>4/2026</v>
      </c>
      <c r="AP119" s="45">
        <f t="shared" si="11"/>
        <v>3</v>
      </c>
      <c r="AQ119" s="45">
        <f t="shared" si="12"/>
        <v>24</v>
      </c>
      <c r="AR119" s="45">
        <f t="shared" si="13"/>
        <v>0</v>
      </c>
      <c r="AS119" s="45">
        <f t="shared" si="14"/>
        <v>3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customHeight="1" x14ac:dyDescent="0.3">
      <c r="A120" s="87" t="s">
        <v>65</v>
      </c>
      <c r="B120" s="88">
        <v>46104</v>
      </c>
      <c r="C120" s="89" t="s">
        <v>66</v>
      </c>
      <c r="D120" s="89" t="s">
        <v>49</v>
      </c>
      <c r="E120" s="90">
        <v>867294183</v>
      </c>
      <c r="F120" s="220" t="s">
        <v>348</v>
      </c>
      <c r="G120" s="92"/>
      <c r="H120" s="93">
        <v>19438</v>
      </c>
      <c r="I120" s="89">
        <v>73</v>
      </c>
      <c r="J120" s="89" t="s">
        <v>77</v>
      </c>
      <c r="K120" s="89" t="s">
        <v>52</v>
      </c>
      <c r="L120" s="89" t="s">
        <v>275</v>
      </c>
      <c r="M120" s="89"/>
      <c r="N120" s="89" t="s">
        <v>107</v>
      </c>
      <c r="O120" s="94" t="s">
        <v>349</v>
      </c>
      <c r="P120" s="95" t="s">
        <v>55</v>
      </c>
      <c r="Q120" s="144" t="s">
        <v>70</v>
      </c>
      <c r="R120" s="96">
        <v>46129</v>
      </c>
      <c r="S120" s="97"/>
      <c r="T120" s="97" t="s">
        <v>57</v>
      </c>
      <c r="U120" s="97" t="s">
        <v>71</v>
      </c>
      <c r="V120" s="93">
        <v>46122</v>
      </c>
      <c r="W120" s="93">
        <v>46126</v>
      </c>
      <c r="X120" s="93">
        <v>46141</v>
      </c>
      <c r="Y120" s="98"/>
      <c r="Z120" s="89" t="s">
        <v>60</v>
      </c>
      <c r="AA120" s="97">
        <v>46157</v>
      </c>
      <c r="AB120" s="89" t="s">
        <v>110</v>
      </c>
      <c r="AC120" s="120"/>
      <c r="AD120" s="89"/>
      <c r="AE120" s="89"/>
      <c r="AF120" s="99"/>
      <c r="AG120" s="99"/>
      <c r="AH120" s="99"/>
      <c r="AI120" s="100" t="s">
        <v>62</v>
      </c>
      <c r="AJ120" s="100" t="s">
        <v>62</v>
      </c>
      <c r="AK120" s="100" t="s">
        <v>62</v>
      </c>
      <c r="AL120" s="45" t="s">
        <v>64</v>
      </c>
      <c r="AM120" s="198" t="str">
        <f t="shared" si="8"/>
        <v>3/2026</v>
      </c>
      <c r="AN120" s="45">
        <f t="shared" si="9"/>
        <v>4</v>
      </c>
      <c r="AO120" s="45" t="str">
        <f t="shared" si="10"/>
        <v>4/2026</v>
      </c>
      <c r="AP120" s="45">
        <f t="shared" si="11"/>
        <v>3</v>
      </c>
      <c r="AQ120" s="45">
        <f t="shared" si="12"/>
        <v>25</v>
      </c>
      <c r="AR120" s="45">
        <f t="shared" si="13"/>
        <v>0</v>
      </c>
      <c r="AS120" s="45">
        <f t="shared" si="14"/>
        <v>9.5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customHeight="1" x14ac:dyDescent="0.3">
      <c r="A121" s="87" t="s">
        <v>65</v>
      </c>
      <c r="B121" s="88">
        <v>46104</v>
      </c>
      <c r="C121" s="89" t="s">
        <v>66</v>
      </c>
      <c r="D121" s="89" t="s">
        <v>49</v>
      </c>
      <c r="E121" s="90">
        <v>867344180</v>
      </c>
      <c r="F121" s="220" t="s">
        <v>350</v>
      </c>
      <c r="G121" s="92"/>
      <c r="H121" s="93">
        <v>17147</v>
      </c>
      <c r="I121" s="89">
        <v>79</v>
      </c>
      <c r="J121" s="89" t="s">
        <v>51</v>
      </c>
      <c r="K121" s="89" t="s">
        <v>52</v>
      </c>
      <c r="L121" s="89" t="s">
        <v>328</v>
      </c>
      <c r="M121" s="89"/>
      <c r="N121" s="89" t="s">
        <v>53</v>
      </c>
      <c r="O121" s="94" t="s">
        <v>351</v>
      </c>
      <c r="P121" s="95" t="s">
        <v>55</v>
      </c>
      <c r="Q121" s="144" t="s">
        <v>70</v>
      </c>
      <c r="R121" s="96">
        <v>46171</v>
      </c>
      <c r="S121" s="97"/>
      <c r="T121" s="97" t="s">
        <v>57</v>
      </c>
      <c r="U121" s="97" t="s">
        <v>71</v>
      </c>
      <c r="V121" s="93">
        <v>46122</v>
      </c>
      <c r="W121" s="93">
        <v>46126</v>
      </c>
      <c r="X121" s="93">
        <v>46141</v>
      </c>
      <c r="Y121" s="98"/>
      <c r="Z121" s="89" t="s">
        <v>60</v>
      </c>
      <c r="AA121" s="97">
        <v>46176</v>
      </c>
      <c r="AB121" s="89" t="s">
        <v>110</v>
      </c>
      <c r="AC121" s="120"/>
      <c r="AD121" s="89"/>
      <c r="AE121" s="89"/>
      <c r="AF121" s="99"/>
      <c r="AG121" s="99"/>
      <c r="AH121" s="99"/>
      <c r="AI121" s="100"/>
      <c r="AJ121" s="100" t="s">
        <v>62</v>
      </c>
      <c r="AK121" s="100" t="s">
        <v>47</v>
      </c>
      <c r="AL121" s="45" t="s">
        <v>64</v>
      </c>
      <c r="AM121" s="198" t="str">
        <f t="shared" si="8"/>
        <v>3/2026</v>
      </c>
      <c r="AN121" s="45">
        <f t="shared" si="9"/>
        <v>4</v>
      </c>
      <c r="AO121" s="45" t="str">
        <f t="shared" si="10"/>
        <v>5/2026</v>
      </c>
      <c r="AP121" s="45">
        <f t="shared" si="11"/>
        <v>5</v>
      </c>
      <c r="AQ121" s="45">
        <f t="shared" si="12"/>
        <v>67</v>
      </c>
      <c r="AR121" s="45">
        <f t="shared" si="13"/>
        <v>0</v>
      </c>
      <c r="AS121" s="45">
        <f t="shared" si="14"/>
        <v>9.5</v>
      </c>
      <c r="AT121" s="45">
        <f t="shared" si="15"/>
        <v>0</v>
      </c>
      <c r="AU121" s="45" t="str">
        <f>_xlfn.XLOOKUP(U121,'Lista Suspensa'!$AA$20:$AA$23,'Lista Suspensa'!$AB$20:$AB$23,"N/A")</f>
        <v>S</v>
      </c>
    </row>
    <row r="122" spans="1:47" ht="12" customHeight="1" x14ac:dyDescent="0.3">
      <c r="A122" s="87" t="s">
        <v>65</v>
      </c>
      <c r="B122" s="88">
        <v>46104</v>
      </c>
      <c r="C122" s="89" t="s">
        <v>66</v>
      </c>
      <c r="D122" s="89" t="s">
        <v>49</v>
      </c>
      <c r="E122" s="90">
        <v>860405532</v>
      </c>
      <c r="F122" s="220" t="s">
        <v>352</v>
      </c>
      <c r="G122" s="92">
        <v>8482081888</v>
      </c>
      <c r="H122" s="93">
        <v>17384</v>
      </c>
      <c r="I122" s="89">
        <v>78</v>
      </c>
      <c r="J122" s="89" t="s">
        <v>77</v>
      </c>
      <c r="K122" s="89" t="s">
        <v>52</v>
      </c>
      <c r="L122" s="89" t="s">
        <v>275</v>
      </c>
      <c r="M122" s="89"/>
      <c r="N122" s="89" t="s">
        <v>53</v>
      </c>
      <c r="O122" s="94" t="s">
        <v>353</v>
      </c>
      <c r="P122" s="95" t="s">
        <v>55</v>
      </c>
      <c r="Q122" s="144" t="s">
        <v>70</v>
      </c>
      <c r="R122" s="96">
        <v>46128</v>
      </c>
      <c r="S122" s="97"/>
      <c r="T122" s="97" t="s">
        <v>57</v>
      </c>
      <c r="U122" s="97" t="s">
        <v>71</v>
      </c>
      <c r="V122" s="93">
        <v>46122</v>
      </c>
      <c r="W122" s="93">
        <v>46126</v>
      </c>
      <c r="X122" s="93">
        <v>46128</v>
      </c>
      <c r="Y122" s="98" t="s">
        <v>354</v>
      </c>
      <c r="Z122" s="89" t="s">
        <v>60</v>
      </c>
      <c r="AA122" s="97">
        <v>46134</v>
      </c>
      <c r="AB122" s="89" t="s">
        <v>110</v>
      </c>
      <c r="AC122" s="120">
        <v>46161</v>
      </c>
      <c r="AD122" s="89"/>
      <c r="AE122" s="89"/>
      <c r="AF122" s="99"/>
      <c r="AG122" s="99"/>
      <c r="AH122" s="99"/>
      <c r="AI122" s="100" t="s">
        <v>62</v>
      </c>
      <c r="AJ122" s="100" t="s">
        <v>47</v>
      </c>
      <c r="AK122" s="100" t="s">
        <v>62</v>
      </c>
      <c r="AL122" s="45" t="s">
        <v>64</v>
      </c>
      <c r="AM122" s="198" t="str">
        <f t="shared" si="8"/>
        <v>3/2026</v>
      </c>
      <c r="AN122" s="45">
        <f t="shared" si="9"/>
        <v>4</v>
      </c>
      <c r="AO122" s="45" t="str">
        <f t="shared" si="10"/>
        <v>4/2026</v>
      </c>
      <c r="AP122" s="45">
        <f t="shared" si="11"/>
        <v>3</v>
      </c>
      <c r="AQ122" s="45">
        <f t="shared" si="12"/>
        <v>24</v>
      </c>
      <c r="AR122" s="45">
        <f t="shared" si="13"/>
        <v>0</v>
      </c>
      <c r="AS122" s="45">
        <f t="shared" si="14"/>
        <v>3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customHeight="1" x14ac:dyDescent="0.3">
      <c r="A123" s="87" t="s">
        <v>65</v>
      </c>
      <c r="B123" s="88">
        <v>46104</v>
      </c>
      <c r="C123" s="89" t="s">
        <v>66</v>
      </c>
      <c r="D123" s="89" t="s">
        <v>49</v>
      </c>
      <c r="E123" s="90">
        <v>868333034</v>
      </c>
      <c r="F123" s="220" t="s">
        <v>355</v>
      </c>
      <c r="G123" s="92"/>
      <c r="H123" s="93">
        <v>19092</v>
      </c>
      <c r="I123" s="89">
        <v>73</v>
      </c>
      <c r="J123" s="89" t="s">
        <v>51</v>
      </c>
      <c r="K123" s="89" t="s">
        <v>52</v>
      </c>
      <c r="L123" s="89" t="s">
        <v>275</v>
      </c>
      <c r="M123" s="89"/>
      <c r="N123" s="89" t="s">
        <v>53</v>
      </c>
      <c r="O123" s="94" t="s">
        <v>356</v>
      </c>
      <c r="P123" s="95" t="s">
        <v>55</v>
      </c>
      <c r="Q123" s="144" t="s">
        <v>136</v>
      </c>
      <c r="R123" s="96"/>
      <c r="S123" s="97">
        <v>46150</v>
      </c>
      <c r="T123" s="97" t="s">
        <v>183</v>
      </c>
      <c r="U123" s="97" t="s">
        <v>58</v>
      </c>
      <c r="V123" s="93">
        <v>46122</v>
      </c>
      <c r="W123" s="93">
        <v>46126</v>
      </c>
      <c r="X123" s="93">
        <v>46141</v>
      </c>
      <c r="Y123" s="98"/>
      <c r="Z123" s="89"/>
      <c r="AA123" s="97"/>
      <c r="AB123" s="89"/>
      <c r="AC123" s="120"/>
      <c r="AD123" s="89"/>
      <c r="AE123" s="89"/>
      <c r="AF123" s="99"/>
      <c r="AG123" s="99"/>
      <c r="AH123" s="99"/>
      <c r="AI123" s="100"/>
      <c r="AJ123" s="100"/>
      <c r="AK123" s="100"/>
      <c r="AL123" s="45" t="s">
        <v>64</v>
      </c>
      <c r="AM123" s="198" t="str">
        <f t="shared" si="8"/>
        <v>3/2026</v>
      </c>
      <c r="AN123" s="45">
        <f t="shared" si="9"/>
        <v>4</v>
      </c>
      <c r="AO123" s="45" t="str">
        <f t="shared" si="10"/>
        <v>1/1900</v>
      </c>
      <c r="AP123" s="45" t="e">
        <f t="shared" si="11"/>
        <v>#NUM!</v>
      </c>
      <c r="AQ123" s="45">
        <f t="shared" si="12"/>
        <v>0</v>
      </c>
      <c r="AR123" s="45">
        <f t="shared" si="13"/>
        <v>0</v>
      </c>
      <c r="AS123" s="45">
        <f t="shared" si="14"/>
        <v>0</v>
      </c>
      <c r="AT123" s="45">
        <f t="shared" si="15"/>
        <v>0</v>
      </c>
      <c r="AU123" s="45" t="str">
        <f>_xlfn.XLOOKUP(U123,'Lista Suspensa'!$AA$20:$AA$23,'Lista Suspensa'!$AB$20:$AB$23,"N/A")</f>
        <v>S</v>
      </c>
    </row>
    <row r="124" spans="1:47" ht="12" customHeight="1" x14ac:dyDescent="0.3">
      <c r="A124" s="87" t="s">
        <v>47</v>
      </c>
      <c r="B124" s="88">
        <v>46104</v>
      </c>
      <c r="C124" s="89" t="s">
        <v>48</v>
      </c>
      <c r="D124" s="89" t="s">
        <v>49</v>
      </c>
      <c r="E124" s="90">
        <v>94204174</v>
      </c>
      <c r="F124" s="220" t="s">
        <v>357</v>
      </c>
      <c r="G124" s="92" t="s">
        <v>358</v>
      </c>
      <c r="H124" s="93">
        <v>22941</v>
      </c>
      <c r="I124" s="89">
        <v>63</v>
      </c>
      <c r="J124" s="89" t="s">
        <v>51</v>
      </c>
      <c r="K124" s="89" t="s">
        <v>52</v>
      </c>
      <c r="L124" s="89"/>
      <c r="M124" s="89"/>
      <c r="N124" s="89"/>
      <c r="O124" s="94">
        <v>11976399518</v>
      </c>
      <c r="P124" s="95" t="s">
        <v>55</v>
      </c>
      <c r="Q124" s="144" t="s">
        <v>56</v>
      </c>
      <c r="R124" s="96">
        <v>46141</v>
      </c>
      <c r="S124" s="97">
        <v>46146</v>
      </c>
      <c r="T124" s="97" t="s">
        <v>57</v>
      </c>
      <c r="U124" s="97" t="s">
        <v>58</v>
      </c>
      <c r="V124" s="93">
        <v>46111</v>
      </c>
      <c r="W124" s="93">
        <v>46126</v>
      </c>
      <c r="X124" s="93">
        <v>46141</v>
      </c>
      <c r="Y124" s="98" t="s">
        <v>359</v>
      </c>
      <c r="Z124" s="89" t="s">
        <v>60</v>
      </c>
      <c r="AA124" s="97">
        <v>46146</v>
      </c>
      <c r="AB124" s="89" t="s">
        <v>61</v>
      </c>
      <c r="AC124" s="120"/>
      <c r="AD124" s="89"/>
      <c r="AE124" s="89"/>
      <c r="AF124" s="99"/>
      <c r="AG124" s="99"/>
      <c r="AH124" s="99"/>
      <c r="AI124" s="100" t="s">
        <v>62</v>
      </c>
      <c r="AJ124" s="100" t="s">
        <v>63</v>
      </c>
      <c r="AK124" s="100" t="s">
        <v>47</v>
      </c>
      <c r="AL124" s="45" t="s">
        <v>64</v>
      </c>
      <c r="AM124" s="198" t="str">
        <f t="shared" si="8"/>
        <v>3/2026</v>
      </c>
      <c r="AN124" s="45">
        <f t="shared" si="9"/>
        <v>4</v>
      </c>
      <c r="AO124" s="45" t="str">
        <f t="shared" si="10"/>
        <v>4/2026</v>
      </c>
      <c r="AP124" s="45">
        <f t="shared" si="11"/>
        <v>5</v>
      </c>
      <c r="AQ124" s="45">
        <f t="shared" si="12"/>
        <v>0</v>
      </c>
      <c r="AR124" s="45">
        <f t="shared" si="13"/>
        <v>5</v>
      </c>
      <c r="AS124" s="45">
        <f t="shared" si="14"/>
        <v>0</v>
      </c>
      <c r="AT124" s="45">
        <f t="shared" si="15"/>
        <v>0</v>
      </c>
      <c r="AU124" s="45" t="str">
        <f>_xlfn.XLOOKUP(U124,'Lista Suspensa'!$AA$20:$AA$23,'Lista Suspensa'!$AB$20:$AB$23,"N/A")</f>
        <v>S</v>
      </c>
    </row>
    <row r="125" spans="1:47" ht="12" customHeight="1" x14ac:dyDescent="0.3">
      <c r="A125" s="87" t="s">
        <v>65</v>
      </c>
      <c r="B125" s="88">
        <v>46104</v>
      </c>
      <c r="C125" s="89" t="s">
        <v>66</v>
      </c>
      <c r="D125" s="89" t="s">
        <v>49</v>
      </c>
      <c r="E125" s="90">
        <v>22646710</v>
      </c>
      <c r="F125" s="220" t="s">
        <v>360</v>
      </c>
      <c r="G125" s="92">
        <v>18039400856</v>
      </c>
      <c r="H125" s="93">
        <v>27540</v>
      </c>
      <c r="I125" s="89">
        <v>50</v>
      </c>
      <c r="J125" s="89" t="s">
        <v>51</v>
      </c>
      <c r="K125" s="89" t="s">
        <v>52</v>
      </c>
      <c r="L125" s="89" t="s">
        <v>275</v>
      </c>
      <c r="M125" s="89"/>
      <c r="N125" s="89" t="s">
        <v>151</v>
      </c>
      <c r="O125" s="94" t="s">
        <v>361</v>
      </c>
      <c r="P125" s="95" t="s">
        <v>55</v>
      </c>
      <c r="Q125" s="144" t="s">
        <v>56</v>
      </c>
      <c r="R125" s="96">
        <v>46128</v>
      </c>
      <c r="S125" s="97">
        <v>46140</v>
      </c>
      <c r="T125" s="97" t="s">
        <v>57</v>
      </c>
      <c r="U125" s="97" t="s">
        <v>58</v>
      </c>
      <c r="V125" s="93">
        <v>46111</v>
      </c>
      <c r="W125" s="93">
        <v>46126</v>
      </c>
      <c r="X125" s="93">
        <v>46128</v>
      </c>
      <c r="Y125" s="98" t="s">
        <v>362</v>
      </c>
      <c r="Z125" s="89" t="s">
        <v>60</v>
      </c>
      <c r="AA125" s="97">
        <v>46139</v>
      </c>
      <c r="AB125" s="89" t="s">
        <v>61</v>
      </c>
      <c r="AC125" s="120">
        <v>46153</v>
      </c>
      <c r="AD125" s="89"/>
      <c r="AE125" s="89"/>
      <c r="AF125" s="99"/>
      <c r="AG125" s="99"/>
      <c r="AH125" s="99"/>
      <c r="AI125" s="100" t="s">
        <v>62</v>
      </c>
      <c r="AJ125" s="100" t="s">
        <v>63</v>
      </c>
      <c r="AK125" s="100"/>
      <c r="AL125" s="45" t="s">
        <v>64</v>
      </c>
      <c r="AM125" s="198" t="str">
        <f t="shared" si="8"/>
        <v>3/2026</v>
      </c>
      <c r="AN125" s="45">
        <f t="shared" si="9"/>
        <v>4</v>
      </c>
      <c r="AO125" s="45" t="str">
        <f t="shared" si="10"/>
        <v>4/2026</v>
      </c>
      <c r="AP125" s="45">
        <f t="shared" si="11"/>
        <v>3</v>
      </c>
      <c r="AQ125" s="45">
        <f t="shared" si="12"/>
        <v>0</v>
      </c>
      <c r="AR125" s="45">
        <f t="shared" si="13"/>
        <v>12</v>
      </c>
      <c r="AS125" s="45">
        <f t="shared" si="14"/>
        <v>0</v>
      </c>
      <c r="AT125" s="45">
        <f t="shared" si="15"/>
        <v>0</v>
      </c>
      <c r="AU125" s="45" t="str">
        <f>_xlfn.XLOOKUP(U125,'Lista Suspensa'!$AA$20:$AA$23,'Lista Suspensa'!$AB$20:$AB$23,"N/A")</f>
        <v>S</v>
      </c>
    </row>
    <row r="126" spans="1:47" ht="12" customHeight="1" x14ac:dyDescent="0.3">
      <c r="A126" s="87" t="s">
        <v>47</v>
      </c>
      <c r="B126" s="88">
        <v>46104</v>
      </c>
      <c r="C126" s="89" t="s">
        <v>48</v>
      </c>
      <c r="D126" s="89" t="s">
        <v>49</v>
      </c>
      <c r="E126" s="90">
        <v>89647515</v>
      </c>
      <c r="F126" s="220" t="s">
        <v>363</v>
      </c>
      <c r="G126" s="92" t="s">
        <v>364</v>
      </c>
      <c r="H126" s="93">
        <v>31406</v>
      </c>
      <c r="I126" s="89">
        <v>40</v>
      </c>
      <c r="J126" s="89" t="s">
        <v>51</v>
      </c>
      <c r="K126" s="89" t="s">
        <v>52</v>
      </c>
      <c r="L126" s="89"/>
      <c r="M126" s="89"/>
      <c r="N126" s="89"/>
      <c r="O126" s="94" t="s">
        <v>365</v>
      </c>
      <c r="P126" s="95" t="s">
        <v>55</v>
      </c>
      <c r="Q126" s="144" t="s">
        <v>70</v>
      </c>
      <c r="R126" s="96">
        <v>46111</v>
      </c>
      <c r="S126" s="97"/>
      <c r="T126" s="97" t="s">
        <v>57</v>
      </c>
      <c r="U126" s="97" t="s">
        <v>71</v>
      </c>
      <c r="V126" s="93">
        <v>46111</v>
      </c>
      <c r="W126" s="93" t="s">
        <v>72</v>
      </c>
      <c r="X126" s="93" t="s">
        <v>72</v>
      </c>
      <c r="Y126" s="98"/>
      <c r="Z126" s="89" t="s">
        <v>60</v>
      </c>
      <c r="AA126" s="97">
        <v>46119</v>
      </c>
      <c r="AB126" s="89" t="s">
        <v>61</v>
      </c>
      <c r="AC126" s="120"/>
      <c r="AD126" s="89"/>
      <c r="AE126" s="89"/>
      <c r="AF126" s="99"/>
      <c r="AG126" s="99"/>
      <c r="AH126" s="99"/>
      <c r="AI126" s="100" t="s">
        <v>62</v>
      </c>
      <c r="AJ126" s="100" t="s">
        <v>47</v>
      </c>
      <c r="AK126" s="100" t="s">
        <v>47</v>
      </c>
      <c r="AL126" s="45" t="s">
        <v>64</v>
      </c>
      <c r="AM126" s="198" t="str">
        <f t="shared" si="8"/>
        <v>3/2026</v>
      </c>
      <c r="AN126" s="45">
        <f t="shared" si="9"/>
        <v>4</v>
      </c>
      <c r="AO126" s="45" t="str">
        <f t="shared" si="10"/>
        <v>3/2026</v>
      </c>
      <c r="AP126" s="45">
        <f t="shared" si="11"/>
        <v>5</v>
      </c>
      <c r="AQ126" s="45">
        <f t="shared" si="12"/>
        <v>7</v>
      </c>
      <c r="AR126" s="45">
        <f t="shared" si="13"/>
        <v>0</v>
      </c>
      <c r="AS126" s="45">
        <f t="shared" si="14"/>
        <v>0</v>
      </c>
      <c r="AT126" s="45">
        <f t="shared" si="15"/>
        <v>8</v>
      </c>
      <c r="AU126" s="45" t="str">
        <f>_xlfn.XLOOKUP(U126,'Lista Suspensa'!$AA$20:$AA$23,'Lista Suspensa'!$AB$20:$AB$23,"N/A")</f>
        <v>S</v>
      </c>
    </row>
    <row r="127" spans="1:47" ht="12" customHeight="1" x14ac:dyDescent="0.3">
      <c r="A127" s="87" t="s">
        <v>47</v>
      </c>
      <c r="B127" s="88">
        <v>46104</v>
      </c>
      <c r="C127" s="89" t="s">
        <v>48</v>
      </c>
      <c r="D127" s="89" t="s">
        <v>49</v>
      </c>
      <c r="E127" s="90">
        <v>200172336</v>
      </c>
      <c r="F127" s="220" t="s">
        <v>366</v>
      </c>
      <c r="G127" s="92" t="s">
        <v>367</v>
      </c>
      <c r="H127" s="93">
        <v>19556</v>
      </c>
      <c r="I127" s="89">
        <v>72</v>
      </c>
      <c r="J127" s="89" t="s">
        <v>51</v>
      </c>
      <c r="K127" s="89" t="s">
        <v>52</v>
      </c>
      <c r="L127" s="89"/>
      <c r="M127" s="89"/>
      <c r="N127" s="89"/>
      <c r="O127" s="94">
        <v>11972039501</v>
      </c>
      <c r="P127" s="95" t="s">
        <v>55</v>
      </c>
      <c r="Q127" s="144" t="s">
        <v>70</v>
      </c>
      <c r="R127" s="96">
        <v>46128</v>
      </c>
      <c r="S127" s="97"/>
      <c r="T127" s="97" t="s">
        <v>57</v>
      </c>
      <c r="U127" s="97" t="s">
        <v>71</v>
      </c>
      <c r="V127" s="93">
        <v>46111</v>
      </c>
      <c r="W127" s="93">
        <v>46126</v>
      </c>
      <c r="X127" s="93">
        <v>46128</v>
      </c>
      <c r="Y127" s="98"/>
      <c r="Z127" s="89" t="s">
        <v>60</v>
      </c>
      <c r="AA127" s="97">
        <v>46135</v>
      </c>
      <c r="AB127" s="89" t="s">
        <v>61</v>
      </c>
      <c r="AC127" s="120"/>
      <c r="AD127" s="89"/>
      <c r="AE127" s="89"/>
      <c r="AF127" s="99"/>
      <c r="AG127" s="99"/>
      <c r="AH127" s="99"/>
      <c r="AI127" s="100" t="s">
        <v>62</v>
      </c>
      <c r="AJ127" s="100" t="s">
        <v>47</v>
      </c>
      <c r="AK127" s="100" t="s">
        <v>47</v>
      </c>
      <c r="AL127" s="45" t="s">
        <v>64</v>
      </c>
      <c r="AM127" s="198" t="str">
        <f t="shared" si="8"/>
        <v>3/2026</v>
      </c>
      <c r="AN127" s="45">
        <f t="shared" si="9"/>
        <v>4</v>
      </c>
      <c r="AO127" s="45" t="str">
        <f t="shared" si="10"/>
        <v>4/2026</v>
      </c>
      <c r="AP127" s="45">
        <f t="shared" si="11"/>
        <v>3</v>
      </c>
      <c r="AQ127" s="45">
        <f t="shared" si="12"/>
        <v>24</v>
      </c>
      <c r="AR127" s="45">
        <f t="shared" si="13"/>
        <v>0</v>
      </c>
      <c r="AS127" s="45">
        <f t="shared" si="14"/>
        <v>8.5</v>
      </c>
      <c r="AT127" s="45">
        <f t="shared" si="15"/>
        <v>7</v>
      </c>
      <c r="AU127" s="45" t="str">
        <f>_xlfn.XLOOKUP(U127,'Lista Suspensa'!$AA$20:$AA$23,'Lista Suspensa'!$AB$20:$AB$23,"N/A")</f>
        <v>S</v>
      </c>
    </row>
    <row r="128" spans="1:47" ht="12" customHeight="1" x14ac:dyDescent="0.3">
      <c r="A128" s="87" t="s">
        <v>47</v>
      </c>
      <c r="B128" s="88">
        <v>46104</v>
      </c>
      <c r="C128" s="89" t="s">
        <v>48</v>
      </c>
      <c r="D128" s="89" t="s">
        <v>49</v>
      </c>
      <c r="E128" s="90">
        <v>800051513</v>
      </c>
      <c r="F128" s="220" t="s">
        <v>368</v>
      </c>
      <c r="G128" s="92" t="s">
        <v>369</v>
      </c>
      <c r="H128" s="93">
        <v>16113</v>
      </c>
      <c r="I128" s="89">
        <v>82</v>
      </c>
      <c r="J128" s="89" t="s">
        <v>77</v>
      </c>
      <c r="K128" s="89" t="s">
        <v>52</v>
      </c>
      <c r="L128" s="89"/>
      <c r="M128" s="89"/>
      <c r="N128" s="89"/>
      <c r="O128" s="94" t="s">
        <v>370</v>
      </c>
      <c r="P128" s="95" t="s">
        <v>55</v>
      </c>
      <c r="Q128" s="144" t="s">
        <v>136</v>
      </c>
      <c r="R128" s="96"/>
      <c r="S128" s="97">
        <v>46150</v>
      </c>
      <c r="T128" s="97" t="s">
        <v>183</v>
      </c>
      <c r="U128" s="97" t="s">
        <v>58</v>
      </c>
      <c r="V128" s="93">
        <v>46111</v>
      </c>
      <c r="W128" s="93">
        <v>46126</v>
      </c>
      <c r="X128" s="93">
        <v>46141</v>
      </c>
      <c r="Y128" s="98"/>
      <c r="Z128" s="89"/>
      <c r="AA128" s="97"/>
      <c r="AB128" s="89"/>
      <c r="AC128" s="120"/>
      <c r="AD128" s="89"/>
      <c r="AE128" s="89"/>
      <c r="AF128" s="99"/>
      <c r="AG128" s="99"/>
      <c r="AH128" s="99"/>
      <c r="AI128" s="100" t="s">
        <v>62</v>
      </c>
      <c r="AJ128" s="100" t="s">
        <v>63</v>
      </c>
      <c r="AK128" s="100" t="s">
        <v>47</v>
      </c>
      <c r="AL128" s="45" t="s">
        <v>64</v>
      </c>
      <c r="AM128" s="198" t="str">
        <f t="shared" si="8"/>
        <v>3/2026</v>
      </c>
      <c r="AN128" s="45">
        <f t="shared" si="9"/>
        <v>4</v>
      </c>
      <c r="AO128" s="45" t="str">
        <f t="shared" si="10"/>
        <v>1/1900</v>
      </c>
      <c r="AP128" s="45" t="e">
        <f t="shared" si="11"/>
        <v>#NUM!</v>
      </c>
      <c r="AQ128" s="45">
        <f t="shared" si="12"/>
        <v>0</v>
      </c>
      <c r="AR128" s="45">
        <f t="shared" si="13"/>
        <v>0</v>
      </c>
      <c r="AS128" s="45">
        <f t="shared" si="14"/>
        <v>0</v>
      </c>
      <c r="AT128" s="45">
        <f t="shared" si="15"/>
        <v>0</v>
      </c>
      <c r="AU128" s="45" t="str">
        <f>_xlfn.XLOOKUP(U128,'Lista Suspensa'!$AA$20:$AA$23,'Lista Suspensa'!$AB$20:$AB$23,"N/A")</f>
        <v>S</v>
      </c>
    </row>
    <row r="129" spans="1:47" ht="12" customHeight="1" x14ac:dyDescent="0.3">
      <c r="A129" s="87" t="s">
        <v>47</v>
      </c>
      <c r="B129" s="88">
        <v>46104</v>
      </c>
      <c r="C129" s="89" t="s">
        <v>48</v>
      </c>
      <c r="D129" s="89" t="s">
        <v>49</v>
      </c>
      <c r="E129" s="90">
        <v>459388797</v>
      </c>
      <c r="F129" s="220" t="s">
        <v>371</v>
      </c>
      <c r="G129" s="92" t="s">
        <v>372</v>
      </c>
      <c r="H129" s="93">
        <v>15732</v>
      </c>
      <c r="I129" s="89">
        <v>83</v>
      </c>
      <c r="J129" s="89" t="s">
        <v>77</v>
      </c>
      <c r="K129" s="89" t="s">
        <v>52</v>
      </c>
      <c r="L129" s="89"/>
      <c r="M129" s="89"/>
      <c r="N129" s="89"/>
      <c r="O129" s="94" t="s">
        <v>373</v>
      </c>
      <c r="P129" s="95" t="s">
        <v>55</v>
      </c>
      <c r="Q129" s="144" t="s">
        <v>136</v>
      </c>
      <c r="R129" s="96"/>
      <c r="S129" s="97">
        <v>46150</v>
      </c>
      <c r="T129" s="97" t="s">
        <v>183</v>
      </c>
      <c r="U129" s="97" t="s">
        <v>58</v>
      </c>
      <c r="V129" s="93">
        <v>46111</v>
      </c>
      <c r="W129" s="93">
        <v>46126</v>
      </c>
      <c r="X129" s="93">
        <v>46141</v>
      </c>
      <c r="Y129" s="98"/>
      <c r="Z129" s="89"/>
      <c r="AA129" s="97"/>
      <c r="AB129" s="89"/>
      <c r="AC129" s="120"/>
      <c r="AD129" s="89"/>
      <c r="AE129" s="89"/>
      <c r="AF129" s="99"/>
      <c r="AG129" s="99"/>
      <c r="AH129" s="99"/>
      <c r="AI129" s="100" t="s">
        <v>62</v>
      </c>
      <c r="AJ129" s="100" t="s">
        <v>63</v>
      </c>
      <c r="AK129" s="100" t="s">
        <v>47</v>
      </c>
      <c r="AL129" s="45" t="s">
        <v>64</v>
      </c>
      <c r="AM129" s="198" t="str">
        <f t="shared" si="8"/>
        <v>3/2026</v>
      </c>
      <c r="AN129" s="45">
        <f t="shared" si="9"/>
        <v>4</v>
      </c>
      <c r="AO129" s="45" t="str">
        <f t="shared" si="10"/>
        <v>1/1900</v>
      </c>
      <c r="AP129" s="45" t="e">
        <f t="shared" si="11"/>
        <v>#NUM!</v>
      </c>
      <c r="AQ129" s="45">
        <f t="shared" si="12"/>
        <v>0</v>
      </c>
      <c r="AR129" s="45">
        <f t="shared" si="13"/>
        <v>0</v>
      </c>
      <c r="AS129" s="45">
        <f t="shared" si="14"/>
        <v>0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customHeight="1" x14ac:dyDescent="0.3">
      <c r="A130" s="87" t="s">
        <v>47</v>
      </c>
      <c r="B130" s="88">
        <v>46104</v>
      </c>
      <c r="C130" s="89" t="s">
        <v>48</v>
      </c>
      <c r="D130" s="89" t="s">
        <v>49</v>
      </c>
      <c r="E130" s="90">
        <v>88520233</v>
      </c>
      <c r="F130" s="220" t="s">
        <v>374</v>
      </c>
      <c r="G130" s="92" t="s">
        <v>375</v>
      </c>
      <c r="H130" s="93">
        <v>30364</v>
      </c>
      <c r="I130" s="89">
        <v>43</v>
      </c>
      <c r="J130" s="89" t="s">
        <v>51</v>
      </c>
      <c r="K130" s="89" t="s">
        <v>52</v>
      </c>
      <c r="L130" s="89"/>
      <c r="M130" s="89"/>
      <c r="N130" s="89"/>
      <c r="O130" s="94" t="s">
        <v>376</v>
      </c>
      <c r="P130" s="95" t="s">
        <v>55</v>
      </c>
      <c r="Q130" s="144" t="s">
        <v>70</v>
      </c>
      <c r="R130" s="96">
        <v>46128</v>
      </c>
      <c r="S130" s="97"/>
      <c r="T130" s="97" t="s">
        <v>57</v>
      </c>
      <c r="U130" s="97" t="s">
        <v>71</v>
      </c>
      <c r="V130" s="93">
        <v>46111</v>
      </c>
      <c r="W130" s="93">
        <v>46126</v>
      </c>
      <c r="X130" s="93">
        <v>46128</v>
      </c>
      <c r="Y130" s="98"/>
      <c r="Z130" s="89" t="s">
        <v>60</v>
      </c>
      <c r="AA130" s="97">
        <v>46135</v>
      </c>
      <c r="AB130" s="89" t="s">
        <v>61</v>
      </c>
      <c r="AC130" s="120"/>
      <c r="AD130" s="89" t="s">
        <v>377</v>
      </c>
      <c r="AE130" s="89">
        <v>36</v>
      </c>
      <c r="AF130" s="99" t="s">
        <v>378</v>
      </c>
      <c r="AG130" s="99"/>
      <c r="AH130" s="99" t="s">
        <v>75</v>
      </c>
      <c r="AI130" s="100" t="s">
        <v>62</v>
      </c>
      <c r="AJ130" s="100" t="s">
        <v>47</v>
      </c>
      <c r="AK130" s="100" t="s">
        <v>47</v>
      </c>
      <c r="AL130" s="45" t="s">
        <v>64</v>
      </c>
      <c r="AM130" s="198" t="str">
        <f t="shared" ref="AM130:AM193" si="16">MONTH(B130)&amp;"/"&amp;YEAR(B130)</f>
        <v>3/2026</v>
      </c>
      <c r="AN130" s="45">
        <f t="shared" ref="AN130:AN193" si="17">WEEKNUM(B130)-WEEKNUM(EOMONTH(B130,-1)+1)+1</f>
        <v>4</v>
      </c>
      <c r="AO130" s="45" t="str">
        <f t="shared" ref="AO130:AO193" si="18">MONTH(R130)&amp;"/"&amp;YEAR(R130)</f>
        <v>4/2026</v>
      </c>
      <c r="AP130" s="45">
        <f t="shared" ref="AP130:AP193" si="19">WEEKNUM(R130)-WEEKNUM(EOMONTH(R130,-1)+1)+1</f>
        <v>3</v>
      </c>
      <c r="AQ130" s="45">
        <f t="shared" ref="AQ130:AQ193" si="20">IF(AU130="S",IF(Q130="1. Aceitou o programa",R130-B130,0),0)</f>
        <v>24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8.5</v>
      </c>
      <c r="AT130" s="45">
        <f t="shared" ref="AT130:AT193" si="23">IF(AU130="S",IF(AND(Q130="1. Aceitou o programa",AB130="Realizada"),IFERROR(IF(AA130="",0,AA130-R130),0),0),0)</f>
        <v>7</v>
      </c>
      <c r="AU130" s="45" t="str">
        <f>_xlfn.XLOOKUP(U130,'Lista Suspensa'!$AA$20:$AA$23,'Lista Suspensa'!$AB$20:$AB$23,"N/A")</f>
        <v>S</v>
      </c>
    </row>
    <row r="131" spans="1:47" ht="12" customHeight="1" x14ac:dyDescent="0.3">
      <c r="A131" s="87" t="s">
        <v>47</v>
      </c>
      <c r="B131" s="88">
        <v>46104</v>
      </c>
      <c r="C131" s="89" t="s">
        <v>48</v>
      </c>
      <c r="D131" s="89" t="s">
        <v>49</v>
      </c>
      <c r="E131" s="90">
        <v>81466007</v>
      </c>
      <c r="F131" s="220" t="s">
        <v>379</v>
      </c>
      <c r="G131" s="92" t="s">
        <v>380</v>
      </c>
      <c r="H131" s="93">
        <v>24167</v>
      </c>
      <c r="I131" s="89">
        <v>60</v>
      </c>
      <c r="J131" s="89" t="s">
        <v>51</v>
      </c>
      <c r="K131" s="89" t="s">
        <v>52</v>
      </c>
      <c r="L131" s="89"/>
      <c r="M131" s="89"/>
      <c r="N131" s="89"/>
      <c r="O131" s="94" t="s">
        <v>381</v>
      </c>
      <c r="P131" s="95" t="s">
        <v>55</v>
      </c>
      <c r="Q131" s="144" t="s">
        <v>70</v>
      </c>
      <c r="R131" s="96">
        <v>46128</v>
      </c>
      <c r="S131" s="97"/>
      <c r="T131" s="97" t="s">
        <v>57</v>
      </c>
      <c r="U131" s="97" t="s">
        <v>71</v>
      </c>
      <c r="V131" s="93">
        <v>46111</v>
      </c>
      <c r="W131" s="93">
        <v>46126</v>
      </c>
      <c r="X131" s="93">
        <v>46128</v>
      </c>
      <c r="Y131" s="98"/>
      <c r="Z131" s="89" t="s">
        <v>60</v>
      </c>
      <c r="AA131" s="97">
        <v>46132</v>
      </c>
      <c r="AB131" s="89" t="s">
        <v>61</v>
      </c>
      <c r="AC131" s="120"/>
      <c r="AD131" s="89" t="s">
        <v>85</v>
      </c>
      <c r="AE131" s="89">
        <v>52</v>
      </c>
      <c r="AF131" s="99" t="s">
        <v>382</v>
      </c>
      <c r="AG131" s="99"/>
      <c r="AH131" s="99" t="s">
        <v>75</v>
      </c>
      <c r="AI131" s="100" t="s">
        <v>62</v>
      </c>
      <c r="AJ131" s="100" t="s">
        <v>47</v>
      </c>
      <c r="AK131" s="100" t="s">
        <v>47</v>
      </c>
      <c r="AL131" s="45" t="s">
        <v>64</v>
      </c>
      <c r="AM131" s="198" t="str">
        <f t="shared" si="16"/>
        <v>3/2026</v>
      </c>
      <c r="AN131" s="45">
        <f t="shared" si="17"/>
        <v>4</v>
      </c>
      <c r="AO131" s="45" t="str">
        <f t="shared" si="18"/>
        <v>4/2026</v>
      </c>
      <c r="AP131" s="45">
        <f t="shared" si="19"/>
        <v>3</v>
      </c>
      <c r="AQ131" s="45">
        <f t="shared" si="20"/>
        <v>24</v>
      </c>
      <c r="AR131" s="45">
        <f t="shared" si="21"/>
        <v>0</v>
      </c>
      <c r="AS131" s="45">
        <f t="shared" si="22"/>
        <v>8.5</v>
      </c>
      <c r="AT131" s="45">
        <f t="shared" si="23"/>
        <v>4</v>
      </c>
      <c r="AU131" s="45" t="str">
        <f>_xlfn.XLOOKUP(U131,'Lista Suspensa'!$AA$20:$AA$23,'Lista Suspensa'!$AB$20:$AB$23,"N/A")</f>
        <v>S</v>
      </c>
    </row>
    <row r="132" spans="1:47" ht="12" customHeight="1" x14ac:dyDescent="0.3">
      <c r="A132" s="87" t="s">
        <v>47</v>
      </c>
      <c r="B132" s="88">
        <v>46104</v>
      </c>
      <c r="C132" s="89" t="s">
        <v>48</v>
      </c>
      <c r="D132" s="89" t="s">
        <v>49</v>
      </c>
      <c r="E132" s="90">
        <v>95305125</v>
      </c>
      <c r="F132" s="220" t="s">
        <v>383</v>
      </c>
      <c r="G132" s="92" t="s">
        <v>384</v>
      </c>
      <c r="H132" s="93">
        <v>31537</v>
      </c>
      <c r="I132" s="89">
        <v>40</v>
      </c>
      <c r="J132" s="89" t="s">
        <v>51</v>
      </c>
      <c r="K132" s="89" t="s">
        <v>52</v>
      </c>
      <c r="L132" s="89"/>
      <c r="M132" s="89"/>
      <c r="N132" s="89"/>
      <c r="O132" s="94" t="s">
        <v>385</v>
      </c>
      <c r="P132" s="95" t="s">
        <v>55</v>
      </c>
      <c r="Q132" s="144" t="s">
        <v>136</v>
      </c>
      <c r="R132" s="96"/>
      <c r="S132" s="97">
        <v>46150</v>
      </c>
      <c r="T132" s="97" t="s">
        <v>183</v>
      </c>
      <c r="U132" s="97" t="s">
        <v>58</v>
      </c>
      <c r="V132" s="93">
        <v>46111</v>
      </c>
      <c r="W132" s="93">
        <v>46126</v>
      </c>
      <c r="X132" s="93">
        <v>46141</v>
      </c>
      <c r="Y132" s="98"/>
      <c r="Z132" s="89"/>
      <c r="AA132" s="97"/>
      <c r="AB132" s="89"/>
      <c r="AC132" s="120"/>
      <c r="AD132" s="89"/>
      <c r="AE132" s="89"/>
      <c r="AF132" s="99"/>
      <c r="AG132" s="99"/>
      <c r="AH132" s="99"/>
      <c r="AI132" s="100" t="s">
        <v>62</v>
      </c>
      <c r="AJ132" s="100" t="s">
        <v>63</v>
      </c>
      <c r="AK132" s="100" t="s">
        <v>47</v>
      </c>
      <c r="AL132" s="45" t="s">
        <v>64</v>
      </c>
      <c r="AM132" s="198" t="str">
        <f t="shared" si="16"/>
        <v>3/2026</v>
      </c>
      <c r="AN132" s="45">
        <f t="shared" si="17"/>
        <v>4</v>
      </c>
      <c r="AO132" s="45" t="str">
        <f t="shared" si="18"/>
        <v>1/1900</v>
      </c>
      <c r="AP132" s="45" t="e">
        <f t="shared" si="19"/>
        <v>#NUM!</v>
      </c>
      <c r="AQ132" s="45">
        <f t="shared" si="20"/>
        <v>0</v>
      </c>
      <c r="AR132" s="45">
        <f t="shared" si="21"/>
        <v>0</v>
      </c>
      <c r="AS132" s="45">
        <f t="shared" si="22"/>
        <v>0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customHeight="1" x14ac:dyDescent="0.3">
      <c r="A133" s="87" t="s">
        <v>65</v>
      </c>
      <c r="B133" s="88">
        <v>46104</v>
      </c>
      <c r="C133" s="89" t="s">
        <v>66</v>
      </c>
      <c r="D133" s="89" t="s">
        <v>49</v>
      </c>
      <c r="E133" s="90">
        <v>82825103</v>
      </c>
      <c r="F133" s="220" t="s">
        <v>386</v>
      </c>
      <c r="G133" s="92"/>
      <c r="H133" s="93">
        <v>20952</v>
      </c>
      <c r="I133" s="89">
        <v>68</v>
      </c>
      <c r="J133" s="89" t="s">
        <v>51</v>
      </c>
      <c r="K133" s="89" t="s">
        <v>271</v>
      </c>
      <c r="L133" s="89" t="s">
        <v>387</v>
      </c>
      <c r="M133" s="89"/>
      <c r="N133" s="89" t="s">
        <v>92</v>
      </c>
      <c r="O133" s="94" t="s">
        <v>388</v>
      </c>
      <c r="P133" s="95" t="s">
        <v>55</v>
      </c>
      <c r="Q133" s="144" t="s">
        <v>70</v>
      </c>
      <c r="R133" s="96">
        <v>46122</v>
      </c>
      <c r="S133" s="97"/>
      <c r="T133" s="97" t="s">
        <v>57</v>
      </c>
      <c r="U133" s="97" t="s">
        <v>71</v>
      </c>
      <c r="V133" s="93">
        <v>46122</v>
      </c>
      <c r="W133" s="93" t="s">
        <v>72</v>
      </c>
      <c r="X133" s="93" t="s">
        <v>72</v>
      </c>
      <c r="Y133" s="98"/>
      <c r="Z133" s="89" t="s">
        <v>60</v>
      </c>
      <c r="AA133" s="97">
        <v>46128</v>
      </c>
      <c r="AB133" s="89" t="s">
        <v>61</v>
      </c>
      <c r="AC133" s="120"/>
      <c r="AD133" s="89" t="s">
        <v>85</v>
      </c>
      <c r="AE133" s="89">
        <v>68</v>
      </c>
      <c r="AF133" s="99" t="s">
        <v>389</v>
      </c>
      <c r="AG133" s="99"/>
      <c r="AH133" s="99"/>
      <c r="AI133" s="100" t="s">
        <v>62</v>
      </c>
      <c r="AJ133" s="100" t="s">
        <v>47</v>
      </c>
      <c r="AK133" s="100" t="s">
        <v>62</v>
      </c>
      <c r="AL133" s="45" t="s">
        <v>64</v>
      </c>
      <c r="AM133" s="198" t="str">
        <f t="shared" si="16"/>
        <v>3/2026</v>
      </c>
      <c r="AN133" s="45">
        <f t="shared" si="17"/>
        <v>4</v>
      </c>
      <c r="AO133" s="45" t="str">
        <f t="shared" si="18"/>
        <v>4/2026</v>
      </c>
      <c r="AP133" s="45">
        <f t="shared" si="19"/>
        <v>2</v>
      </c>
      <c r="AQ133" s="45">
        <f t="shared" si="20"/>
        <v>18</v>
      </c>
      <c r="AR133" s="45">
        <f t="shared" si="21"/>
        <v>0</v>
      </c>
      <c r="AS133" s="45">
        <f t="shared" si="22"/>
        <v>0</v>
      </c>
      <c r="AT133" s="45">
        <f t="shared" si="23"/>
        <v>6</v>
      </c>
      <c r="AU133" s="45" t="str">
        <f>_xlfn.XLOOKUP(U133,'Lista Suspensa'!$AA$20:$AA$23,'Lista Suspensa'!$AB$20:$AB$23,"N/A")</f>
        <v>S</v>
      </c>
    </row>
    <row r="134" spans="1:47" ht="12" customHeight="1" x14ac:dyDescent="0.3">
      <c r="A134" s="87" t="s">
        <v>65</v>
      </c>
      <c r="B134" s="88">
        <v>46104</v>
      </c>
      <c r="C134" s="89" t="s">
        <v>66</v>
      </c>
      <c r="D134" s="89" t="s">
        <v>49</v>
      </c>
      <c r="E134" s="90">
        <v>301142025</v>
      </c>
      <c r="F134" s="220" t="s">
        <v>390</v>
      </c>
      <c r="G134" s="92"/>
      <c r="H134" s="93">
        <v>15845</v>
      </c>
      <c r="I134" s="89">
        <v>82</v>
      </c>
      <c r="J134" s="89" t="s">
        <v>77</v>
      </c>
      <c r="K134" s="89" t="s">
        <v>52</v>
      </c>
      <c r="L134" s="89" t="s">
        <v>328</v>
      </c>
      <c r="M134" s="89"/>
      <c r="N134" s="89" t="s">
        <v>95</v>
      </c>
      <c r="O134" s="94" t="s">
        <v>391</v>
      </c>
      <c r="P134" s="95" t="s">
        <v>55</v>
      </c>
      <c r="Q134" s="144" t="s">
        <v>70</v>
      </c>
      <c r="R134" s="96">
        <v>46122</v>
      </c>
      <c r="S134" s="97"/>
      <c r="T134" s="97" t="s">
        <v>57</v>
      </c>
      <c r="U134" s="97" t="s">
        <v>71</v>
      </c>
      <c r="V134" s="93">
        <v>46122</v>
      </c>
      <c r="W134" s="93" t="s">
        <v>72</v>
      </c>
      <c r="X134" s="93" t="s">
        <v>72</v>
      </c>
      <c r="Y134" s="98"/>
      <c r="Z134" s="89" t="s">
        <v>60</v>
      </c>
      <c r="AA134" s="97">
        <v>46132</v>
      </c>
      <c r="AB134" s="89" t="s">
        <v>61</v>
      </c>
      <c r="AC134" s="120"/>
      <c r="AD134" s="89" t="s">
        <v>377</v>
      </c>
      <c r="AE134" s="89">
        <v>36</v>
      </c>
      <c r="AF134" s="99" t="s">
        <v>74</v>
      </c>
      <c r="AG134" s="99"/>
      <c r="AH134" s="99" t="s">
        <v>75</v>
      </c>
      <c r="AI134" s="100" t="s">
        <v>62</v>
      </c>
      <c r="AJ134" s="100" t="s">
        <v>47</v>
      </c>
      <c r="AK134" s="100" t="s">
        <v>62</v>
      </c>
      <c r="AL134" s="45" t="s">
        <v>64</v>
      </c>
      <c r="AM134" s="198" t="str">
        <f t="shared" si="16"/>
        <v>3/2026</v>
      </c>
      <c r="AN134" s="45">
        <f t="shared" si="17"/>
        <v>4</v>
      </c>
      <c r="AO134" s="45" t="str">
        <f t="shared" si="18"/>
        <v>4/2026</v>
      </c>
      <c r="AP134" s="45">
        <f t="shared" si="19"/>
        <v>2</v>
      </c>
      <c r="AQ134" s="45">
        <f t="shared" si="20"/>
        <v>18</v>
      </c>
      <c r="AR134" s="45">
        <f t="shared" si="21"/>
        <v>0</v>
      </c>
      <c r="AS134" s="45">
        <f t="shared" si="22"/>
        <v>0</v>
      </c>
      <c r="AT134" s="45">
        <f t="shared" si="23"/>
        <v>10</v>
      </c>
      <c r="AU134" s="45" t="str">
        <f>_xlfn.XLOOKUP(U134,'Lista Suspensa'!$AA$20:$AA$23,'Lista Suspensa'!$AB$20:$AB$23,"N/A")</f>
        <v>S</v>
      </c>
    </row>
    <row r="135" spans="1:47" ht="12" customHeight="1" x14ac:dyDescent="0.3">
      <c r="A135" s="87" t="s">
        <v>65</v>
      </c>
      <c r="B135" s="88">
        <v>46104</v>
      </c>
      <c r="C135" s="89" t="s">
        <v>66</v>
      </c>
      <c r="D135" s="89" t="s">
        <v>49</v>
      </c>
      <c r="E135" s="90">
        <v>451816820</v>
      </c>
      <c r="F135" s="220" t="s">
        <v>392</v>
      </c>
      <c r="G135" s="92"/>
      <c r="H135" s="93">
        <v>19916</v>
      </c>
      <c r="I135" s="89">
        <v>71</v>
      </c>
      <c r="J135" s="89" t="s">
        <v>51</v>
      </c>
      <c r="K135" s="89" t="s">
        <v>52</v>
      </c>
      <c r="L135" s="89" t="s">
        <v>275</v>
      </c>
      <c r="M135" s="89"/>
      <c r="N135" s="89" t="s">
        <v>151</v>
      </c>
      <c r="O135" s="94" t="s">
        <v>393</v>
      </c>
      <c r="P135" s="95" t="s">
        <v>55</v>
      </c>
      <c r="Q135" s="144" t="s">
        <v>70</v>
      </c>
      <c r="R135" s="96">
        <v>46122</v>
      </c>
      <c r="S135" s="97"/>
      <c r="T135" s="97" t="s">
        <v>57</v>
      </c>
      <c r="U135" s="97" t="s">
        <v>71</v>
      </c>
      <c r="V135" s="93">
        <v>46122</v>
      </c>
      <c r="W135" s="93" t="s">
        <v>72</v>
      </c>
      <c r="X135" s="93" t="s">
        <v>72</v>
      </c>
      <c r="Y135" s="98"/>
      <c r="Z135" s="89" t="s">
        <v>60</v>
      </c>
      <c r="AA135" s="97">
        <v>46128</v>
      </c>
      <c r="AB135" s="89" t="s">
        <v>61</v>
      </c>
      <c r="AC135" s="120"/>
      <c r="AD135" s="89" t="s">
        <v>73</v>
      </c>
      <c r="AE135" s="89">
        <v>48</v>
      </c>
      <c r="AF135" s="99" t="s">
        <v>389</v>
      </c>
      <c r="AG135" s="99"/>
      <c r="AH135" s="99" t="s">
        <v>75</v>
      </c>
      <c r="AI135" s="100" t="s">
        <v>62</v>
      </c>
      <c r="AJ135" s="100" t="s">
        <v>47</v>
      </c>
      <c r="AK135" s="100" t="s">
        <v>62</v>
      </c>
      <c r="AL135" s="45" t="s">
        <v>64</v>
      </c>
      <c r="AM135" s="198" t="str">
        <f t="shared" si="16"/>
        <v>3/2026</v>
      </c>
      <c r="AN135" s="45">
        <f t="shared" si="17"/>
        <v>4</v>
      </c>
      <c r="AO135" s="45" t="str">
        <f t="shared" si="18"/>
        <v>4/2026</v>
      </c>
      <c r="AP135" s="45">
        <f t="shared" si="19"/>
        <v>2</v>
      </c>
      <c r="AQ135" s="45">
        <f t="shared" si="20"/>
        <v>18</v>
      </c>
      <c r="AR135" s="45">
        <f t="shared" si="21"/>
        <v>0</v>
      </c>
      <c r="AS135" s="45">
        <f t="shared" si="22"/>
        <v>0</v>
      </c>
      <c r="AT135" s="45">
        <f t="shared" si="23"/>
        <v>6</v>
      </c>
      <c r="AU135" s="45" t="str">
        <f>_xlfn.XLOOKUP(U135,'Lista Suspensa'!$AA$20:$AA$23,'Lista Suspensa'!$AB$20:$AB$23,"N/A")</f>
        <v>S</v>
      </c>
    </row>
    <row r="136" spans="1:47" ht="12" customHeight="1" x14ac:dyDescent="0.3">
      <c r="A136" s="87" t="s">
        <v>65</v>
      </c>
      <c r="B136" s="88">
        <v>46104</v>
      </c>
      <c r="C136" s="89" t="s">
        <v>66</v>
      </c>
      <c r="D136" s="89" t="s">
        <v>49</v>
      </c>
      <c r="E136" s="90">
        <v>451847512</v>
      </c>
      <c r="F136" s="220" t="s">
        <v>394</v>
      </c>
      <c r="G136" s="92"/>
      <c r="H136" s="93">
        <v>17280</v>
      </c>
      <c r="I136" s="89">
        <v>78</v>
      </c>
      <c r="J136" s="89" t="s">
        <v>51</v>
      </c>
      <c r="K136" s="89" t="s">
        <v>52</v>
      </c>
      <c r="L136" s="89" t="s">
        <v>275</v>
      </c>
      <c r="M136" s="89"/>
      <c r="N136" s="89" t="s">
        <v>151</v>
      </c>
      <c r="O136" s="94" t="s">
        <v>395</v>
      </c>
      <c r="P136" s="95" t="s">
        <v>55</v>
      </c>
      <c r="Q136" s="144" t="s">
        <v>70</v>
      </c>
      <c r="R136" s="96">
        <v>46128</v>
      </c>
      <c r="S136" s="97"/>
      <c r="T136" s="97" t="s">
        <v>57</v>
      </c>
      <c r="U136" s="97" t="s">
        <v>71</v>
      </c>
      <c r="V136" s="93">
        <v>46122</v>
      </c>
      <c r="W136" s="93">
        <v>46126</v>
      </c>
      <c r="X136" s="93">
        <v>46128</v>
      </c>
      <c r="Y136" s="98"/>
      <c r="Z136" s="89" t="s">
        <v>60</v>
      </c>
      <c r="AA136" s="97">
        <v>46134</v>
      </c>
      <c r="AB136" s="89" t="s">
        <v>61</v>
      </c>
      <c r="AC136" s="120"/>
      <c r="AD136" s="89" t="s">
        <v>85</v>
      </c>
      <c r="AE136" s="89">
        <v>62</v>
      </c>
      <c r="AF136" s="99" t="s">
        <v>100</v>
      </c>
      <c r="AG136" s="99"/>
      <c r="AH136" s="99" t="s">
        <v>75</v>
      </c>
      <c r="AI136" s="100" t="s">
        <v>62</v>
      </c>
      <c r="AJ136" s="100" t="s">
        <v>47</v>
      </c>
      <c r="AK136" s="100" t="s">
        <v>62</v>
      </c>
      <c r="AL136" s="45" t="s">
        <v>64</v>
      </c>
      <c r="AM136" s="198" t="str">
        <f t="shared" si="16"/>
        <v>3/2026</v>
      </c>
      <c r="AN136" s="45">
        <f t="shared" si="17"/>
        <v>4</v>
      </c>
      <c r="AO136" s="45" t="str">
        <f t="shared" si="18"/>
        <v>4/2026</v>
      </c>
      <c r="AP136" s="45">
        <f t="shared" si="19"/>
        <v>3</v>
      </c>
      <c r="AQ136" s="45">
        <f t="shared" si="20"/>
        <v>24</v>
      </c>
      <c r="AR136" s="45">
        <f t="shared" si="21"/>
        <v>0</v>
      </c>
      <c r="AS136" s="45">
        <f t="shared" si="22"/>
        <v>3</v>
      </c>
      <c r="AT136" s="45">
        <f t="shared" si="23"/>
        <v>6</v>
      </c>
      <c r="AU136" s="45" t="str">
        <f>_xlfn.XLOOKUP(U136,'Lista Suspensa'!$AA$20:$AA$23,'Lista Suspensa'!$AB$20:$AB$23,"N/A")</f>
        <v>S</v>
      </c>
    </row>
    <row r="137" spans="1:47" ht="12" customHeight="1" x14ac:dyDescent="0.3">
      <c r="A137" s="87" t="s">
        <v>65</v>
      </c>
      <c r="B137" s="88">
        <v>46104</v>
      </c>
      <c r="C137" s="89" t="s">
        <v>66</v>
      </c>
      <c r="D137" s="89" t="s">
        <v>49</v>
      </c>
      <c r="E137" s="90">
        <v>594117267</v>
      </c>
      <c r="F137" s="220" t="s">
        <v>396</v>
      </c>
      <c r="G137" s="92"/>
      <c r="H137" s="93">
        <v>18033</v>
      </c>
      <c r="I137" s="89">
        <v>76</v>
      </c>
      <c r="J137" s="89" t="s">
        <v>77</v>
      </c>
      <c r="K137" s="89" t="s">
        <v>52</v>
      </c>
      <c r="L137" s="89" t="s">
        <v>328</v>
      </c>
      <c r="M137" s="89"/>
      <c r="N137" s="89" t="s">
        <v>79</v>
      </c>
      <c r="O137" s="94" t="s">
        <v>397</v>
      </c>
      <c r="P137" s="95" t="s">
        <v>55</v>
      </c>
      <c r="Q137" s="144" t="s">
        <v>70</v>
      </c>
      <c r="R137" s="96">
        <v>46128</v>
      </c>
      <c r="S137" s="97"/>
      <c r="T137" s="97" t="s">
        <v>57</v>
      </c>
      <c r="U137" s="97" t="s">
        <v>71</v>
      </c>
      <c r="V137" s="93">
        <v>46122</v>
      </c>
      <c r="W137" s="93">
        <v>46126</v>
      </c>
      <c r="X137" s="93">
        <v>46128</v>
      </c>
      <c r="Y137" s="98"/>
      <c r="Z137" s="89" t="s">
        <v>60</v>
      </c>
      <c r="AA137" s="97">
        <v>46135</v>
      </c>
      <c r="AB137" s="89" t="s">
        <v>61</v>
      </c>
      <c r="AC137" s="120"/>
      <c r="AD137" s="89" t="s">
        <v>73</v>
      </c>
      <c r="AE137" s="89">
        <v>54</v>
      </c>
      <c r="AF137" s="99" t="s">
        <v>90</v>
      </c>
      <c r="AG137" s="99"/>
      <c r="AH137" s="99" t="s">
        <v>236</v>
      </c>
      <c r="AI137" s="100" t="s">
        <v>62</v>
      </c>
      <c r="AJ137" s="100" t="s">
        <v>47</v>
      </c>
      <c r="AK137" s="100" t="s">
        <v>62</v>
      </c>
      <c r="AL137" s="45" t="s">
        <v>64</v>
      </c>
      <c r="AM137" s="198" t="str">
        <f t="shared" si="16"/>
        <v>3/2026</v>
      </c>
      <c r="AN137" s="45">
        <f t="shared" si="17"/>
        <v>4</v>
      </c>
      <c r="AO137" s="45" t="str">
        <f t="shared" si="18"/>
        <v>4/2026</v>
      </c>
      <c r="AP137" s="45">
        <f t="shared" si="19"/>
        <v>3</v>
      </c>
      <c r="AQ137" s="45">
        <f t="shared" si="20"/>
        <v>24</v>
      </c>
      <c r="AR137" s="45">
        <f t="shared" si="21"/>
        <v>0</v>
      </c>
      <c r="AS137" s="45">
        <f t="shared" si="22"/>
        <v>3</v>
      </c>
      <c r="AT137" s="45">
        <f t="shared" si="23"/>
        <v>7</v>
      </c>
      <c r="AU137" s="45" t="str">
        <f>_xlfn.XLOOKUP(U137,'Lista Suspensa'!$AA$20:$AA$23,'Lista Suspensa'!$AB$20:$AB$23,"N/A")</f>
        <v>S</v>
      </c>
    </row>
    <row r="138" spans="1:47" ht="12" customHeight="1" x14ac:dyDescent="0.3">
      <c r="A138" s="87" t="s">
        <v>65</v>
      </c>
      <c r="B138" s="88">
        <v>46104</v>
      </c>
      <c r="C138" s="89" t="s">
        <v>66</v>
      </c>
      <c r="D138" s="89" t="s">
        <v>49</v>
      </c>
      <c r="E138" s="90">
        <v>799416312</v>
      </c>
      <c r="F138" s="220" t="s">
        <v>398</v>
      </c>
      <c r="G138" s="92">
        <v>27652850800</v>
      </c>
      <c r="H138" s="93">
        <v>28136</v>
      </c>
      <c r="I138" s="89">
        <v>49</v>
      </c>
      <c r="J138" s="89" t="s">
        <v>51</v>
      </c>
      <c r="K138" s="89" t="s">
        <v>52</v>
      </c>
      <c r="L138" s="89" t="s">
        <v>328</v>
      </c>
      <c r="M138" s="89"/>
      <c r="N138" s="89" t="s">
        <v>53</v>
      </c>
      <c r="O138" s="94" t="s">
        <v>399</v>
      </c>
      <c r="P138" s="95" t="s">
        <v>55</v>
      </c>
      <c r="Q138" s="144" t="s">
        <v>70</v>
      </c>
      <c r="R138" s="96">
        <v>46122</v>
      </c>
      <c r="S138" s="97"/>
      <c r="T138" s="97" t="s">
        <v>57</v>
      </c>
      <c r="U138" s="97" t="s">
        <v>71</v>
      </c>
      <c r="V138" s="93">
        <v>46122</v>
      </c>
      <c r="W138" s="93">
        <v>46154</v>
      </c>
      <c r="X138" s="93" t="s">
        <v>72</v>
      </c>
      <c r="Y138" s="98"/>
      <c r="Z138" s="89" t="s">
        <v>60</v>
      </c>
      <c r="AA138" s="97">
        <v>46115</v>
      </c>
      <c r="AB138" s="89" t="s">
        <v>61</v>
      </c>
      <c r="AC138" s="120"/>
      <c r="AD138" s="89" t="s">
        <v>73</v>
      </c>
      <c r="AE138" s="89">
        <v>56</v>
      </c>
      <c r="AF138" s="99"/>
      <c r="AG138" s="99"/>
      <c r="AH138" s="99"/>
      <c r="AI138" s="100" t="s">
        <v>62</v>
      </c>
      <c r="AJ138" s="100" t="s">
        <v>47</v>
      </c>
      <c r="AK138" s="100" t="s">
        <v>62</v>
      </c>
      <c r="AL138" s="45" t="s">
        <v>64</v>
      </c>
      <c r="AM138" s="198" t="str">
        <f t="shared" si="16"/>
        <v>3/2026</v>
      </c>
      <c r="AN138" s="45">
        <f t="shared" si="17"/>
        <v>4</v>
      </c>
      <c r="AO138" s="45" t="str">
        <f t="shared" si="18"/>
        <v>4/2026</v>
      </c>
      <c r="AP138" s="45">
        <f t="shared" si="19"/>
        <v>2</v>
      </c>
      <c r="AQ138" s="45">
        <f t="shared" si="20"/>
        <v>18</v>
      </c>
      <c r="AR138" s="45">
        <f t="shared" si="21"/>
        <v>0</v>
      </c>
      <c r="AS138" s="45">
        <f t="shared" si="22"/>
        <v>32</v>
      </c>
      <c r="AT138" s="45">
        <f t="shared" si="23"/>
        <v>-7</v>
      </c>
      <c r="AU138" s="45" t="str">
        <f>_xlfn.XLOOKUP(U138,'Lista Suspensa'!$AA$20:$AA$23,'Lista Suspensa'!$AB$20:$AB$23,"N/A")</f>
        <v>S</v>
      </c>
    </row>
    <row r="139" spans="1:47" ht="12" customHeight="1" x14ac:dyDescent="0.3">
      <c r="A139" s="87" t="s">
        <v>47</v>
      </c>
      <c r="B139" s="88">
        <v>46107</v>
      </c>
      <c r="C139" s="89" t="s">
        <v>48</v>
      </c>
      <c r="D139" s="89" t="s">
        <v>49</v>
      </c>
      <c r="E139" s="90">
        <v>451578210</v>
      </c>
      <c r="F139" s="220" t="s">
        <v>400</v>
      </c>
      <c r="G139" s="92">
        <v>29336414887</v>
      </c>
      <c r="H139" s="93">
        <v>17226</v>
      </c>
      <c r="I139" s="89">
        <v>79</v>
      </c>
      <c r="J139" s="89" t="s">
        <v>51</v>
      </c>
      <c r="K139" s="89" t="s">
        <v>52</v>
      </c>
      <c r="L139" s="89" t="s">
        <v>275</v>
      </c>
      <c r="M139" s="89" t="s">
        <v>401</v>
      </c>
      <c r="N139" s="89"/>
      <c r="O139" s="94" t="s">
        <v>402</v>
      </c>
      <c r="P139" s="95" t="s">
        <v>55</v>
      </c>
      <c r="Q139" s="144" t="s">
        <v>70</v>
      </c>
      <c r="R139" s="96">
        <v>46128</v>
      </c>
      <c r="S139" s="97"/>
      <c r="T139" s="97" t="s">
        <v>57</v>
      </c>
      <c r="U139" s="97" t="s">
        <v>71</v>
      </c>
      <c r="V139" s="93">
        <v>46122</v>
      </c>
      <c r="W139" s="93">
        <v>46126</v>
      </c>
      <c r="X139" s="93">
        <v>46128</v>
      </c>
      <c r="Y139" s="98"/>
      <c r="Z139" s="89" t="s">
        <v>60</v>
      </c>
      <c r="AA139" s="97">
        <v>46132</v>
      </c>
      <c r="AB139" s="89" t="s">
        <v>61</v>
      </c>
      <c r="AC139" s="120"/>
      <c r="AD139" s="89"/>
      <c r="AE139" s="89"/>
      <c r="AF139" s="99"/>
      <c r="AG139" s="99"/>
      <c r="AH139" s="99"/>
      <c r="AI139" s="100" t="s">
        <v>62</v>
      </c>
      <c r="AJ139" s="100" t="s">
        <v>47</v>
      </c>
      <c r="AK139" s="100" t="s">
        <v>47</v>
      </c>
      <c r="AL139" s="45" t="s">
        <v>64</v>
      </c>
      <c r="AM139" s="198" t="str">
        <f t="shared" si="16"/>
        <v>3/2026</v>
      </c>
      <c r="AN139" s="45">
        <f t="shared" si="17"/>
        <v>4</v>
      </c>
      <c r="AO139" s="45" t="str">
        <f t="shared" si="18"/>
        <v>4/2026</v>
      </c>
      <c r="AP139" s="45">
        <f t="shared" si="19"/>
        <v>3</v>
      </c>
      <c r="AQ139" s="45">
        <f t="shared" si="20"/>
        <v>21</v>
      </c>
      <c r="AR139" s="45">
        <f t="shared" si="21"/>
        <v>0</v>
      </c>
      <c r="AS139" s="45">
        <f t="shared" si="22"/>
        <v>3</v>
      </c>
      <c r="AT139" s="45">
        <f t="shared" si="23"/>
        <v>4</v>
      </c>
      <c r="AU139" s="45" t="str">
        <f>_xlfn.XLOOKUP(U139,'Lista Suspensa'!$AA$20:$AA$23,'Lista Suspensa'!$AB$20:$AB$23,"N/A")</f>
        <v>S</v>
      </c>
    </row>
    <row r="140" spans="1:47" ht="12" customHeight="1" x14ac:dyDescent="0.3">
      <c r="A140" s="87" t="s">
        <v>47</v>
      </c>
      <c r="B140" s="88">
        <v>46120</v>
      </c>
      <c r="C140" s="89" t="s">
        <v>48</v>
      </c>
      <c r="D140" s="89" t="s">
        <v>403</v>
      </c>
      <c r="E140" s="90">
        <v>92848596</v>
      </c>
      <c r="F140" s="220" t="s">
        <v>404</v>
      </c>
      <c r="G140" s="92" t="s">
        <v>405</v>
      </c>
      <c r="H140" s="93">
        <v>29337</v>
      </c>
      <c r="I140" s="89">
        <v>45</v>
      </c>
      <c r="J140" s="89" t="s">
        <v>51</v>
      </c>
      <c r="K140" s="89" t="s">
        <v>271</v>
      </c>
      <c r="L140" s="89" t="s">
        <v>342</v>
      </c>
      <c r="M140" s="89" t="s">
        <v>406</v>
      </c>
      <c r="N140" s="89" t="s">
        <v>126</v>
      </c>
      <c r="O140" s="94" t="s">
        <v>407</v>
      </c>
      <c r="P140" s="95" t="s">
        <v>55</v>
      </c>
      <c r="Q140" s="144" t="s">
        <v>70</v>
      </c>
      <c r="R140" s="96">
        <v>46128</v>
      </c>
      <c r="S140" s="97"/>
      <c r="T140" s="97" t="s">
        <v>57</v>
      </c>
      <c r="U140" s="97" t="s">
        <v>71</v>
      </c>
      <c r="V140" s="93">
        <v>46122</v>
      </c>
      <c r="W140" s="93">
        <v>46126</v>
      </c>
      <c r="X140" s="93">
        <v>46128</v>
      </c>
      <c r="Y140" s="98"/>
      <c r="Z140" s="89" t="s">
        <v>60</v>
      </c>
      <c r="AA140" s="97">
        <v>46136</v>
      </c>
      <c r="AB140" s="89" t="s">
        <v>110</v>
      </c>
      <c r="AC140" s="120"/>
      <c r="AD140" s="89"/>
      <c r="AE140" s="89"/>
      <c r="AF140" s="99"/>
      <c r="AG140" s="99"/>
      <c r="AH140" s="99"/>
      <c r="AI140" s="100" t="s">
        <v>62</v>
      </c>
      <c r="AJ140" s="100" t="s">
        <v>47</v>
      </c>
      <c r="AK140" s="100" t="s">
        <v>47</v>
      </c>
      <c r="AL140" s="45" t="s">
        <v>64</v>
      </c>
      <c r="AM140" s="198" t="str">
        <f t="shared" si="16"/>
        <v>4/2026</v>
      </c>
      <c r="AN140" s="45">
        <f t="shared" si="17"/>
        <v>2</v>
      </c>
      <c r="AO140" s="45" t="str">
        <f t="shared" si="18"/>
        <v>4/2026</v>
      </c>
      <c r="AP140" s="45">
        <f t="shared" si="19"/>
        <v>3</v>
      </c>
      <c r="AQ140" s="45">
        <f t="shared" si="20"/>
        <v>8</v>
      </c>
      <c r="AR140" s="45">
        <f t="shared" si="21"/>
        <v>0</v>
      </c>
      <c r="AS140" s="45">
        <f t="shared" si="22"/>
        <v>3</v>
      </c>
      <c r="AT140" s="45">
        <f t="shared" si="23"/>
        <v>0</v>
      </c>
      <c r="AU140" s="45" t="str">
        <f>_xlfn.XLOOKUP(U140,'Lista Suspensa'!$AA$20:$AA$23,'Lista Suspensa'!$AB$20:$AB$23,"N/A")</f>
        <v>S</v>
      </c>
    </row>
    <row r="141" spans="1:47" ht="12" customHeight="1" x14ac:dyDescent="0.3">
      <c r="A141" s="87" t="s">
        <v>47</v>
      </c>
      <c r="B141" s="88">
        <v>46120</v>
      </c>
      <c r="C141" s="89" t="s">
        <v>48</v>
      </c>
      <c r="D141" s="89" t="s">
        <v>403</v>
      </c>
      <c r="E141" s="90">
        <v>755343646</v>
      </c>
      <c r="F141" s="220" t="s">
        <v>408</v>
      </c>
      <c r="G141" s="92">
        <v>65070437704</v>
      </c>
      <c r="H141" s="93">
        <v>19514</v>
      </c>
      <c r="I141" s="89">
        <v>72</v>
      </c>
      <c r="J141" s="89" t="s">
        <v>77</v>
      </c>
      <c r="K141" s="89" t="s">
        <v>271</v>
      </c>
      <c r="L141" s="89" t="s">
        <v>342</v>
      </c>
      <c r="M141" s="89" t="s">
        <v>409</v>
      </c>
      <c r="N141" s="89" t="s">
        <v>53</v>
      </c>
      <c r="O141" s="94" t="s">
        <v>410</v>
      </c>
      <c r="P141" s="95" t="s">
        <v>55</v>
      </c>
      <c r="Q141" s="144" t="s">
        <v>70</v>
      </c>
      <c r="R141" s="96">
        <v>46128</v>
      </c>
      <c r="S141" s="97"/>
      <c r="T141" s="97" t="s">
        <v>57</v>
      </c>
      <c r="U141" s="97" t="s">
        <v>71</v>
      </c>
      <c r="V141" s="93">
        <v>46122</v>
      </c>
      <c r="W141" s="93">
        <v>46126</v>
      </c>
      <c r="X141" s="93">
        <v>46128</v>
      </c>
      <c r="Y141" s="98"/>
      <c r="Z141" s="89" t="s">
        <v>60</v>
      </c>
      <c r="AA141" s="97">
        <v>46132</v>
      </c>
      <c r="AB141" s="89" t="s">
        <v>61</v>
      </c>
      <c r="AC141" s="120"/>
      <c r="AD141" s="89" t="s">
        <v>411</v>
      </c>
      <c r="AE141" s="89">
        <v>32</v>
      </c>
      <c r="AF141" s="99" t="s">
        <v>81</v>
      </c>
      <c r="AG141" s="99"/>
      <c r="AH141" s="99" t="s">
        <v>75</v>
      </c>
      <c r="AI141" s="100" t="s">
        <v>62</v>
      </c>
      <c r="AJ141" s="100" t="s">
        <v>47</v>
      </c>
      <c r="AK141" s="100" t="s">
        <v>47</v>
      </c>
      <c r="AL141" s="45" t="s">
        <v>64</v>
      </c>
      <c r="AM141" s="198" t="str">
        <f t="shared" si="16"/>
        <v>4/2026</v>
      </c>
      <c r="AN141" s="45">
        <f t="shared" si="17"/>
        <v>2</v>
      </c>
      <c r="AO141" s="45" t="str">
        <f t="shared" si="18"/>
        <v>4/2026</v>
      </c>
      <c r="AP141" s="45">
        <f t="shared" si="19"/>
        <v>3</v>
      </c>
      <c r="AQ141" s="45">
        <f t="shared" si="20"/>
        <v>8</v>
      </c>
      <c r="AR141" s="45">
        <f t="shared" si="21"/>
        <v>0</v>
      </c>
      <c r="AS141" s="45">
        <f t="shared" si="22"/>
        <v>3</v>
      </c>
      <c r="AT141" s="45">
        <f t="shared" si="23"/>
        <v>4</v>
      </c>
      <c r="AU141" s="45" t="str">
        <f>_xlfn.XLOOKUP(U141,'Lista Suspensa'!$AA$20:$AA$23,'Lista Suspensa'!$AB$20:$AB$23,"N/A")</f>
        <v>S</v>
      </c>
    </row>
    <row r="142" spans="1:47" ht="12" customHeight="1" x14ac:dyDescent="0.3">
      <c r="A142" s="87" t="s">
        <v>47</v>
      </c>
      <c r="B142" s="88">
        <v>46122</v>
      </c>
      <c r="C142" s="89" t="s">
        <v>48</v>
      </c>
      <c r="D142" s="89" t="s">
        <v>49</v>
      </c>
      <c r="E142" s="90">
        <v>78496696</v>
      </c>
      <c r="F142" s="220" t="s">
        <v>412</v>
      </c>
      <c r="G142" s="92">
        <v>1791288847</v>
      </c>
      <c r="H142" s="93">
        <v>21164</v>
      </c>
      <c r="I142" s="89">
        <v>68</v>
      </c>
      <c r="J142" s="89" t="s">
        <v>77</v>
      </c>
      <c r="K142" s="89" t="s">
        <v>52</v>
      </c>
      <c r="L142" s="89"/>
      <c r="M142" s="89"/>
      <c r="N142" s="89" t="s">
        <v>83</v>
      </c>
      <c r="O142" s="94">
        <v>11980509560</v>
      </c>
      <c r="P142" s="95" t="s">
        <v>55</v>
      </c>
      <c r="Q142" s="144" t="s">
        <v>70</v>
      </c>
      <c r="R142" s="96">
        <v>46128</v>
      </c>
      <c r="S142" s="97"/>
      <c r="T142" s="97" t="s">
        <v>57</v>
      </c>
      <c r="U142" s="97" t="s">
        <v>71</v>
      </c>
      <c r="V142" s="93">
        <v>46126</v>
      </c>
      <c r="W142" s="93">
        <v>46128</v>
      </c>
      <c r="X142" s="93" t="s">
        <v>72</v>
      </c>
      <c r="Y142" s="98"/>
      <c r="Z142" s="89" t="s">
        <v>60</v>
      </c>
      <c r="AA142" s="97">
        <v>46134</v>
      </c>
      <c r="AB142" s="89" t="s">
        <v>110</v>
      </c>
      <c r="AC142" s="120"/>
      <c r="AD142" s="89"/>
      <c r="AE142" s="89"/>
      <c r="AF142" s="99"/>
      <c r="AG142" s="99"/>
      <c r="AH142" s="99"/>
      <c r="AI142" s="100" t="s">
        <v>62</v>
      </c>
      <c r="AJ142" s="100" t="s">
        <v>47</v>
      </c>
      <c r="AK142" s="100" t="s">
        <v>47</v>
      </c>
      <c r="AL142" s="45" t="s">
        <v>64</v>
      </c>
      <c r="AM142" s="198" t="str">
        <f t="shared" si="16"/>
        <v>4/2026</v>
      </c>
      <c r="AN142" s="45">
        <f t="shared" si="17"/>
        <v>2</v>
      </c>
      <c r="AO142" s="45" t="str">
        <f t="shared" si="18"/>
        <v>4/2026</v>
      </c>
      <c r="AP142" s="45">
        <f t="shared" si="19"/>
        <v>3</v>
      </c>
      <c r="AQ142" s="45">
        <f t="shared" si="20"/>
        <v>6</v>
      </c>
      <c r="AR142" s="45">
        <f t="shared" si="21"/>
        <v>0</v>
      </c>
      <c r="AS142" s="45">
        <f t="shared" si="22"/>
        <v>2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customHeight="1" x14ac:dyDescent="0.3">
      <c r="A143" s="87" t="s">
        <v>47</v>
      </c>
      <c r="B143" s="88">
        <v>46122</v>
      </c>
      <c r="C143" s="89" t="s">
        <v>48</v>
      </c>
      <c r="D143" s="89" t="s">
        <v>403</v>
      </c>
      <c r="E143" s="90">
        <v>450081605</v>
      </c>
      <c r="F143" s="220" t="s">
        <v>413</v>
      </c>
      <c r="G143" s="92">
        <v>67372155800</v>
      </c>
      <c r="H143" s="93">
        <v>20123</v>
      </c>
      <c r="I143" s="89">
        <v>71</v>
      </c>
      <c r="J143" s="89" t="s">
        <v>51</v>
      </c>
      <c r="K143" s="89" t="s">
        <v>52</v>
      </c>
      <c r="L143" s="89" t="s">
        <v>275</v>
      </c>
      <c r="M143" s="89" t="s">
        <v>414</v>
      </c>
      <c r="N143" s="89" t="s">
        <v>53</v>
      </c>
      <c r="O143" s="94">
        <v>11991785087</v>
      </c>
      <c r="P143" s="95" t="s">
        <v>55</v>
      </c>
      <c r="Q143" s="144" t="s">
        <v>70</v>
      </c>
      <c r="R143" s="96">
        <v>46122</v>
      </c>
      <c r="S143" s="97"/>
      <c r="T143" s="97" t="s">
        <v>57</v>
      </c>
      <c r="U143" s="97" t="s">
        <v>71</v>
      </c>
      <c r="V143" s="93">
        <v>46122</v>
      </c>
      <c r="W143" s="93" t="s">
        <v>72</v>
      </c>
      <c r="X143" s="93" t="s">
        <v>72</v>
      </c>
      <c r="Y143" s="98"/>
      <c r="Z143" s="89" t="s">
        <v>60</v>
      </c>
      <c r="AA143" s="97">
        <v>46128</v>
      </c>
      <c r="AB143" s="89" t="s">
        <v>110</v>
      </c>
      <c r="AC143" s="120">
        <v>46161</v>
      </c>
      <c r="AD143" s="89"/>
      <c r="AE143" s="89"/>
      <c r="AF143" s="99"/>
      <c r="AG143" s="99"/>
      <c r="AH143" s="99"/>
      <c r="AI143" s="100" t="s">
        <v>62</v>
      </c>
      <c r="AJ143" s="100" t="s">
        <v>47</v>
      </c>
      <c r="AK143" s="100" t="s">
        <v>47</v>
      </c>
      <c r="AL143" s="45" t="s">
        <v>64</v>
      </c>
      <c r="AM143" s="198" t="str">
        <f t="shared" si="16"/>
        <v>4/2026</v>
      </c>
      <c r="AN143" s="45">
        <f t="shared" si="17"/>
        <v>2</v>
      </c>
      <c r="AO143" s="45" t="str">
        <f t="shared" si="18"/>
        <v>4/2026</v>
      </c>
      <c r="AP143" s="45">
        <f t="shared" si="19"/>
        <v>2</v>
      </c>
      <c r="AQ143" s="45">
        <f t="shared" si="20"/>
        <v>0</v>
      </c>
      <c r="AR143" s="45">
        <f t="shared" si="21"/>
        <v>0</v>
      </c>
      <c r="AS143" s="45">
        <f t="shared" si="22"/>
        <v>0</v>
      </c>
      <c r="AT143" s="45">
        <f t="shared" si="23"/>
        <v>0</v>
      </c>
      <c r="AU143" s="45" t="str">
        <f>_xlfn.XLOOKUP(U143,'Lista Suspensa'!$AA$20:$AA$23,'Lista Suspensa'!$AB$20:$AB$23,"N/A")</f>
        <v>S</v>
      </c>
    </row>
    <row r="144" spans="1:47" ht="12" customHeight="1" x14ac:dyDescent="0.3">
      <c r="A144" s="87" t="s">
        <v>47</v>
      </c>
      <c r="B144" s="88">
        <v>46122</v>
      </c>
      <c r="C144" s="89" t="s">
        <v>48</v>
      </c>
      <c r="D144" s="89" t="s">
        <v>49</v>
      </c>
      <c r="E144" s="90">
        <v>808309811</v>
      </c>
      <c r="F144" s="220" t="s">
        <v>415</v>
      </c>
      <c r="G144" s="92">
        <v>10717308863</v>
      </c>
      <c r="H144" s="93">
        <v>25358</v>
      </c>
      <c r="I144" s="89">
        <v>56</v>
      </c>
      <c r="J144" s="89" t="s">
        <v>77</v>
      </c>
      <c r="K144" s="89" t="s">
        <v>52</v>
      </c>
      <c r="L144" s="89"/>
      <c r="M144" s="89"/>
      <c r="N144" s="89" t="s">
        <v>53</v>
      </c>
      <c r="O144" s="94">
        <v>11943245271</v>
      </c>
      <c r="P144" s="95" t="s">
        <v>55</v>
      </c>
      <c r="Q144" s="144" t="s">
        <v>136</v>
      </c>
      <c r="R144" s="96"/>
      <c r="S144" s="97">
        <v>46167</v>
      </c>
      <c r="T144" s="97" t="s">
        <v>183</v>
      </c>
      <c r="U144" s="97" t="s">
        <v>58</v>
      </c>
      <c r="V144" s="93">
        <v>46126</v>
      </c>
      <c r="W144" s="93">
        <v>46141</v>
      </c>
      <c r="X144" s="93">
        <v>46164</v>
      </c>
      <c r="Y144" s="98"/>
      <c r="Z144" s="89"/>
      <c r="AA144" s="97"/>
      <c r="AB144" s="89"/>
      <c r="AC144" s="120"/>
      <c r="AD144" s="89"/>
      <c r="AE144" s="89"/>
      <c r="AF144" s="99"/>
      <c r="AG144" s="99"/>
      <c r="AH144" s="99"/>
      <c r="AI144" s="100" t="s">
        <v>62</v>
      </c>
      <c r="AJ144" s="100" t="s">
        <v>63</v>
      </c>
      <c r="AK144" s="100" t="s">
        <v>47</v>
      </c>
      <c r="AL144" s="45" t="s">
        <v>64</v>
      </c>
      <c r="AM144" s="198" t="str">
        <f t="shared" si="16"/>
        <v>4/2026</v>
      </c>
      <c r="AN144" s="45">
        <f t="shared" si="17"/>
        <v>2</v>
      </c>
      <c r="AO144" s="45" t="str">
        <f t="shared" si="18"/>
        <v>1/1900</v>
      </c>
      <c r="AP144" s="45" t="e">
        <f t="shared" si="19"/>
        <v>#NUM!</v>
      </c>
      <c r="AQ144" s="45">
        <f t="shared" si="20"/>
        <v>0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customHeight="1" x14ac:dyDescent="0.3">
      <c r="A145" s="87" t="s">
        <v>47</v>
      </c>
      <c r="B145" s="88">
        <v>46122</v>
      </c>
      <c r="C145" s="89" t="s">
        <v>48</v>
      </c>
      <c r="D145" s="89" t="s">
        <v>49</v>
      </c>
      <c r="E145" s="90">
        <v>596823363</v>
      </c>
      <c r="F145" s="220" t="s">
        <v>416</v>
      </c>
      <c r="G145" s="92">
        <v>85264679800</v>
      </c>
      <c r="H145" s="93">
        <v>20974</v>
      </c>
      <c r="I145" s="89">
        <v>68</v>
      </c>
      <c r="J145" s="89" t="s">
        <v>51</v>
      </c>
      <c r="K145" s="89" t="s">
        <v>52</v>
      </c>
      <c r="L145" s="89" t="s">
        <v>275</v>
      </c>
      <c r="M145" s="89"/>
      <c r="N145" s="89" t="s">
        <v>79</v>
      </c>
      <c r="O145" s="94">
        <v>11995000031</v>
      </c>
      <c r="P145" s="95" t="s">
        <v>55</v>
      </c>
      <c r="Q145" s="144" t="s">
        <v>70</v>
      </c>
      <c r="R145" s="96">
        <v>46128</v>
      </c>
      <c r="S145" s="97"/>
      <c r="T145" s="97" t="s">
        <v>57</v>
      </c>
      <c r="U145" s="97" t="s">
        <v>71</v>
      </c>
      <c r="V145" s="93">
        <v>46126</v>
      </c>
      <c r="W145" s="93">
        <v>46128</v>
      </c>
      <c r="X145" s="93" t="s">
        <v>72</v>
      </c>
      <c r="Y145" s="98"/>
      <c r="Z145" s="89" t="s">
        <v>60</v>
      </c>
      <c r="AA145" s="97">
        <v>46132</v>
      </c>
      <c r="AB145" s="89" t="s">
        <v>61</v>
      </c>
      <c r="AC145" s="120"/>
      <c r="AD145" s="89" t="s">
        <v>417</v>
      </c>
      <c r="AE145" s="89">
        <v>61</v>
      </c>
      <c r="AF145" s="99" t="s">
        <v>97</v>
      </c>
      <c r="AG145" s="99"/>
      <c r="AH145" s="99" t="s">
        <v>75</v>
      </c>
      <c r="AI145" s="100" t="s">
        <v>62</v>
      </c>
      <c r="AJ145" s="100" t="s">
        <v>47</v>
      </c>
      <c r="AK145" s="100" t="s">
        <v>47</v>
      </c>
      <c r="AL145" s="45" t="s">
        <v>64</v>
      </c>
      <c r="AM145" s="198" t="str">
        <f t="shared" si="16"/>
        <v>4/2026</v>
      </c>
      <c r="AN145" s="45">
        <f t="shared" si="17"/>
        <v>2</v>
      </c>
      <c r="AO145" s="45" t="str">
        <f t="shared" si="18"/>
        <v>4/2026</v>
      </c>
      <c r="AP145" s="45">
        <f t="shared" si="19"/>
        <v>3</v>
      </c>
      <c r="AQ145" s="45">
        <f t="shared" si="20"/>
        <v>6</v>
      </c>
      <c r="AR145" s="45">
        <f t="shared" si="21"/>
        <v>0</v>
      </c>
      <c r="AS145" s="45">
        <f t="shared" si="22"/>
        <v>2</v>
      </c>
      <c r="AT145" s="45">
        <f t="shared" si="23"/>
        <v>4</v>
      </c>
      <c r="AU145" s="45" t="str">
        <f>_xlfn.XLOOKUP(U145,'Lista Suspensa'!$AA$20:$AA$23,'Lista Suspensa'!$AB$20:$AB$23,"N/A")</f>
        <v>S</v>
      </c>
    </row>
    <row r="146" spans="1:47" ht="12" customHeight="1" x14ac:dyDescent="0.3">
      <c r="A146" s="87" t="s">
        <v>47</v>
      </c>
      <c r="B146" s="88">
        <v>46122</v>
      </c>
      <c r="C146" s="89" t="s">
        <v>48</v>
      </c>
      <c r="D146" s="89" t="s">
        <v>49</v>
      </c>
      <c r="E146" s="90">
        <v>95927283</v>
      </c>
      <c r="F146" s="220" t="s">
        <v>418</v>
      </c>
      <c r="G146" s="92">
        <v>87215942872</v>
      </c>
      <c r="H146" s="93">
        <v>21074</v>
      </c>
      <c r="I146" s="89">
        <v>68</v>
      </c>
      <c r="J146" s="89" t="s">
        <v>51</v>
      </c>
      <c r="K146" s="89" t="s">
        <v>52</v>
      </c>
      <c r="L146" s="89" t="s">
        <v>275</v>
      </c>
      <c r="M146" s="89"/>
      <c r="N146" s="89" t="s">
        <v>104</v>
      </c>
      <c r="O146" s="94">
        <v>11950208935</v>
      </c>
      <c r="P146" s="95" t="s">
        <v>55</v>
      </c>
      <c r="Q146" s="144" t="s">
        <v>70</v>
      </c>
      <c r="R146" s="96">
        <v>46141</v>
      </c>
      <c r="S146" s="97"/>
      <c r="T146" s="97" t="s">
        <v>57</v>
      </c>
      <c r="U146" s="97" t="s">
        <v>71</v>
      </c>
      <c r="V146" s="93">
        <v>46126</v>
      </c>
      <c r="W146" s="93">
        <v>46141</v>
      </c>
      <c r="X146" s="93">
        <v>46141</v>
      </c>
      <c r="Y146" s="98"/>
      <c r="Z146" s="89" t="s">
        <v>60</v>
      </c>
      <c r="AA146" s="97">
        <v>46146</v>
      </c>
      <c r="AB146" s="89" t="s">
        <v>110</v>
      </c>
      <c r="AC146" s="120">
        <v>46174</v>
      </c>
      <c r="AD146" s="89"/>
      <c r="AE146" s="89"/>
      <c r="AF146" s="99" t="s">
        <v>378</v>
      </c>
      <c r="AG146" s="99"/>
      <c r="AH146" s="99" t="s">
        <v>75</v>
      </c>
      <c r="AI146" s="100" t="s">
        <v>62</v>
      </c>
      <c r="AJ146" s="100" t="s">
        <v>47</v>
      </c>
      <c r="AK146" s="100" t="s">
        <v>47</v>
      </c>
      <c r="AL146" s="45" t="s">
        <v>64</v>
      </c>
      <c r="AM146" s="198" t="str">
        <f t="shared" si="16"/>
        <v>4/2026</v>
      </c>
      <c r="AN146" s="45">
        <f t="shared" si="17"/>
        <v>2</v>
      </c>
      <c r="AO146" s="45" t="str">
        <f t="shared" si="18"/>
        <v>4/2026</v>
      </c>
      <c r="AP146" s="45">
        <f t="shared" si="19"/>
        <v>5</v>
      </c>
      <c r="AQ146" s="45">
        <f t="shared" si="20"/>
        <v>19</v>
      </c>
      <c r="AR146" s="45">
        <f t="shared" si="21"/>
        <v>0</v>
      </c>
      <c r="AS146" s="45">
        <f t="shared" si="22"/>
        <v>7.5</v>
      </c>
      <c r="AT146" s="45">
        <f t="shared" si="23"/>
        <v>0</v>
      </c>
      <c r="AU146" s="45" t="str">
        <f>_xlfn.XLOOKUP(U146,'Lista Suspensa'!$AA$20:$AA$23,'Lista Suspensa'!$AB$20:$AB$23,"N/A")</f>
        <v>S</v>
      </c>
    </row>
    <row r="147" spans="1:47" ht="12" customHeight="1" x14ac:dyDescent="0.3">
      <c r="A147" s="87" t="s">
        <v>47</v>
      </c>
      <c r="B147" s="88">
        <v>46128</v>
      </c>
      <c r="C147" s="89" t="s">
        <v>48</v>
      </c>
      <c r="D147" s="89" t="s">
        <v>403</v>
      </c>
      <c r="E147" s="90">
        <v>451628462</v>
      </c>
      <c r="F147" s="220" t="s">
        <v>419</v>
      </c>
      <c r="G147" s="92" t="s">
        <v>420</v>
      </c>
      <c r="H147" s="93">
        <v>12399</v>
      </c>
      <c r="I147" s="89">
        <v>92</v>
      </c>
      <c r="J147" s="89" t="s">
        <v>51</v>
      </c>
      <c r="K147" s="89" t="s">
        <v>52</v>
      </c>
      <c r="L147" s="89" t="s">
        <v>275</v>
      </c>
      <c r="M147" s="89" t="s">
        <v>421</v>
      </c>
      <c r="N147" s="89">
        <v>100</v>
      </c>
      <c r="O147" s="94">
        <v>11983064224</v>
      </c>
      <c r="P147" s="95" t="s">
        <v>55</v>
      </c>
      <c r="Q147" s="144" t="s">
        <v>70</v>
      </c>
      <c r="R147" s="96">
        <v>46178</v>
      </c>
      <c r="S147" s="97"/>
      <c r="T147" s="97" t="s">
        <v>57</v>
      </c>
      <c r="U147" s="97" t="s">
        <v>71</v>
      </c>
      <c r="V147" s="93">
        <v>46141</v>
      </c>
      <c r="W147" s="93">
        <v>46147</v>
      </c>
      <c r="X147" s="93">
        <v>46164</v>
      </c>
      <c r="Y147" s="98"/>
      <c r="Z147" s="89" t="s">
        <v>60</v>
      </c>
      <c r="AA147" s="97">
        <v>46183</v>
      </c>
      <c r="AB147" s="89"/>
      <c r="AC147" s="120"/>
      <c r="AD147" s="89"/>
      <c r="AE147" s="89"/>
      <c r="AF147" s="99"/>
      <c r="AG147" s="99"/>
      <c r="AH147" s="99"/>
      <c r="AI147" s="100" t="s">
        <v>62</v>
      </c>
      <c r="AJ147" s="100" t="s">
        <v>47</v>
      </c>
      <c r="AK147" s="100" t="s">
        <v>47</v>
      </c>
      <c r="AL147" s="45" t="s">
        <v>64</v>
      </c>
      <c r="AM147" s="198" t="str">
        <f t="shared" si="16"/>
        <v>4/2026</v>
      </c>
      <c r="AN147" s="45">
        <f t="shared" si="17"/>
        <v>3</v>
      </c>
      <c r="AO147" s="45" t="str">
        <f t="shared" si="18"/>
        <v>6/2026</v>
      </c>
      <c r="AP147" s="45">
        <f t="shared" si="19"/>
        <v>1</v>
      </c>
      <c r="AQ147" s="45">
        <f t="shared" si="20"/>
        <v>50</v>
      </c>
      <c r="AR147" s="45">
        <f t="shared" si="21"/>
        <v>0</v>
      </c>
      <c r="AS147" s="45">
        <f t="shared" si="22"/>
        <v>11.5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customHeight="1" x14ac:dyDescent="0.3">
      <c r="A148" s="87" t="s">
        <v>47</v>
      </c>
      <c r="B148" s="88">
        <v>46128</v>
      </c>
      <c r="C148" s="89" t="s">
        <v>48</v>
      </c>
      <c r="D148" s="89" t="s">
        <v>403</v>
      </c>
      <c r="E148" s="90">
        <v>76913676</v>
      </c>
      <c r="F148" s="220" t="s">
        <v>422</v>
      </c>
      <c r="G148" s="92" t="s">
        <v>423</v>
      </c>
      <c r="H148" s="93">
        <v>23537</v>
      </c>
      <c r="I148" s="89">
        <v>61</v>
      </c>
      <c r="J148" s="89" t="s">
        <v>77</v>
      </c>
      <c r="K148" s="89" t="s">
        <v>52</v>
      </c>
      <c r="L148" s="89" t="s">
        <v>275</v>
      </c>
      <c r="M148" s="89" t="s">
        <v>424</v>
      </c>
      <c r="N148" s="89">
        <v>50</v>
      </c>
      <c r="O148" s="94">
        <v>11965831583</v>
      </c>
      <c r="P148" s="95" t="s">
        <v>55</v>
      </c>
      <c r="Q148" s="144" t="s">
        <v>70</v>
      </c>
      <c r="R148" s="96">
        <v>46114</v>
      </c>
      <c r="S148" s="97"/>
      <c r="T148" s="97" t="s">
        <v>57</v>
      </c>
      <c r="U148" s="97" t="s">
        <v>71</v>
      </c>
      <c r="V148" s="93">
        <v>46114</v>
      </c>
      <c r="W148" s="93">
        <v>46114</v>
      </c>
      <c r="X148" s="93" t="s">
        <v>72</v>
      </c>
      <c r="Y148" s="98"/>
      <c r="Z148" s="89" t="s">
        <v>60</v>
      </c>
      <c r="AA148" s="97">
        <v>46146</v>
      </c>
      <c r="AB148" s="89" t="s">
        <v>61</v>
      </c>
      <c r="AC148" s="120"/>
      <c r="AD148" s="89"/>
      <c r="AE148" s="89"/>
      <c r="AF148" s="99" t="s">
        <v>100</v>
      </c>
      <c r="AG148" s="99"/>
      <c r="AH148" s="99" t="s">
        <v>75</v>
      </c>
      <c r="AI148" s="100" t="s">
        <v>62</v>
      </c>
      <c r="AJ148" s="100" t="s">
        <v>47</v>
      </c>
      <c r="AK148" s="100" t="s">
        <v>47</v>
      </c>
      <c r="AL148" s="45" t="s">
        <v>64</v>
      </c>
      <c r="AM148" s="198" t="str">
        <f t="shared" si="16"/>
        <v>4/2026</v>
      </c>
      <c r="AN148" s="45">
        <f t="shared" si="17"/>
        <v>3</v>
      </c>
      <c r="AO148" s="45" t="str">
        <f t="shared" si="18"/>
        <v>4/2026</v>
      </c>
      <c r="AP148" s="45">
        <f t="shared" si="19"/>
        <v>1</v>
      </c>
      <c r="AQ148" s="45">
        <f t="shared" si="20"/>
        <v>-14</v>
      </c>
      <c r="AR148" s="45">
        <f t="shared" si="21"/>
        <v>0</v>
      </c>
      <c r="AS148" s="45">
        <f t="shared" si="22"/>
        <v>0</v>
      </c>
      <c r="AT148" s="45">
        <f t="shared" si="23"/>
        <v>32</v>
      </c>
      <c r="AU148" s="45" t="str">
        <f>_xlfn.XLOOKUP(U148,'Lista Suspensa'!$AA$20:$AA$23,'Lista Suspensa'!$AB$20:$AB$23,"N/A")</f>
        <v>S</v>
      </c>
    </row>
    <row r="149" spans="1:47" ht="12" customHeight="1" x14ac:dyDescent="0.3">
      <c r="A149" s="87" t="s">
        <v>47</v>
      </c>
      <c r="B149" s="88">
        <v>46134</v>
      </c>
      <c r="C149" s="89" t="s">
        <v>48</v>
      </c>
      <c r="D149" s="89" t="s">
        <v>403</v>
      </c>
      <c r="E149" s="90">
        <v>93038167</v>
      </c>
      <c r="F149" s="220" t="s">
        <v>425</v>
      </c>
      <c r="G149" s="92" t="s">
        <v>426</v>
      </c>
      <c r="H149" s="93">
        <v>20845</v>
      </c>
      <c r="I149" s="89">
        <v>69</v>
      </c>
      <c r="J149" s="89" t="s">
        <v>51</v>
      </c>
      <c r="K149" s="89" t="s">
        <v>52</v>
      </c>
      <c r="L149" s="89" t="s">
        <v>275</v>
      </c>
      <c r="M149" s="89" t="s">
        <v>427</v>
      </c>
      <c r="N149" s="89">
        <v>60</v>
      </c>
      <c r="O149" s="94">
        <v>11997108954</v>
      </c>
      <c r="P149" s="95" t="s">
        <v>55</v>
      </c>
      <c r="Q149" s="144" t="s">
        <v>136</v>
      </c>
      <c r="R149" s="96"/>
      <c r="S149" s="97">
        <v>46167</v>
      </c>
      <c r="T149" s="97" t="s">
        <v>183</v>
      </c>
      <c r="U149" s="97" t="s">
        <v>58</v>
      </c>
      <c r="V149" s="93">
        <v>46141</v>
      </c>
      <c r="W149" s="93">
        <v>46147</v>
      </c>
      <c r="X149" s="93">
        <v>46164</v>
      </c>
      <c r="Y149" s="98"/>
      <c r="Z149" s="89"/>
      <c r="AA149" s="97"/>
      <c r="AB149" s="89"/>
      <c r="AC149" s="120"/>
      <c r="AD149" s="89"/>
      <c r="AE149" s="89"/>
      <c r="AF149" s="99"/>
      <c r="AG149" s="99"/>
      <c r="AH149" s="99"/>
      <c r="AI149" s="100" t="s">
        <v>47</v>
      </c>
      <c r="AJ149" s="100" t="s">
        <v>63</v>
      </c>
      <c r="AK149" s="100" t="s">
        <v>47</v>
      </c>
      <c r="AL149" s="45" t="s">
        <v>64</v>
      </c>
      <c r="AM149" s="198" t="str">
        <f t="shared" si="16"/>
        <v>4/2026</v>
      </c>
      <c r="AN149" s="45">
        <f t="shared" si="17"/>
        <v>4</v>
      </c>
      <c r="AO149" s="45" t="str">
        <f t="shared" si="18"/>
        <v>1/1900</v>
      </c>
      <c r="AP149" s="45" t="e">
        <f t="shared" si="19"/>
        <v>#NUM!</v>
      </c>
      <c r="AQ149" s="45">
        <f t="shared" si="20"/>
        <v>0</v>
      </c>
      <c r="AR149" s="45">
        <f t="shared" si="21"/>
        <v>0</v>
      </c>
      <c r="AS149" s="45">
        <f t="shared" si="22"/>
        <v>0</v>
      </c>
      <c r="AT149" s="45">
        <f t="shared" si="23"/>
        <v>0</v>
      </c>
      <c r="AU149" s="45" t="str">
        <f>_xlfn.XLOOKUP(U149,'Lista Suspensa'!$AA$20:$AA$23,'Lista Suspensa'!$AB$20:$AB$23,"N/A")</f>
        <v>S</v>
      </c>
    </row>
    <row r="150" spans="1:47" ht="12" customHeight="1" x14ac:dyDescent="0.3">
      <c r="A150" s="87" t="s">
        <v>47</v>
      </c>
      <c r="B150" s="88">
        <v>46135</v>
      </c>
      <c r="C150" s="89" t="s">
        <v>48</v>
      </c>
      <c r="D150" s="89" t="s">
        <v>49</v>
      </c>
      <c r="E150" s="90">
        <v>450125572</v>
      </c>
      <c r="F150" s="220" t="s">
        <v>428</v>
      </c>
      <c r="G150" s="92">
        <v>31057896853</v>
      </c>
      <c r="H150" s="93">
        <v>16205</v>
      </c>
      <c r="I150" s="89">
        <v>81</v>
      </c>
      <c r="J150" s="89" t="s">
        <v>77</v>
      </c>
      <c r="K150" s="89" t="s">
        <v>52</v>
      </c>
      <c r="L150" s="89" t="s">
        <v>275</v>
      </c>
      <c r="M150" s="89" t="s">
        <v>429</v>
      </c>
      <c r="N150" s="89">
        <v>100</v>
      </c>
      <c r="O150" s="94" t="s">
        <v>430</v>
      </c>
      <c r="P150" s="95" t="s">
        <v>55</v>
      </c>
      <c r="Q150" s="144" t="s">
        <v>70</v>
      </c>
      <c r="R150" s="96">
        <v>46147</v>
      </c>
      <c r="S150" s="97"/>
      <c r="T150" s="97" t="s">
        <v>57</v>
      </c>
      <c r="U150" s="97" t="s">
        <v>71</v>
      </c>
      <c r="V150" s="93">
        <v>46141</v>
      </c>
      <c r="W150" s="93">
        <v>46147</v>
      </c>
      <c r="X150" s="93" t="s">
        <v>72</v>
      </c>
      <c r="Y150" s="98"/>
      <c r="Z150" s="89" t="s">
        <v>60</v>
      </c>
      <c r="AA150" s="97">
        <v>46149</v>
      </c>
      <c r="AB150" s="89" t="s">
        <v>61</v>
      </c>
      <c r="AC150" s="120"/>
      <c r="AD150" s="89" t="s">
        <v>73</v>
      </c>
      <c r="AE150" s="89">
        <v>46</v>
      </c>
      <c r="AF150" s="99" t="s">
        <v>97</v>
      </c>
      <c r="AG150" s="99"/>
      <c r="AH150" s="99" t="s">
        <v>75</v>
      </c>
      <c r="AI150" s="100" t="s">
        <v>47</v>
      </c>
      <c r="AJ150" s="100" t="s">
        <v>47</v>
      </c>
      <c r="AK150" s="100" t="s">
        <v>47</v>
      </c>
      <c r="AL150" s="45" t="s">
        <v>64</v>
      </c>
      <c r="AM150" s="198" t="str">
        <f t="shared" si="16"/>
        <v>4/2026</v>
      </c>
      <c r="AN150" s="45">
        <f t="shared" si="17"/>
        <v>4</v>
      </c>
      <c r="AO150" s="45" t="str">
        <f t="shared" si="18"/>
        <v>5/2026</v>
      </c>
      <c r="AP150" s="45">
        <f t="shared" si="19"/>
        <v>2</v>
      </c>
      <c r="AQ150" s="45">
        <f t="shared" si="20"/>
        <v>12</v>
      </c>
      <c r="AR150" s="45">
        <f t="shared" si="21"/>
        <v>0</v>
      </c>
      <c r="AS150" s="45">
        <f t="shared" si="22"/>
        <v>6</v>
      </c>
      <c r="AT150" s="45">
        <f t="shared" si="23"/>
        <v>2</v>
      </c>
      <c r="AU150" s="45" t="str">
        <f>_xlfn.XLOOKUP(U150,'Lista Suspensa'!$AA$20:$AA$23,'Lista Suspensa'!$AB$20:$AB$23,"N/A")</f>
        <v>S</v>
      </c>
    </row>
    <row r="151" spans="1:47" ht="12" customHeight="1" x14ac:dyDescent="0.3">
      <c r="A151" s="87" t="s">
        <v>47</v>
      </c>
      <c r="B151" s="88">
        <v>46139</v>
      </c>
      <c r="C151" s="89" t="s">
        <v>48</v>
      </c>
      <c r="D151" s="89" t="s">
        <v>49</v>
      </c>
      <c r="E151" s="90">
        <v>652422640</v>
      </c>
      <c r="F151" s="220" t="s">
        <v>431</v>
      </c>
      <c r="G151" s="92" t="s">
        <v>432</v>
      </c>
      <c r="H151" s="93">
        <v>27858</v>
      </c>
      <c r="I151" s="89">
        <v>50</v>
      </c>
      <c r="J151" s="89" t="s">
        <v>77</v>
      </c>
      <c r="K151" s="89" t="s">
        <v>52</v>
      </c>
      <c r="L151" s="89"/>
      <c r="M151" s="89"/>
      <c r="N151" s="89">
        <v>400</v>
      </c>
      <c r="O151" s="94">
        <v>11966695038</v>
      </c>
      <c r="P151" s="95" t="s">
        <v>55</v>
      </c>
      <c r="Q151" s="144" t="s">
        <v>136</v>
      </c>
      <c r="R151" s="96"/>
      <c r="S151" s="97">
        <v>46167</v>
      </c>
      <c r="T151" s="97" t="s">
        <v>183</v>
      </c>
      <c r="U151" s="97" t="s">
        <v>58</v>
      </c>
      <c r="V151" s="93">
        <v>46141</v>
      </c>
      <c r="W151" s="93">
        <v>46147</v>
      </c>
      <c r="X151" s="93">
        <v>46164</v>
      </c>
      <c r="Y151" s="98"/>
      <c r="Z151" s="89"/>
      <c r="AA151" s="97"/>
      <c r="AB151" s="89"/>
      <c r="AC151" s="120"/>
      <c r="AD151" s="89"/>
      <c r="AE151" s="89"/>
      <c r="AF151" s="99"/>
      <c r="AG151" s="99"/>
      <c r="AH151" s="99"/>
      <c r="AI151" s="100" t="s">
        <v>47</v>
      </c>
      <c r="AJ151" s="100" t="s">
        <v>63</v>
      </c>
      <c r="AK151" s="100" t="s">
        <v>47</v>
      </c>
      <c r="AL151" s="45" t="s">
        <v>64</v>
      </c>
      <c r="AM151" s="198" t="str">
        <f t="shared" si="16"/>
        <v>4/2026</v>
      </c>
      <c r="AN151" s="45">
        <f t="shared" si="17"/>
        <v>5</v>
      </c>
      <c r="AO151" s="45" t="str">
        <f t="shared" si="18"/>
        <v>1/1900</v>
      </c>
      <c r="AP151" s="45" t="e">
        <f t="shared" si="19"/>
        <v>#NUM!</v>
      </c>
      <c r="AQ151" s="45">
        <f t="shared" si="20"/>
        <v>0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customHeight="1" x14ac:dyDescent="0.3">
      <c r="A152" s="87" t="s">
        <v>47</v>
      </c>
      <c r="B152" s="88">
        <v>46140</v>
      </c>
      <c r="C152" s="89" t="s">
        <v>48</v>
      </c>
      <c r="D152" s="89" t="s">
        <v>49</v>
      </c>
      <c r="E152" s="90">
        <v>94553491</v>
      </c>
      <c r="F152" s="220" t="s">
        <v>433</v>
      </c>
      <c r="G152" s="92" t="s">
        <v>434</v>
      </c>
      <c r="H152" s="93">
        <v>28910</v>
      </c>
      <c r="I152" s="89">
        <v>47</v>
      </c>
      <c r="J152" s="89" t="s">
        <v>77</v>
      </c>
      <c r="K152" s="89" t="s">
        <v>52</v>
      </c>
      <c r="L152" s="89"/>
      <c r="M152" s="89"/>
      <c r="N152" s="89">
        <v>60</v>
      </c>
      <c r="O152" s="94">
        <v>11983076948</v>
      </c>
      <c r="P152" s="95" t="s">
        <v>55</v>
      </c>
      <c r="Q152" s="144" t="s">
        <v>70</v>
      </c>
      <c r="R152" s="96">
        <v>46147</v>
      </c>
      <c r="S152" s="97"/>
      <c r="T152" s="97" t="s">
        <v>57</v>
      </c>
      <c r="U152" s="97" t="s">
        <v>71</v>
      </c>
      <c r="V152" s="93">
        <v>46141</v>
      </c>
      <c r="W152" s="93">
        <v>46147</v>
      </c>
      <c r="X152" s="93" t="s">
        <v>72</v>
      </c>
      <c r="Y152" s="98"/>
      <c r="Z152" s="89" t="s">
        <v>60</v>
      </c>
      <c r="AA152" s="97">
        <v>46153</v>
      </c>
      <c r="AB152" s="89" t="s">
        <v>61</v>
      </c>
      <c r="AC152" s="120">
        <v>46153</v>
      </c>
      <c r="AD152" s="89" t="s">
        <v>73</v>
      </c>
      <c r="AE152" s="89">
        <v>50</v>
      </c>
      <c r="AF152" s="99"/>
      <c r="AG152" s="99"/>
      <c r="AH152" s="99"/>
      <c r="AI152" s="100" t="s">
        <v>47</v>
      </c>
      <c r="AJ152" s="100" t="s">
        <v>47</v>
      </c>
      <c r="AK152" s="100" t="s">
        <v>47</v>
      </c>
      <c r="AL152" s="45" t="s">
        <v>64</v>
      </c>
      <c r="AM152" s="198" t="str">
        <f t="shared" si="16"/>
        <v>4/2026</v>
      </c>
      <c r="AN152" s="45">
        <f t="shared" si="17"/>
        <v>5</v>
      </c>
      <c r="AO152" s="45" t="str">
        <f t="shared" si="18"/>
        <v>5/2026</v>
      </c>
      <c r="AP152" s="45">
        <f t="shared" si="19"/>
        <v>2</v>
      </c>
      <c r="AQ152" s="45">
        <f t="shared" si="20"/>
        <v>7</v>
      </c>
      <c r="AR152" s="45">
        <f t="shared" si="21"/>
        <v>0</v>
      </c>
      <c r="AS152" s="45">
        <f t="shared" si="22"/>
        <v>6</v>
      </c>
      <c r="AT152" s="45">
        <f t="shared" si="23"/>
        <v>6</v>
      </c>
      <c r="AU152" s="45" t="str">
        <f>_xlfn.XLOOKUP(U152,'Lista Suspensa'!$AA$20:$AA$23,'Lista Suspensa'!$AB$20:$AB$23,"N/A")</f>
        <v>S</v>
      </c>
    </row>
    <row r="153" spans="1:47" ht="12" customHeight="1" x14ac:dyDescent="0.3">
      <c r="A153" s="87" t="s">
        <v>47</v>
      </c>
      <c r="B153" s="88">
        <v>46146</v>
      </c>
      <c r="C153" s="89" t="s">
        <v>48</v>
      </c>
      <c r="D153" s="89" t="s">
        <v>403</v>
      </c>
      <c r="E153" s="90">
        <v>592983935</v>
      </c>
      <c r="F153" s="220" t="s">
        <v>435</v>
      </c>
      <c r="G153" s="92" t="s">
        <v>436</v>
      </c>
      <c r="H153" s="93">
        <v>23353</v>
      </c>
      <c r="I153" s="89">
        <v>62</v>
      </c>
      <c r="J153" s="89" t="s">
        <v>51</v>
      </c>
      <c r="K153" s="89" t="s">
        <v>52</v>
      </c>
      <c r="L153" s="89" t="s">
        <v>328</v>
      </c>
      <c r="M153" s="89"/>
      <c r="N153" s="89">
        <v>50</v>
      </c>
      <c r="O153" s="94">
        <v>11940109661</v>
      </c>
      <c r="P153" s="95" t="s">
        <v>55</v>
      </c>
      <c r="Q153" s="144" t="s">
        <v>70</v>
      </c>
      <c r="R153" s="96">
        <v>46154</v>
      </c>
      <c r="S153" s="97"/>
      <c r="T153" s="97" t="s">
        <v>57</v>
      </c>
      <c r="U153" s="97" t="s">
        <v>71</v>
      </c>
      <c r="V153" s="93">
        <v>46147</v>
      </c>
      <c r="W153" s="93">
        <v>46154</v>
      </c>
      <c r="X153" s="93" t="s">
        <v>72</v>
      </c>
      <c r="Y153" s="98"/>
      <c r="Z153" s="89" t="s">
        <v>60</v>
      </c>
      <c r="AA153" s="97">
        <v>46153</v>
      </c>
      <c r="AB153" s="89" t="s">
        <v>110</v>
      </c>
      <c r="AC153" s="120"/>
      <c r="AD153" s="89"/>
      <c r="AE153" s="89"/>
      <c r="AF153" s="99"/>
      <c r="AG153" s="99"/>
      <c r="AH153" s="99"/>
      <c r="AI153" s="100" t="s">
        <v>47</v>
      </c>
      <c r="AJ153" s="100" t="s">
        <v>47</v>
      </c>
      <c r="AK153" s="100" t="s">
        <v>47</v>
      </c>
      <c r="AL153" s="45" t="s">
        <v>64</v>
      </c>
      <c r="AM153" s="198" t="str">
        <f t="shared" si="16"/>
        <v>5/2026</v>
      </c>
      <c r="AN153" s="45">
        <f t="shared" si="17"/>
        <v>2</v>
      </c>
      <c r="AO153" s="45" t="str">
        <f t="shared" si="18"/>
        <v>5/2026</v>
      </c>
      <c r="AP153" s="45">
        <f t="shared" si="19"/>
        <v>3</v>
      </c>
      <c r="AQ153" s="45">
        <f t="shared" si="20"/>
        <v>8</v>
      </c>
      <c r="AR153" s="45">
        <f t="shared" si="21"/>
        <v>0</v>
      </c>
      <c r="AS153" s="45">
        <f t="shared" si="22"/>
        <v>7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customHeight="1" x14ac:dyDescent="0.3">
      <c r="A154" s="87" t="s">
        <v>47</v>
      </c>
      <c r="B154" s="88">
        <v>46148</v>
      </c>
      <c r="C154" s="89" t="s">
        <v>48</v>
      </c>
      <c r="D154" s="89" t="s">
        <v>49</v>
      </c>
      <c r="E154" s="90">
        <v>72318917</v>
      </c>
      <c r="F154" s="220" t="s">
        <v>437</v>
      </c>
      <c r="G154" s="92">
        <v>33595330706</v>
      </c>
      <c r="H154" s="93">
        <v>19451</v>
      </c>
      <c r="I154" s="89">
        <v>73</v>
      </c>
      <c r="J154" s="89" t="s">
        <v>51</v>
      </c>
      <c r="K154" s="89" t="s">
        <v>271</v>
      </c>
      <c r="L154" s="89" t="s">
        <v>438</v>
      </c>
      <c r="M154" s="89"/>
      <c r="N154" s="89">
        <v>400</v>
      </c>
      <c r="O154" s="94" t="s">
        <v>439</v>
      </c>
      <c r="P154" s="95" t="s">
        <v>55</v>
      </c>
      <c r="Q154" s="144" t="s">
        <v>136</v>
      </c>
      <c r="R154" s="96"/>
      <c r="S154" s="97">
        <v>46167</v>
      </c>
      <c r="T154" s="97" t="s">
        <v>183</v>
      </c>
      <c r="U154" s="97" t="s">
        <v>58</v>
      </c>
      <c r="V154" s="93">
        <v>46154</v>
      </c>
      <c r="W154" s="93">
        <v>46160</v>
      </c>
      <c r="X154" s="93">
        <v>46164</v>
      </c>
      <c r="Y154" s="98"/>
      <c r="Z154" s="89"/>
      <c r="AA154" s="97"/>
      <c r="AB154" s="89"/>
      <c r="AC154" s="120"/>
      <c r="AD154" s="89"/>
      <c r="AE154" s="89"/>
      <c r="AF154" s="99"/>
      <c r="AG154" s="99"/>
      <c r="AH154" s="99"/>
      <c r="AI154" s="100" t="s">
        <v>47</v>
      </c>
      <c r="AJ154" s="100" t="s">
        <v>63</v>
      </c>
      <c r="AK154" s="100" t="s">
        <v>47</v>
      </c>
      <c r="AL154" s="45" t="s">
        <v>64</v>
      </c>
      <c r="AM154" s="198" t="str">
        <f t="shared" si="16"/>
        <v>5/2026</v>
      </c>
      <c r="AN154" s="45">
        <f t="shared" si="17"/>
        <v>2</v>
      </c>
      <c r="AO154" s="45" t="str">
        <f t="shared" si="18"/>
        <v>1/1900</v>
      </c>
      <c r="AP154" s="45" t="e">
        <f t="shared" si="19"/>
        <v>#NUM!</v>
      </c>
      <c r="AQ154" s="45">
        <f t="shared" si="20"/>
        <v>0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customHeight="1" x14ac:dyDescent="0.3">
      <c r="A155" s="87" t="s">
        <v>47</v>
      </c>
      <c r="B155" s="88">
        <v>46148</v>
      </c>
      <c r="C155" s="89" t="s">
        <v>48</v>
      </c>
      <c r="D155" s="89" t="s">
        <v>49</v>
      </c>
      <c r="E155" s="90">
        <v>89717291</v>
      </c>
      <c r="F155" s="220" t="s">
        <v>440</v>
      </c>
      <c r="G155" s="92">
        <v>36319037822</v>
      </c>
      <c r="H155" s="93">
        <v>32563</v>
      </c>
      <c r="I155" s="89">
        <v>37</v>
      </c>
      <c r="J155" s="89" t="s">
        <v>51</v>
      </c>
      <c r="K155" s="89" t="s">
        <v>52</v>
      </c>
      <c r="L155" s="89" t="s">
        <v>275</v>
      </c>
      <c r="M155" s="89"/>
      <c r="N155" s="89">
        <v>450</v>
      </c>
      <c r="O155" s="94" t="s">
        <v>441</v>
      </c>
      <c r="P155" s="95" t="s">
        <v>55</v>
      </c>
      <c r="Q155" s="144" t="s">
        <v>70</v>
      </c>
      <c r="R155" s="96">
        <v>46164</v>
      </c>
      <c r="S155" s="97"/>
      <c r="T155" s="97" t="s">
        <v>57</v>
      </c>
      <c r="U155" s="97" t="s">
        <v>71</v>
      </c>
      <c r="V155" s="93">
        <v>46154</v>
      </c>
      <c r="W155" s="93">
        <v>46160</v>
      </c>
      <c r="X155" s="93" t="s">
        <v>72</v>
      </c>
      <c r="Y155" s="98"/>
      <c r="Z155" s="89" t="s">
        <v>60</v>
      </c>
      <c r="AA155" s="97">
        <v>46170</v>
      </c>
      <c r="AB155" s="89" t="s">
        <v>110</v>
      </c>
      <c r="AC155" s="120"/>
      <c r="AD155" s="89"/>
      <c r="AE155" s="89"/>
      <c r="AF155" s="99"/>
      <c r="AG155" s="99"/>
      <c r="AH155" s="99"/>
      <c r="AI155" s="100" t="s">
        <v>47</v>
      </c>
      <c r="AJ155" s="100" t="s">
        <v>47</v>
      </c>
      <c r="AK155" s="100" t="s">
        <v>47</v>
      </c>
      <c r="AL155" s="45" t="s">
        <v>64</v>
      </c>
      <c r="AM155" s="198" t="str">
        <f t="shared" si="16"/>
        <v>5/2026</v>
      </c>
      <c r="AN155" s="45">
        <f t="shared" si="17"/>
        <v>2</v>
      </c>
      <c r="AO155" s="45" t="str">
        <f t="shared" si="18"/>
        <v>5/2026</v>
      </c>
      <c r="AP155" s="45">
        <f t="shared" si="19"/>
        <v>4</v>
      </c>
      <c r="AQ155" s="45">
        <f t="shared" si="20"/>
        <v>16</v>
      </c>
      <c r="AR155" s="45">
        <f t="shared" si="21"/>
        <v>0</v>
      </c>
      <c r="AS155" s="45">
        <f t="shared" si="22"/>
        <v>6</v>
      </c>
      <c r="AT155" s="45">
        <f t="shared" si="23"/>
        <v>0</v>
      </c>
      <c r="AU155" s="45" t="str">
        <f>_xlfn.XLOOKUP(U155,'Lista Suspensa'!$AA$20:$AA$23,'Lista Suspensa'!$AB$20:$AB$23,"N/A")</f>
        <v>S</v>
      </c>
    </row>
    <row r="156" spans="1:47" ht="12" customHeight="1" x14ac:dyDescent="0.3">
      <c r="A156" s="87" t="s">
        <v>47</v>
      </c>
      <c r="B156" s="88">
        <v>46148</v>
      </c>
      <c r="C156" s="89" t="s">
        <v>48</v>
      </c>
      <c r="D156" s="89" t="s">
        <v>49</v>
      </c>
      <c r="E156" s="90">
        <v>94147640</v>
      </c>
      <c r="F156" s="220" t="s">
        <v>442</v>
      </c>
      <c r="G156" s="92">
        <v>95453040653</v>
      </c>
      <c r="H156" s="93">
        <v>25079</v>
      </c>
      <c r="I156" s="89">
        <v>57</v>
      </c>
      <c r="J156" s="89" t="s">
        <v>51</v>
      </c>
      <c r="K156" s="89" t="s">
        <v>271</v>
      </c>
      <c r="L156" s="89" t="s">
        <v>293</v>
      </c>
      <c r="M156" s="89" t="s">
        <v>443</v>
      </c>
      <c r="N156" s="89">
        <v>75</v>
      </c>
      <c r="O156" s="94" t="s">
        <v>444</v>
      </c>
      <c r="P156" s="95" t="s">
        <v>55</v>
      </c>
      <c r="Q156" s="144" t="s">
        <v>70</v>
      </c>
      <c r="R156" s="96">
        <v>46154</v>
      </c>
      <c r="S156" s="97"/>
      <c r="T156" s="97" t="s">
        <v>57</v>
      </c>
      <c r="U156" s="97" t="s">
        <v>71</v>
      </c>
      <c r="V156" s="93">
        <v>46154</v>
      </c>
      <c r="W156" s="93" t="s">
        <v>72</v>
      </c>
      <c r="X156" s="93" t="s">
        <v>72</v>
      </c>
      <c r="Y156" s="98"/>
      <c r="Z156" s="89" t="s">
        <v>60</v>
      </c>
      <c r="AA156" s="97">
        <v>46161</v>
      </c>
      <c r="AB156" s="89" t="s">
        <v>110</v>
      </c>
      <c r="AC156" s="120"/>
      <c r="AD156" s="89"/>
      <c r="AE156" s="89"/>
      <c r="AF156" s="99"/>
      <c r="AG156" s="99"/>
      <c r="AH156" s="99"/>
      <c r="AI156" s="100" t="s">
        <v>47</v>
      </c>
      <c r="AJ156" s="100" t="s">
        <v>47</v>
      </c>
      <c r="AK156" s="100" t="s">
        <v>47</v>
      </c>
      <c r="AL156" s="45" t="s">
        <v>64</v>
      </c>
      <c r="AM156" s="198" t="str">
        <f t="shared" si="16"/>
        <v>5/2026</v>
      </c>
      <c r="AN156" s="45">
        <f t="shared" si="17"/>
        <v>2</v>
      </c>
      <c r="AO156" s="45" t="str">
        <f t="shared" si="18"/>
        <v>5/2026</v>
      </c>
      <c r="AP156" s="45">
        <f t="shared" si="19"/>
        <v>3</v>
      </c>
      <c r="AQ156" s="45">
        <f t="shared" si="20"/>
        <v>6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customHeight="1" x14ac:dyDescent="0.3">
      <c r="A157" s="87" t="s">
        <v>47</v>
      </c>
      <c r="B157" s="88">
        <v>46149</v>
      </c>
      <c r="C157" s="89" t="s">
        <v>48</v>
      </c>
      <c r="D157" s="89" t="s">
        <v>49</v>
      </c>
      <c r="E157" s="90">
        <v>95897218</v>
      </c>
      <c r="F157" s="220" t="s">
        <v>445</v>
      </c>
      <c r="G157" s="92">
        <v>36952729372</v>
      </c>
      <c r="H157" s="93">
        <v>25297</v>
      </c>
      <c r="I157" s="89">
        <v>57</v>
      </c>
      <c r="J157" s="89" t="s">
        <v>77</v>
      </c>
      <c r="K157" s="89" t="s">
        <v>52</v>
      </c>
      <c r="L157" s="89" t="s">
        <v>275</v>
      </c>
      <c r="M157" s="89" t="s">
        <v>446</v>
      </c>
      <c r="N157" s="89">
        <v>110</v>
      </c>
      <c r="O157" s="94" t="s">
        <v>447</v>
      </c>
      <c r="P157" s="95" t="s">
        <v>55</v>
      </c>
      <c r="Q157" s="144" t="s">
        <v>136</v>
      </c>
      <c r="R157" s="96"/>
      <c r="S157" s="97">
        <v>46167</v>
      </c>
      <c r="T157" s="97" t="s">
        <v>183</v>
      </c>
      <c r="U157" s="97" t="s">
        <v>58</v>
      </c>
      <c r="V157" s="93">
        <v>46154</v>
      </c>
      <c r="W157" s="93">
        <v>46160</v>
      </c>
      <c r="X157" s="93">
        <v>46164</v>
      </c>
      <c r="Y157" s="98"/>
      <c r="Z157" s="89"/>
      <c r="AA157" s="97"/>
      <c r="AB157" s="89"/>
      <c r="AC157" s="120"/>
      <c r="AD157" s="89"/>
      <c r="AE157" s="89"/>
      <c r="AF157" s="99"/>
      <c r="AG157" s="99"/>
      <c r="AH157" s="99"/>
      <c r="AI157" s="100" t="s">
        <v>47</v>
      </c>
      <c r="AJ157" s="100" t="s">
        <v>63</v>
      </c>
      <c r="AK157" s="100" t="s">
        <v>47</v>
      </c>
      <c r="AL157" s="45" t="s">
        <v>64</v>
      </c>
      <c r="AM157" s="198" t="str">
        <f t="shared" si="16"/>
        <v>5/2026</v>
      </c>
      <c r="AN157" s="45">
        <f t="shared" si="17"/>
        <v>2</v>
      </c>
      <c r="AO157" s="45" t="str">
        <f t="shared" si="18"/>
        <v>1/1900</v>
      </c>
      <c r="AP157" s="45" t="e">
        <f t="shared" si="19"/>
        <v>#NUM!</v>
      </c>
      <c r="AQ157" s="45">
        <f t="shared" si="20"/>
        <v>0</v>
      </c>
      <c r="AR157" s="45">
        <f t="shared" si="21"/>
        <v>0</v>
      </c>
      <c r="AS157" s="45">
        <f t="shared" si="22"/>
        <v>0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customHeight="1" x14ac:dyDescent="0.3">
      <c r="A158" s="87" t="s">
        <v>47</v>
      </c>
      <c r="B158" s="88">
        <v>46149</v>
      </c>
      <c r="C158" s="89" t="s">
        <v>48</v>
      </c>
      <c r="D158" s="89" t="s">
        <v>49</v>
      </c>
      <c r="E158" s="90">
        <v>82920071</v>
      </c>
      <c r="F158" s="220" t="s">
        <v>448</v>
      </c>
      <c r="G158" s="92">
        <v>2746414708</v>
      </c>
      <c r="H158" s="93">
        <v>26085</v>
      </c>
      <c r="I158" s="89">
        <v>54</v>
      </c>
      <c r="J158" s="89" t="s">
        <v>77</v>
      </c>
      <c r="K158" s="89" t="s">
        <v>271</v>
      </c>
      <c r="L158" s="89" t="s">
        <v>449</v>
      </c>
      <c r="M158" s="89" t="s">
        <v>450</v>
      </c>
      <c r="N158" s="89">
        <v>60</v>
      </c>
      <c r="O158" s="94">
        <v>21974828674</v>
      </c>
      <c r="P158" s="95" t="s">
        <v>55</v>
      </c>
      <c r="Q158" s="144" t="s">
        <v>70</v>
      </c>
      <c r="R158" s="96">
        <v>46154</v>
      </c>
      <c r="S158" s="97"/>
      <c r="T158" s="97" t="s">
        <v>57</v>
      </c>
      <c r="U158" s="97" t="s">
        <v>71</v>
      </c>
      <c r="V158" s="93">
        <v>46154</v>
      </c>
      <c r="W158" s="93" t="s">
        <v>72</v>
      </c>
      <c r="X158" s="93" t="s">
        <v>72</v>
      </c>
      <c r="Y158" s="98"/>
      <c r="Z158" s="89" t="s">
        <v>60</v>
      </c>
      <c r="AA158" s="97">
        <v>46156</v>
      </c>
      <c r="AB158" s="89" t="s">
        <v>110</v>
      </c>
      <c r="AC158" s="120"/>
      <c r="AD158" s="89"/>
      <c r="AE158" s="89"/>
      <c r="AF158" s="99"/>
      <c r="AG158" s="99"/>
      <c r="AH158" s="99"/>
      <c r="AI158" s="100" t="s">
        <v>47</v>
      </c>
      <c r="AJ158" s="100" t="s">
        <v>47</v>
      </c>
      <c r="AK158" s="100" t="s">
        <v>47</v>
      </c>
      <c r="AL158" s="45" t="s">
        <v>64</v>
      </c>
      <c r="AM158" s="198" t="str">
        <f t="shared" si="16"/>
        <v>5/2026</v>
      </c>
      <c r="AN158" s="45">
        <f t="shared" si="17"/>
        <v>2</v>
      </c>
      <c r="AO158" s="45" t="str">
        <f t="shared" si="18"/>
        <v>5/2026</v>
      </c>
      <c r="AP158" s="45">
        <f t="shared" si="19"/>
        <v>3</v>
      </c>
      <c r="AQ158" s="45">
        <f t="shared" si="20"/>
        <v>5</v>
      </c>
      <c r="AR158" s="45">
        <f t="shared" si="21"/>
        <v>0</v>
      </c>
      <c r="AS158" s="45">
        <f t="shared" si="22"/>
        <v>0</v>
      </c>
      <c r="AT158" s="45">
        <f t="shared" si="23"/>
        <v>0</v>
      </c>
      <c r="AU158" s="45" t="str">
        <f>_xlfn.XLOOKUP(U158,'Lista Suspensa'!$AA$20:$AA$23,'Lista Suspensa'!$AB$20:$AB$23,"N/A")</f>
        <v>S</v>
      </c>
    </row>
    <row r="159" spans="1:47" ht="12" customHeight="1" x14ac:dyDescent="0.3">
      <c r="A159" s="87" t="s">
        <v>47</v>
      </c>
      <c r="B159" s="88">
        <v>46149</v>
      </c>
      <c r="C159" s="89" t="s">
        <v>48</v>
      </c>
      <c r="D159" s="89" t="s">
        <v>49</v>
      </c>
      <c r="E159" s="90">
        <v>86308398</v>
      </c>
      <c r="F159" s="220" t="s">
        <v>451</v>
      </c>
      <c r="G159" s="92">
        <v>2214007709</v>
      </c>
      <c r="H159" s="93">
        <v>26270</v>
      </c>
      <c r="I159" s="89">
        <v>54</v>
      </c>
      <c r="J159" s="89" t="s">
        <v>51</v>
      </c>
      <c r="K159" s="89" t="s">
        <v>271</v>
      </c>
      <c r="L159" s="89" t="s">
        <v>438</v>
      </c>
      <c r="M159" s="89"/>
      <c r="N159" s="89">
        <v>580</v>
      </c>
      <c r="O159" s="94">
        <v>21968254243</v>
      </c>
      <c r="P159" s="95" t="s">
        <v>55</v>
      </c>
      <c r="Q159" s="144" t="s">
        <v>70</v>
      </c>
      <c r="R159" s="96">
        <v>46154</v>
      </c>
      <c r="S159" s="97"/>
      <c r="T159" s="97" t="s">
        <v>57</v>
      </c>
      <c r="U159" s="97" t="s">
        <v>71</v>
      </c>
      <c r="V159" s="93">
        <v>46154</v>
      </c>
      <c r="W159" s="93" t="s">
        <v>72</v>
      </c>
      <c r="X159" s="93" t="s">
        <v>72</v>
      </c>
      <c r="Y159" s="98"/>
      <c r="Z159" s="89" t="s">
        <v>60</v>
      </c>
      <c r="AA159" s="97">
        <v>46162</v>
      </c>
      <c r="AB159" s="89" t="s">
        <v>110</v>
      </c>
      <c r="AC159" s="120"/>
      <c r="AD159" s="89"/>
      <c r="AE159" s="89"/>
      <c r="AF159" s="99"/>
      <c r="AG159" s="99"/>
      <c r="AH159" s="99"/>
      <c r="AI159" s="100" t="s">
        <v>47</v>
      </c>
      <c r="AJ159" s="100" t="s">
        <v>47</v>
      </c>
      <c r="AK159" s="100" t="s">
        <v>47</v>
      </c>
      <c r="AL159" s="45" t="s">
        <v>64</v>
      </c>
      <c r="AM159" s="198" t="str">
        <f t="shared" si="16"/>
        <v>5/2026</v>
      </c>
      <c r="AN159" s="45">
        <f t="shared" si="17"/>
        <v>2</v>
      </c>
      <c r="AO159" s="45" t="str">
        <f t="shared" si="18"/>
        <v>5/2026</v>
      </c>
      <c r="AP159" s="45">
        <f t="shared" si="19"/>
        <v>3</v>
      </c>
      <c r="AQ159" s="45">
        <f t="shared" si="20"/>
        <v>5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customHeight="1" x14ac:dyDescent="0.3">
      <c r="A160" s="87" t="s">
        <v>47</v>
      </c>
      <c r="B160" s="88">
        <v>46153</v>
      </c>
      <c r="C160" s="89" t="s">
        <v>48</v>
      </c>
      <c r="D160" s="89" t="s">
        <v>49</v>
      </c>
      <c r="E160" s="90">
        <v>96951349</v>
      </c>
      <c r="F160" s="220" t="s">
        <v>452</v>
      </c>
      <c r="G160" s="92">
        <v>14008427783</v>
      </c>
      <c r="H160" s="93">
        <v>32920</v>
      </c>
      <c r="I160" s="89">
        <v>36</v>
      </c>
      <c r="J160" s="89" t="s">
        <v>51</v>
      </c>
      <c r="K160" s="89" t="s">
        <v>271</v>
      </c>
      <c r="L160" s="89" t="s">
        <v>293</v>
      </c>
      <c r="M160" s="89" t="s">
        <v>453</v>
      </c>
      <c r="N160" s="89">
        <v>380</v>
      </c>
      <c r="O160" s="94">
        <v>21992315380</v>
      </c>
      <c r="P160" s="95" t="s">
        <v>55</v>
      </c>
      <c r="Q160" s="144" t="s">
        <v>70</v>
      </c>
      <c r="R160" s="96">
        <v>46164</v>
      </c>
      <c r="S160" s="97"/>
      <c r="T160" s="97" t="s">
        <v>57</v>
      </c>
      <c r="U160" s="97" t="s">
        <v>71</v>
      </c>
      <c r="V160" s="93">
        <v>46154</v>
      </c>
      <c r="W160" s="93">
        <v>46160</v>
      </c>
      <c r="X160" s="93">
        <v>46164</v>
      </c>
      <c r="Y160" s="98"/>
      <c r="Z160" s="89" t="s">
        <v>60</v>
      </c>
      <c r="AA160" s="97">
        <v>46170</v>
      </c>
      <c r="AB160" s="89" t="s">
        <v>110</v>
      </c>
      <c r="AC160" s="120"/>
      <c r="AD160" s="89"/>
      <c r="AE160" s="89"/>
      <c r="AF160" s="99"/>
      <c r="AG160" s="99"/>
      <c r="AH160" s="99"/>
      <c r="AI160" s="100" t="s">
        <v>47</v>
      </c>
      <c r="AJ160" s="100" t="s">
        <v>47</v>
      </c>
      <c r="AK160" s="100" t="s">
        <v>47</v>
      </c>
      <c r="AL160" s="45" t="s">
        <v>64</v>
      </c>
      <c r="AM160" s="198" t="str">
        <f t="shared" si="16"/>
        <v>5/2026</v>
      </c>
      <c r="AN160" s="45">
        <f t="shared" si="17"/>
        <v>3</v>
      </c>
      <c r="AO160" s="45" t="str">
        <f t="shared" si="18"/>
        <v>5/2026</v>
      </c>
      <c r="AP160" s="45">
        <f t="shared" si="19"/>
        <v>4</v>
      </c>
      <c r="AQ160" s="45">
        <f t="shared" si="20"/>
        <v>11</v>
      </c>
      <c r="AR160" s="45">
        <f t="shared" si="21"/>
        <v>0</v>
      </c>
      <c r="AS160" s="45">
        <f t="shared" si="22"/>
        <v>5</v>
      </c>
      <c r="AT160" s="45">
        <f t="shared" si="23"/>
        <v>0</v>
      </c>
      <c r="AU160" s="45" t="str">
        <f>_xlfn.XLOOKUP(U160,'Lista Suspensa'!$AA$20:$AA$23,'Lista Suspensa'!$AB$20:$AB$23,"N/A")</f>
        <v>S</v>
      </c>
    </row>
    <row r="161" spans="1:47" ht="12" customHeight="1" x14ac:dyDescent="0.3">
      <c r="A161" s="87" t="s">
        <v>47</v>
      </c>
      <c r="B161" s="88">
        <v>46156</v>
      </c>
      <c r="C161" s="89" t="s">
        <v>48</v>
      </c>
      <c r="D161" s="89" t="s">
        <v>49</v>
      </c>
      <c r="E161" s="90">
        <v>81500877</v>
      </c>
      <c r="F161" s="220" t="s">
        <v>454</v>
      </c>
      <c r="G161" s="92">
        <v>63054493768</v>
      </c>
      <c r="H161" s="93">
        <v>22236</v>
      </c>
      <c r="I161" s="89">
        <v>65</v>
      </c>
      <c r="J161" s="89" t="s">
        <v>51</v>
      </c>
      <c r="K161" s="89" t="s">
        <v>52</v>
      </c>
      <c r="L161" s="89" t="s">
        <v>275</v>
      </c>
      <c r="M161" s="89" t="s">
        <v>455</v>
      </c>
      <c r="N161" s="89">
        <v>60</v>
      </c>
      <c r="O161" s="94" t="s">
        <v>456</v>
      </c>
      <c r="P161" s="95" t="s">
        <v>55</v>
      </c>
      <c r="Q161" s="144" t="s">
        <v>457</v>
      </c>
      <c r="R161" s="96"/>
      <c r="S161" s="97"/>
      <c r="T161" s="97" t="s">
        <v>183</v>
      </c>
      <c r="U161" s="97" t="s">
        <v>458</v>
      </c>
      <c r="V161" s="93">
        <v>46170</v>
      </c>
      <c r="W161" s="93">
        <v>46181</v>
      </c>
      <c r="X161" s="93"/>
      <c r="Y161" s="98"/>
      <c r="Z161" s="89"/>
      <c r="AA161" s="97"/>
      <c r="AB161" s="89"/>
      <c r="AC161" s="120"/>
      <c r="AD161" s="89"/>
      <c r="AE161" s="89"/>
      <c r="AF161" s="99"/>
      <c r="AG161" s="99"/>
      <c r="AH161" s="99"/>
      <c r="AI161" s="100" t="s">
        <v>47</v>
      </c>
      <c r="AJ161" s="100" t="s">
        <v>47</v>
      </c>
      <c r="AK161" s="100" t="s">
        <v>47</v>
      </c>
      <c r="AL161" s="45" t="s">
        <v>64</v>
      </c>
      <c r="AM161" s="198" t="str">
        <f t="shared" si="16"/>
        <v>5/2026</v>
      </c>
      <c r="AN161" s="45">
        <f t="shared" si="17"/>
        <v>3</v>
      </c>
      <c r="AO161" s="45" t="str">
        <f t="shared" si="18"/>
        <v>1/1900</v>
      </c>
      <c r="AP161" s="45" t="e">
        <f t="shared" si="19"/>
        <v>#NUM!</v>
      </c>
      <c r="AQ161" s="45">
        <f t="shared" si="20"/>
        <v>0</v>
      </c>
      <c r="AR161" s="45">
        <f t="shared" si="21"/>
        <v>0</v>
      </c>
      <c r="AS161" s="45">
        <f t="shared" si="22"/>
        <v>0</v>
      </c>
      <c r="AT161" s="45">
        <f t="shared" si="23"/>
        <v>0</v>
      </c>
      <c r="AU161" s="45" t="str">
        <f>_xlfn.XLOOKUP(U161,'Lista Suspensa'!$AA$20:$AA$23,'Lista Suspensa'!$AB$20:$AB$23,"N/A")</f>
        <v>S</v>
      </c>
    </row>
    <row r="162" spans="1:47" ht="12" customHeight="1" x14ac:dyDescent="0.3">
      <c r="A162" s="87" t="s">
        <v>47</v>
      </c>
      <c r="B162" s="88">
        <v>46156</v>
      </c>
      <c r="C162" s="89" t="s">
        <v>48</v>
      </c>
      <c r="D162" s="89" t="s">
        <v>49</v>
      </c>
      <c r="E162" s="90">
        <v>82313899</v>
      </c>
      <c r="F162" s="220" t="s">
        <v>459</v>
      </c>
      <c r="G162" s="92">
        <v>5279323705</v>
      </c>
      <c r="H162" s="93">
        <v>29645</v>
      </c>
      <c r="I162" s="89">
        <v>45</v>
      </c>
      <c r="J162" s="89" t="s">
        <v>51</v>
      </c>
      <c r="K162" s="89" t="s">
        <v>271</v>
      </c>
      <c r="L162" s="89" t="s">
        <v>293</v>
      </c>
      <c r="M162" s="89" t="s">
        <v>453</v>
      </c>
      <c r="N162" s="89">
        <v>60</v>
      </c>
      <c r="O162" s="94">
        <v>21995425145</v>
      </c>
      <c r="P162" s="95" t="s">
        <v>55</v>
      </c>
      <c r="Q162" s="144" t="s">
        <v>70</v>
      </c>
      <c r="R162" s="96">
        <v>46164</v>
      </c>
      <c r="S162" s="97"/>
      <c r="T162" s="97" t="s">
        <v>57</v>
      </c>
      <c r="U162" s="97" t="s">
        <v>71</v>
      </c>
      <c r="V162" s="93">
        <v>46164</v>
      </c>
      <c r="W162" s="93" t="s">
        <v>72</v>
      </c>
      <c r="X162" s="93" t="s">
        <v>72</v>
      </c>
      <c r="Y162" s="98"/>
      <c r="Z162" s="89" t="s">
        <v>60</v>
      </c>
      <c r="AA162" s="97">
        <v>46170</v>
      </c>
      <c r="AB162" s="89" t="s">
        <v>61</v>
      </c>
      <c r="AC162" s="120"/>
      <c r="AD162" s="89" t="s">
        <v>85</v>
      </c>
      <c r="AE162" s="89">
        <v>63</v>
      </c>
      <c r="AF162" s="99"/>
      <c r="AG162" s="99"/>
      <c r="AH162" s="99"/>
      <c r="AI162" s="100" t="s">
        <v>47</v>
      </c>
      <c r="AJ162" s="100" t="s">
        <v>47</v>
      </c>
      <c r="AK162" s="100" t="s">
        <v>47</v>
      </c>
      <c r="AL162" s="45" t="s">
        <v>64</v>
      </c>
      <c r="AM162" s="198" t="str">
        <f t="shared" si="16"/>
        <v>5/2026</v>
      </c>
      <c r="AN162" s="45">
        <f t="shared" si="17"/>
        <v>3</v>
      </c>
      <c r="AO162" s="45" t="str">
        <f t="shared" si="18"/>
        <v>5/2026</v>
      </c>
      <c r="AP162" s="45">
        <f t="shared" si="19"/>
        <v>4</v>
      </c>
      <c r="AQ162" s="45">
        <f t="shared" si="20"/>
        <v>8</v>
      </c>
      <c r="AR162" s="45">
        <f t="shared" si="21"/>
        <v>0</v>
      </c>
      <c r="AS162" s="45">
        <f t="shared" si="22"/>
        <v>0</v>
      </c>
      <c r="AT162" s="45">
        <f t="shared" si="23"/>
        <v>6</v>
      </c>
      <c r="AU162" s="45" t="str">
        <f>_xlfn.XLOOKUP(U162,'Lista Suspensa'!$AA$20:$AA$23,'Lista Suspensa'!$AB$20:$AB$23,"N/A")</f>
        <v>S</v>
      </c>
    </row>
    <row r="163" spans="1:47" ht="12" customHeight="1" x14ac:dyDescent="0.3">
      <c r="A163" s="87" t="s">
        <v>47</v>
      </c>
      <c r="B163" s="88">
        <v>46156</v>
      </c>
      <c r="C163" s="89" t="s">
        <v>48</v>
      </c>
      <c r="D163" s="89" t="s">
        <v>403</v>
      </c>
      <c r="E163" s="90">
        <v>810135647</v>
      </c>
      <c r="F163" s="220" t="s">
        <v>460</v>
      </c>
      <c r="G163" s="92" t="s">
        <v>461</v>
      </c>
      <c r="H163" s="93">
        <v>19692</v>
      </c>
      <c r="I163" s="89">
        <v>72</v>
      </c>
      <c r="J163" s="89" t="s">
        <v>51</v>
      </c>
      <c r="K163" s="89" t="s">
        <v>52</v>
      </c>
      <c r="L163" s="89" t="s">
        <v>275</v>
      </c>
      <c r="M163" s="89" t="s">
        <v>462</v>
      </c>
      <c r="N163" s="89">
        <v>100</v>
      </c>
      <c r="O163" s="94">
        <v>11989563569</v>
      </c>
      <c r="P163" s="95" t="s">
        <v>55</v>
      </c>
      <c r="Q163" s="144" t="s">
        <v>457</v>
      </c>
      <c r="R163" s="96"/>
      <c r="S163" s="97"/>
      <c r="T163" s="97" t="s">
        <v>183</v>
      </c>
      <c r="U163" s="97" t="s">
        <v>458</v>
      </c>
      <c r="V163" s="93">
        <v>46170</v>
      </c>
      <c r="W163" s="93">
        <v>46181</v>
      </c>
      <c r="X163" s="93"/>
      <c r="Y163" s="98"/>
      <c r="Z163" s="89"/>
      <c r="AA163" s="97"/>
      <c r="AB163" s="89"/>
      <c r="AC163" s="120"/>
      <c r="AD163" s="89"/>
      <c r="AE163" s="89"/>
      <c r="AF163" s="99"/>
      <c r="AG163" s="99"/>
      <c r="AH163" s="99"/>
      <c r="AI163" s="100" t="s">
        <v>47</v>
      </c>
      <c r="AJ163" s="100" t="s">
        <v>47</v>
      </c>
      <c r="AK163" s="100" t="s">
        <v>47</v>
      </c>
      <c r="AL163" s="45" t="s">
        <v>64</v>
      </c>
      <c r="AM163" s="198" t="str">
        <f t="shared" si="16"/>
        <v>5/2026</v>
      </c>
      <c r="AN163" s="45">
        <f t="shared" si="17"/>
        <v>3</v>
      </c>
      <c r="AO163" s="45" t="str">
        <f t="shared" si="18"/>
        <v>1/1900</v>
      </c>
      <c r="AP163" s="45" t="e">
        <f t="shared" si="19"/>
        <v>#NUM!</v>
      </c>
      <c r="AQ163" s="45">
        <f t="shared" si="20"/>
        <v>0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customHeight="1" x14ac:dyDescent="0.3">
      <c r="A164" s="87" t="s">
        <v>47</v>
      </c>
      <c r="B164" s="88">
        <v>46160</v>
      </c>
      <c r="C164" s="89" t="s">
        <v>48</v>
      </c>
      <c r="D164" s="89" t="s">
        <v>49</v>
      </c>
      <c r="E164" s="90">
        <v>82246292</v>
      </c>
      <c r="F164" s="220" t="s">
        <v>463</v>
      </c>
      <c r="G164" s="92">
        <v>25998250753</v>
      </c>
      <c r="H164" s="93">
        <v>18586</v>
      </c>
      <c r="I164" s="89">
        <v>75</v>
      </c>
      <c r="J164" s="89" t="s">
        <v>51</v>
      </c>
      <c r="K164" s="89" t="s">
        <v>271</v>
      </c>
      <c r="L164" s="89" t="s">
        <v>293</v>
      </c>
      <c r="M164" s="89" t="s">
        <v>464</v>
      </c>
      <c r="N164" s="89">
        <v>60</v>
      </c>
      <c r="O164" s="94" t="s">
        <v>465</v>
      </c>
      <c r="P164" s="95" t="s">
        <v>55</v>
      </c>
      <c r="Q164" s="144" t="s">
        <v>70</v>
      </c>
      <c r="R164" s="96">
        <v>46178</v>
      </c>
      <c r="S164" s="97"/>
      <c r="T164" s="97" t="s">
        <v>57</v>
      </c>
      <c r="U164" s="97" t="s">
        <v>71</v>
      </c>
      <c r="V164" s="93">
        <v>46170</v>
      </c>
      <c r="W164" s="93">
        <v>46181</v>
      </c>
      <c r="X164" s="93"/>
      <c r="Y164" s="98"/>
      <c r="Z164" s="89" t="s">
        <v>60</v>
      </c>
      <c r="AA164" s="97">
        <v>46188</v>
      </c>
      <c r="AB164" s="89"/>
      <c r="AC164" s="120"/>
      <c r="AD164" s="89"/>
      <c r="AE164" s="89"/>
      <c r="AF164" s="99"/>
      <c r="AG164" s="99"/>
      <c r="AH164" s="99"/>
      <c r="AI164" s="100"/>
      <c r="AJ164" s="100" t="s">
        <v>62</v>
      </c>
      <c r="AK164" s="100" t="s">
        <v>47</v>
      </c>
      <c r="AL164" s="45" t="s">
        <v>64</v>
      </c>
      <c r="AM164" s="198" t="str">
        <f t="shared" si="16"/>
        <v>5/2026</v>
      </c>
      <c r="AN164" s="45">
        <f t="shared" si="17"/>
        <v>4</v>
      </c>
      <c r="AO164" s="45" t="str">
        <f t="shared" si="18"/>
        <v>6/2026</v>
      </c>
      <c r="AP164" s="45">
        <f t="shared" si="19"/>
        <v>1</v>
      </c>
      <c r="AQ164" s="45">
        <f t="shared" si="20"/>
        <v>18</v>
      </c>
      <c r="AR164" s="45">
        <f t="shared" si="21"/>
        <v>0</v>
      </c>
      <c r="AS164" s="45">
        <f t="shared" si="22"/>
        <v>11</v>
      </c>
      <c r="AT164" s="45">
        <f t="shared" si="23"/>
        <v>0</v>
      </c>
      <c r="AU164" s="45" t="str">
        <f>_xlfn.XLOOKUP(U164,'Lista Suspensa'!$AA$20:$AA$23,'Lista Suspensa'!$AB$20:$AB$23,"N/A")</f>
        <v>S</v>
      </c>
    </row>
    <row r="165" spans="1:47" ht="12" customHeight="1" x14ac:dyDescent="0.3">
      <c r="A165" s="87" t="s">
        <v>47</v>
      </c>
      <c r="B165" s="88">
        <v>46161</v>
      </c>
      <c r="C165" s="89" t="s">
        <v>48</v>
      </c>
      <c r="D165" s="89" t="s">
        <v>49</v>
      </c>
      <c r="E165" s="90">
        <v>82246293</v>
      </c>
      <c r="F165" s="220" t="s">
        <v>466</v>
      </c>
      <c r="G165" s="92">
        <v>38948257749</v>
      </c>
      <c r="H165" s="93">
        <v>20686</v>
      </c>
      <c r="I165" s="89">
        <v>69</v>
      </c>
      <c r="J165" s="89" t="s">
        <v>77</v>
      </c>
      <c r="K165" s="89" t="s">
        <v>271</v>
      </c>
      <c r="L165" s="89" t="s">
        <v>293</v>
      </c>
      <c r="M165" s="89" t="s">
        <v>464</v>
      </c>
      <c r="N165" s="89">
        <v>60</v>
      </c>
      <c r="O165" s="94">
        <v>21996246726</v>
      </c>
      <c r="P165" s="95" t="s">
        <v>55</v>
      </c>
      <c r="Q165" s="144" t="s">
        <v>457</v>
      </c>
      <c r="R165" s="96"/>
      <c r="S165" s="97"/>
      <c r="T165" s="97" t="s">
        <v>183</v>
      </c>
      <c r="U165" s="97" t="s">
        <v>458</v>
      </c>
      <c r="V165" s="93">
        <v>46170</v>
      </c>
      <c r="W165" s="93">
        <v>46181</v>
      </c>
      <c r="X165" s="93"/>
      <c r="Y165" s="98"/>
      <c r="Z165" s="89"/>
      <c r="AA165" s="97"/>
      <c r="AB165" s="89"/>
      <c r="AC165" s="120"/>
      <c r="AD165" s="89"/>
      <c r="AE165" s="89"/>
      <c r="AF165" s="99"/>
      <c r="AG165" s="99"/>
      <c r="AH165" s="99"/>
      <c r="AI165" s="100"/>
      <c r="AJ165" s="100" t="s">
        <v>62</v>
      </c>
      <c r="AK165" s="100" t="s">
        <v>47</v>
      </c>
      <c r="AL165" s="45" t="s">
        <v>64</v>
      </c>
      <c r="AM165" s="198" t="str">
        <f t="shared" si="16"/>
        <v>5/2026</v>
      </c>
      <c r="AN165" s="45">
        <f t="shared" si="17"/>
        <v>4</v>
      </c>
      <c r="AO165" s="45" t="str">
        <f t="shared" si="18"/>
        <v>1/1900</v>
      </c>
      <c r="AP165" s="45" t="e">
        <f t="shared" si="19"/>
        <v>#NUM!</v>
      </c>
      <c r="AQ165" s="45">
        <f t="shared" si="20"/>
        <v>0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customHeight="1" x14ac:dyDescent="0.3">
      <c r="A166" s="87" t="s">
        <v>47</v>
      </c>
      <c r="B166" s="88">
        <v>46163</v>
      </c>
      <c r="C166" s="89" t="s">
        <v>48</v>
      </c>
      <c r="D166" s="89" t="s">
        <v>49</v>
      </c>
      <c r="E166" s="90">
        <v>94399117</v>
      </c>
      <c r="F166" s="220" t="s">
        <v>467</v>
      </c>
      <c r="G166" s="92">
        <v>27126710828</v>
      </c>
      <c r="H166" s="93">
        <v>28181</v>
      </c>
      <c r="I166" s="89">
        <v>49</v>
      </c>
      <c r="J166" s="89" t="s">
        <v>51</v>
      </c>
      <c r="K166" s="89" t="s">
        <v>52</v>
      </c>
      <c r="L166" s="89" t="s">
        <v>275</v>
      </c>
      <c r="M166" s="89" t="s">
        <v>468</v>
      </c>
      <c r="N166" s="89">
        <v>60</v>
      </c>
      <c r="O166" s="94" t="s">
        <v>469</v>
      </c>
      <c r="P166" s="95" t="s">
        <v>55</v>
      </c>
      <c r="Q166" s="144" t="s">
        <v>70</v>
      </c>
      <c r="R166" s="96">
        <v>46178</v>
      </c>
      <c r="S166" s="97"/>
      <c r="T166" s="97" t="s">
        <v>57</v>
      </c>
      <c r="U166" s="97" t="s">
        <v>71</v>
      </c>
      <c r="V166" s="93">
        <v>46170</v>
      </c>
      <c r="W166" s="93">
        <v>46181</v>
      </c>
      <c r="X166" s="93"/>
      <c r="Y166" s="98"/>
      <c r="Z166" s="89" t="s">
        <v>60</v>
      </c>
      <c r="AA166" s="97">
        <v>46189</v>
      </c>
      <c r="AB166" s="89" t="s">
        <v>61</v>
      </c>
      <c r="AC166" s="120"/>
      <c r="AD166" s="89"/>
      <c r="AE166" s="89"/>
      <c r="AF166" s="99"/>
      <c r="AG166" s="99"/>
      <c r="AH166" s="99"/>
      <c r="AI166" s="100"/>
      <c r="AJ166" s="100" t="s">
        <v>47</v>
      </c>
      <c r="AK166" s="100" t="s">
        <v>47</v>
      </c>
      <c r="AL166" s="45" t="s">
        <v>64</v>
      </c>
      <c r="AM166" s="198" t="str">
        <f t="shared" si="16"/>
        <v>5/2026</v>
      </c>
      <c r="AN166" s="45">
        <f t="shared" si="17"/>
        <v>4</v>
      </c>
      <c r="AO166" s="45" t="str">
        <f t="shared" si="18"/>
        <v>6/2026</v>
      </c>
      <c r="AP166" s="45">
        <f t="shared" si="19"/>
        <v>1</v>
      </c>
      <c r="AQ166" s="45">
        <f t="shared" si="20"/>
        <v>15</v>
      </c>
      <c r="AR166" s="45">
        <f t="shared" si="21"/>
        <v>0</v>
      </c>
      <c r="AS166" s="45">
        <f t="shared" si="22"/>
        <v>11</v>
      </c>
      <c r="AT166" s="45">
        <f t="shared" si="23"/>
        <v>11</v>
      </c>
      <c r="AU166" s="45" t="str">
        <f>_xlfn.XLOOKUP(U166,'Lista Suspensa'!$AA$20:$AA$23,'Lista Suspensa'!$AB$20:$AB$23,"N/A")</f>
        <v>S</v>
      </c>
    </row>
    <row r="167" spans="1:47" ht="12" customHeight="1" x14ac:dyDescent="0.3">
      <c r="A167" s="87" t="s">
        <v>47</v>
      </c>
      <c r="B167" s="88">
        <v>46163</v>
      </c>
      <c r="C167" s="89" t="s">
        <v>48</v>
      </c>
      <c r="D167" s="89" t="s">
        <v>49</v>
      </c>
      <c r="E167" s="90">
        <v>450862801</v>
      </c>
      <c r="F167" s="220" t="s">
        <v>470</v>
      </c>
      <c r="G167" s="92">
        <v>7690018823</v>
      </c>
      <c r="H167" s="93">
        <v>23965</v>
      </c>
      <c r="I167" s="89">
        <v>60</v>
      </c>
      <c r="J167" s="89" t="s">
        <v>77</v>
      </c>
      <c r="K167" s="89" t="s">
        <v>52</v>
      </c>
      <c r="L167" s="89" t="s">
        <v>275</v>
      </c>
      <c r="M167" s="89" t="s">
        <v>471</v>
      </c>
      <c r="N167" s="89">
        <v>100</v>
      </c>
      <c r="O167" s="94" t="s">
        <v>472</v>
      </c>
      <c r="P167" s="95" t="s">
        <v>55</v>
      </c>
      <c r="Q167" s="144" t="s">
        <v>70</v>
      </c>
      <c r="R167" s="96">
        <v>46171</v>
      </c>
      <c r="S167" s="97"/>
      <c r="T167" s="97" t="s">
        <v>57</v>
      </c>
      <c r="U167" s="97" t="s">
        <v>71</v>
      </c>
      <c r="V167" s="93">
        <v>46170</v>
      </c>
      <c r="W167" s="93" t="s">
        <v>72</v>
      </c>
      <c r="X167" s="93" t="s">
        <v>72</v>
      </c>
      <c r="Y167" s="98"/>
      <c r="Z167" s="89" t="s">
        <v>60</v>
      </c>
      <c r="AA167" s="97">
        <v>46178</v>
      </c>
      <c r="AB167" s="89" t="s">
        <v>61</v>
      </c>
      <c r="AC167" s="120"/>
      <c r="AD167" s="89" t="s">
        <v>85</v>
      </c>
      <c r="AE167" s="89">
        <v>62</v>
      </c>
      <c r="AF167" s="99"/>
      <c r="AG167" s="99"/>
      <c r="AH167" s="99"/>
      <c r="AI167" s="100"/>
      <c r="AJ167" s="100" t="s">
        <v>47</v>
      </c>
      <c r="AK167" s="100" t="s">
        <v>47</v>
      </c>
      <c r="AL167" s="45" t="s">
        <v>64</v>
      </c>
      <c r="AM167" s="198" t="str">
        <f t="shared" si="16"/>
        <v>5/2026</v>
      </c>
      <c r="AN167" s="45">
        <f t="shared" si="17"/>
        <v>4</v>
      </c>
      <c r="AO167" s="45" t="str">
        <f t="shared" si="18"/>
        <v>5/2026</v>
      </c>
      <c r="AP167" s="45">
        <f t="shared" si="19"/>
        <v>5</v>
      </c>
      <c r="AQ167" s="45">
        <f t="shared" si="20"/>
        <v>8</v>
      </c>
      <c r="AR167" s="45">
        <f t="shared" si="21"/>
        <v>0</v>
      </c>
      <c r="AS167" s="45">
        <f t="shared" si="22"/>
        <v>0</v>
      </c>
      <c r="AT167" s="45">
        <f t="shared" si="23"/>
        <v>7</v>
      </c>
      <c r="AU167" s="45" t="str">
        <f>_xlfn.XLOOKUP(U167,'Lista Suspensa'!$AA$20:$AA$23,'Lista Suspensa'!$AB$20:$AB$23,"N/A")</f>
        <v>S</v>
      </c>
    </row>
    <row r="168" spans="1:47" ht="12" customHeight="1" x14ac:dyDescent="0.3">
      <c r="A168" s="87" t="s">
        <v>47</v>
      </c>
      <c r="B168" s="88">
        <v>46163</v>
      </c>
      <c r="C168" s="89" t="s">
        <v>48</v>
      </c>
      <c r="D168" s="89" t="s">
        <v>49</v>
      </c>
      <c r="E168" s="90">
        <v>794141706</v>
      </c>
      <c r="F168" s="220" t="s">
        <v>473</v>
      </c>
      <c r="G168" s="92">
        <v>7022220891</v>
      </c>
      <c r="H168" s="93">
        <v>14002</v>
      </c>
      <c r="I168" s="89">
        <v>87</v>
      </c>
      <c r="J168" s="89" t="s">
        <v>51</v>
      </c>
      <c r="K168" s="89" t="s">
        <v>52</v>
      </c>
      <c r="L168" s="89" t="s">
        <v>275</v>
      </c>
      <c r="M168" s="89" t="s">
        <v>474</v>
      </c>
      <c r="N168" s="89" t="s">
        <v>53</v>
      </c>
      <c r="O168" s="94">
        <v>11983164812</v>
      </c>
      <c r="P168" s="95" t="s">
        <v>55</v>
      </c>
      <c r="Q168" s="144" t="s">
        <v>457</v>
      </c>
      <c r="R168" s="96"/>
      <c r="S168" s="97"/>
      <c r="T168" s="97" t="s">
        <v>183</v>
      </c>
      <c r="U168" s="97" t="s">
        <v>458</v>
      </c>
      <c r="V168" s="93">
        <v>46170</v>
      </c>
      <c r="W168" s="93">
        <v>46181</v>
      </c>
      <c r="X168" s="93"/>
      <c r="Y168" s="98"/>
      <c r="Z168" s="89"/>
      <c r="AA168" s="97"/>
      <c r="AB168" s="89"/>
      <c r="AC168" s="120"/>
      <c r="AD168" s="89"/>
      <c r="AE168" s="89"/>
      <c r="AF168" s="99"/>
      <c r="AG168" s="99"/>
      <c r="AH168" s="99"/>
      <c r="AI168" s="100"/>
      <c r="AJ168" s="100" t="s">
        <v>47</v>
      </c>
      <c r="AK168" s="100" t="s">
        <v>47</v>
      </c>
      <c r="AL168" s="45" t="s">
        <v>64</v>
      </c>
      <c r="AM168" s="198" t="str">
        <f t="shared" si="16"/>
        <v>5/2026</v>
      </c>
      <c r="AN168" s="45">
        <f t="shared" si="17"/>
        <v>4</v>
      </c>
      <c r="AO168" s="45" t="str">
        <f t="shared" si="18"/>
        <v>1/1900</v>
      </c>
      <c r="AP168" s="45" t="e">
        <f t="shared" si="19"/>
        <v>#NUM!</v>
      </c>
      <c r="AQ168" s="45">
        <f t="shared" si="20"/>
        <v>0</v>
      </c>
      <c r="AR168" s="45">
        <f t="shared" si="21"/>
        <v>0</v>
      </c>
      <c r="AS168" s="45">
        <f t="shared" si="22"/>
        <v>0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customHeight="1" x14ac:dyDescent="0.3">
      <c r="A169" s="87" t="s">
        <v>47</v>
      </c>
      <c r="B169" s="88">
        <v>46163</v>
      </c>
      <c r="C169" s="89" t="s">
        <v>48</v>
      </c>
      <c r="D169" s="89" t="s">
        <v>49</v>
      </c>
      <c r="E169" s="90">
        <v>451984838</v>
      </c>
      <c r="F169" s="220" t="s">
        <v>475</v>
      </c>
      <c r="G169" s="92">
        <v>25527733894</v>
      </c>
      <c r="H169" s="93">
        <v>19338</v>
      </c>
      <c r="I169" s="89">
        <v>73</v>
      </c>
      <c r="J169" s="89" t="s">
        <v>77</v>
      </c>
      <c r="K169" s="89" t="s">
        <v>52</v>
      </c>
      <c r="L169" s="89" t="s">
        <v>275</v>
      </c>
      <c r="M169" s="89" t="s">
        <v>476</v>
      </c>
      <c r="N169" s="89">
        <v>100</v>
      </c>
      <c r="O169" s="94">
        <v>11958232808</v>
      </c>
      <c r="P169" s="95" t="s">
        <v>55</v>
      </c>
      <c r="Q169" s="144" t="s">
        <v>457</v>
      </c>
      <c r="R169" s="96"/>
      <c r="S169" s="97"/>
      <c r="T169" s="97" t="s">
        <v>183</v>
      </c>
      <c r="U169" s="97" t="s">
        <v>458</v>
      </c>
      <c r="V169" s="93">
        <v>46170</v>
      </c>
      <c r="W169" s="93">
        <v>46181</v>
      </c>
      <c r="X169" s="93"/>
      <c r="Y169" s="98"/>
      <c r="Z169" s="89"/>
      <c r="AA169" s="97"/>
      <c r="AB169" s="89"/>
      <c r="AC169" s="120"/>
      <c r="AD169" s="89"/>
      <c r="AE169" s="89"/>
      <c r="AF169" s="99"/>
      <c r="AG169" s="99"/>
      <c r="AH169" s="99"/>
      <c r="AI169" s="100"/>
      <c r="AJ169" s="100" t="s">
        <v>47</v>
      </c>
      <c r="AK169" s="100" t="s">
        <v>47</v>
      </c>
      <c r="AL169" s="45" t="s">
        <v>64</v>
      </c>
      <c r="AM169" s="198" t="str">
        <f t="shared" si="16"/>
        <v>5/2026</v>
      </c>
      <c r="AN169" s="45">
        <f t="shared" si="17"/>
        <v>4</v>
      </c>
      <c r="AO169" s="45" t="str">
        <f t="shared" si="18"/>
        <v>1/1900</v>
      </c>
      <c r="AP169" s="45" t="e">
        <f t="shared" si="19"/>
        <v>#NUM!</v>
      </c>
      <c r="AQ169" s="45">
        <f t="shared" si="20"/>
        <v>0</v>
      </c>
      <c r="AR169" s="45">
        <f t="shared" si="21"/>
        <v>0</v>
      </c>
      <c r="AS169" s="45">
        <f t="shared" si="22"/>
        <v>0</v>
      </c>
      <c r="AT169" s="45">
        <f t="shared" si="23"/>
        <v>0</v>
      </c>
      <c r="AU169" s="45" t="str">
        <f>_xlfn.XLOOKUP(U169,'Lista Suspensa'!$AA$20:$AA$23,'Lista Suspensa'!$AB$20:$AB$23,"N/A")</f>
        <v>S</v>
      </c>
    </row>
    <row r="170" spans="1:47" ht="12" customHeight="1" x14ac:dyDescent="0.3">
      <c r="A170" s="87" t="s">
        <v>47</v>
      </c>
      <c r="B170" s="88">
        <v>46167</v>
      </c>
      <c r="C170" s="89" t="s">
        <v>48</v>
      </c>
      <c r="D170" s="89" t="s">
        <v>403</v>
      </c>
      <c r="E170" s="112">
        <v>93066193</v>
      </c>
      <c r="F170" s="220" t="s">
        <v>477</v>
      </c>
      <c r="G170" s="113" t="s">
        <v>478</v>
      </c>
      <c r="H170" s="98">
        <v>26061</v>
      </c>
      <c r="I170" s="92">
        <v>55</v>
      </c>
      <c r="J170" s="114" t="s">
        <v>51</v>
      </c>
      <c r="K170" s="89" t="s">
        <v>271</v>
      </c>
      <c r="L170" s="89" t="s">
        <v>293</v>
      </c>
      <c r="M170" s="89" t="s">
        <v>479</v>
      </c>
      <c r="N170" s="89">
        <v>750</v>
      </c>
      <c r="O170" s="91">
        <v>21988649179</v>
      </c>
      <c r="P170" s="95" t="s">
        <v>55</v>
      </c>
      <c r="Q170" s="144" t="s">
        <v>457</v>
      </c>
      <c r="R170" s="122"/>
      <c r="S170" s="97"/>
      <c r="T170" s="97" t="s">
        <v>183</v>
      </c>
      <c r="U170" s="97" t="s">
        <v>458</v>
      </c>
      <c r="V170" s="118">
        <v>46178</v>
      </c>
      <c r="W170" s="93">
        <v>46181</v>
      </c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 t="s">
        <v>47</v>
      </c>
      <c r="AK170" s="100" t="s">
        <v>47</v>
      </c>
      <c r="AL170" s="45" t="s">
        <v>64</v>
      </c>
      <c r="AM170" s="198" t="str">
        <f t="shared" si="16"/>
        <v>5/2026</v>
      </c>
      <c r="AN170" s="45">
        <f t="shared" si="17"/>
        <v>5</v>
      </c>
      <c r="AO170" s="45" t="str">
        <f t="shared" si="18"/>
        <v>1/1900</v>
      </c>
      <c r="AP170" s="45" t="e">
        <f t="shared" si="19"/>
        <v>#NUM!</v>
      </c>
      <c r="AQ170" s="45">
        <f t="shared" si="20"/>
        <v>0</v>
      </c>
      <c r="AR170" s="45">
        <f t="shared" si="21"/>
        <v>0</v>
      </c>
      <c r="AS170" s="45">
        <f t="shared" si="22"/>
        <v>0</v>
      </c>
      <c r="AT170" s="45">
        <f t="shared" si="23"/>
        <v>0</v>
      </c>
      <c r="AU170" s="45" t="str">
        <f>_xlfn.XLOOKUP(U170,'Lista Suspensa'!$AA$20:$AA$23,'Lista Suspensa'!$AB$20:$AB$23,"N/A")</f>
        <v>S</v>
      </c>
    </row>
    <row r="171" spans="1:47" ht="12" customHeight="1" x14ac:dyDescent="0.3">
      <c r="A171" s="87" t="s">
        <v>47</v>
      </c>
      <c r="B171" s="88">
        <v>46168</v>
      </c>
      <c r="C171" s="89" t="s">
        <v>48</v>
      </c>
      <c r="D171" s="89" t="s">
        <v>403</v>
      </c>
      <c r="E171" s="112">
        <v>88392363</v>
      </c>
      <c r="F171" s="220" t="s">
        <v>480</v>
      </c>
      <c r="G171" s="113" t="s">
        <v>481</v>
      </c>
      <c r="H171" s="98">
        <v>21309</v>
      </c>
      <c r="I171" s="92">
        <v>68</v>
      </c>
      <c r="J171" s="114" t="s">
        <v>77</v>
      </c>
      <c r="K171" s="89" t="s">
        <v>52</v>
      </c>
      <c r="L171" s="89" t="s">
        <v>275</v>
      </c>
      <c r="M171" s="89" t="s">
        <v>482</v>
      </c>
      <c r="N171" s="89">
        <v>380</v>
      </c>
      <c r="O171" s="91">
        <v>11940478583</v>
      </c>
      <c r="P171" s="95" t="s">
        <v>55</v>
      </c>
      <c r="Q171" s="144" t="s">
        <v>457</v>
      </c>
      <c r="R171" s="122"/>
      <c r="S171" s="95"/>
      <c r="T171" s="97" t="s">
        <v>183</v>
      </c>
      <c r="U171" s="97" t="s">
        <v>458</v>
      </c>
      <c r="V171" s="118">
        <v>46178</v>
      </c>
      <c r="W171" s="93">
        <v>46181</v>
      </c>
      <c r="X171" s="98"/>
      <c r="Y171" s="98"/>
      <c r="Z171" s="89" t="s">
        <v>60</v>
      </c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 t="s">
        <v>47</v>
      </c>
      <c r="AK171" s="100" t="s">
        <v>47</v>
      </c>
      <c r="AL171" s="45" t="s">
        <v>64</v>
      </c>
      <c r="AM171" s="198" t="str">
        <f t="shared" si="16"/>
        <v>5/2026</v>
      </c>
      <c r="AN171" s="45">
        <f t="shared" si="17"/>
        <v>5</v>
      </c>
      <c r="AO171" s="45" t="str">
        <f t="shared" si="18"/>
        <v>1/1900</v>
      </c>
      <c r="AP171" s="45" t="e">
        <f t="shared" si="19"/>
        <v>#NUM!</v>
      </c>
      <c r="AQ171" s="45">
        <f t="shared" si="20"/>
        <v>0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customHeight="1" x14ac:dyDescent="0.3">
      <c r="A172" s="87" t="s">
        <v>47</v>
      </c>
      <c r="B172" s="88">
        <v>46168</v>
      </c>
      <c r="C172" s="89" t="s">
        <v>48</v>
      </c>
      <c r="D172" s="89" t="s">
        <v>403</v>
      </c>
      <c r="E172" s="112">
        <v>96399740</v>
      </c>
      <c r="F172" s="220" t="s">
        <v>483</v>
      </c>
      <c r="G172" s="113" t="s">
        <v>484</v>
      </c>
      <c r="H172" s="98">
        <v>20742</v>
      </c>
      <c r="I172" s="92">
        <v>69</v>
      </c>
      <c r="J172" s="114" t="s">
        <v>51</v>
      </c>
      <c r="K172" s="89" t="s">
        <v>271</v>
      </c>
      <c r="L172" s="89" t="s">
        <v>293</v>
      </c>
      <c r="M172" s="89" t="s">
        <v>485</v>
      </c>
      <c r="N172" s="89">
        <v>75</v>
      </c>
      <c r="O172" s="91">
        <v>11982044222</v>
      </c>
      <c r="P172" s="95" t="s">
        <v>55</v>
      </c>
      <c r="Q172" s="144" t="s">
        <v>70</v>
      </c>
      <c r="R172" s="122">
        <v>46189</v>
      </c>
      <c r="S172" s="95"/>
      <c r="T172" s="97" t="s">
        <v>57</v>
      </c>
      <c r="U172" s="97" t="s">
        <v>71</v>
      </c>
      <c r="V172" s="118">
        <v>46178</v>
      </c>
      <c r="W172" s="93">
        <v>46181</v>
      </c>
      <c r="X172" s="98"/>
      <c r="Y172" s="98"/>
      <c r="Z172" s="89" t="s">
        <v>60</v>
      </c>
      <c r="AA172" s="97">
        <v>46196</v>
      </c>
      <c r="AB172" s="89"/>
      <c r="AC172" s="120"/>
      <c r="AD172" s="89"/>
      <c r="AE172" s="89"/>
      <c r="AF172" s="119"/>
      <c r="AG172" s="119"/>
      <c r="AH172" s="119"/>
      <c r="AI172" s="100"/>
      <c r="AJ172" s="100" t="s">
        <v>47</v>
      </c>
      <c r="AK172" s="100" t="s">
        <v>47</v>
      </c>
      <c r="AL172" s="45" t="s">
        <v>64</v>
      </c>
      <c r="AM172" s="198" t="str">
        <f t="shared" si="16"/>
        <v>5/2026</v>
      </c>
      <c r="AN172" s="45">
        <f t="shared" si="17"/>
        <v>5</v>
      </c>
      <c r="AO172" s="45" t="str">
        <f t="shared" si="18"/>
        <v>6/2026</v>
      </c>
      <c r="AP172" s="45">
        <f t="shared" si="19"/>
        <v>3</v>
      </c>
      <c r="AQ172" s="45">
        <f t="shared" si="20"/>
        <v>21</v>
      </c>
      <c r="AR172" s="45">
        <f t="shared" si="21"/>
        <v>0</v>
      </c>
      <c r="AS172" s="45">
        <f t="shared" si="22"/>
        <v>3</v>
      </c>
      <c r="AT172" s="45">
        <f t="shared" si="23"/>
        <v>0</v>
      </c>
      <c r="AU172" s="45" t="str">
        <f>_xlfn.XLOOKUP(U172,'Lista Suspensa'!$AA$20:$AA$23,'Lista Suspensa'!$AB$20:$AB$23,"N/A")</f>
        <v>S</v>
      </c>
    </row>
    <row r="173" spans="1:47" ht="12" customHeight="1" x14ac:dyDescent="0.3">
      <c r="A173" s="87" t="s">
        <v>47</v>
      </c>
      <c r="B173" s="93">
        <v>46170</v>
      </c>
      <c r="C173" s="89" t="s">
        <v>48</v>
      </c>
      <c r="D173" s="89" t="s">
        <v>403</v>
      </c>
      <c r="E173" s="112">
        <v>95660911</v>
      </c>
      <c r="F173" s="220" t="s">
        <v>486</v>
      </c>
      <c r="G173" s="113" t="s">
        <v>487</v>
      </c>
      <c r="H173" s="98">
        <v>36599</v>
      </c>
      <c r="I173" s="92">
        <v>26</v>
      </c>
      <c r="J173" s="114" t="s">
        <v>51</v>
      </c>
      <c r="K173" s="89" t="s">
        <v>52</v>
      </c>
      <c r="L173" s="89" t="s">
        <v>275</v>
      </c>
      <c r="M173" s="89" t="s">
        <v>275</v>
      </c>
      <c r="N173" s="89">
        <v>110</v>
      </c>
      <c r="O173" s="91">
        <v>11913376590</v>
      </c>
      <c r="P173" s="95" t="s">
        <v>55</v>
      </c>
      <c r="Q173" s="144" t="s">
        <v>70</v>
      </c>
      <c r="R173" s="96">
        <v>46178</v>
      </c>
      <c r="S173" s="95"/>
      <c r="T173" s="97" t="s">
        <v>57</v>
      </c>
      <c r="U173" s="97" t="s">
        <v>71</v>
      </c>
      <c r="V173" s="118">
        <v>46178</v>
      </c>
      <c r="W173" s="93">
        <v>46181</v>
      </c>
      <c r="X173" s="98"/>
      <c r="Y173" s="98"/>
      <c r="Z173" s="89" t="s">
        <v>60</v>
      </c>
      <c r="AA173" s="97">
        <v>46189</v>
      </c>
      <c r="AB173" s="89"/>
      <c r="AC173" s="120"/>
      <c r="AD173" s="89"/>
      <c r="AE173" s="89"/>
      <c r="AF173" s="119"/>
      <c r="AG173" s="119"/>
      <c r="AH173" s="119"/>
      <c r="AI173" s="100"/>
      <c r="AJ173" s="100" t="s">
        <v>47</v>
      </c>
      <c r="AK173" s="100" t="s">
        <v>47</v>
      </c>
      <c r="AL173" s="45" t="s">
        <v>64</v>
      </c>
      <c r="AM173" s="198" t="str">
        <f t="shared" si="16"/>
        <v>5/2026</v>
      </c>
      <c r="AN173" s="45">
        <f t="shared" si="17"/>
        <v>5</v>
      </c>
      <c r="AO173" s="45" t="str">
        <f t="shared" si="18"/>
        <v>6/2026</v>
      </c>
      <c r="AP173" s="45">
        <f t="shared" si="19"/>
        <v>1</v>
      </c>
      <c r="AQ173" s="45">
        <f t="shared" si="20"/>
        <v>8</v>
      </c>
      <c r="AR173" s="45">
        <f t="shared" si="21"/>
        <v>0</v>
      </c>
      <c r="AS173" s="45">
        <f t="shared" si="22"/>
        <v>3</v>
      </c>
      <c r="AT173" s="45">
        <f t="shared" si="23"/>
        <v>0</v>
      </c>
      <c r="AU173" s="45" t="str">
        <f>_xlfn.XLOOKUP(U173,'Lista Suspensa'!$AA$20:$AA$23,'Lista Suspensa'!$AB$20:$AB$23,"N/A")</f>
        <v>S</v>
      </c>
    </row>
    <row r="174" spans="1:47" ht="12" customHeight="1" x14ac:dyDescent="0.3">
      <c r="A174" s="87" t="s">
        <v>47</v>
      </c>
      <c r="B174" s="93">
        <v>46175</v>
      </c>
      <c r="C174" s="89" t="s">
        <v>488</v>
      </c>
      <c r="D174" s="89" t="s">
        <v>49</v>
      </c>
      <c r="E174" s="112">
        <v>759859116</v>
      </c>
      <c r="F174" s="220" t="s">
        <v>489</v>
      </c>
      <c r="G174" s="113">
        <v>80709834772</v>
      </c>
      <c r="H174" s="98">
        <v>23689</v>
      </c>
      <c r="I174" s="92"/>
      <c r="J174" s="114" t="s">
        <v>77</v>
      </c>
      <c r="K174" s="89" t="s">
        <v>271</v>
      </c>
      <c r="L174" s="89" t="s">
        <v>293</v>
      </c>
      <c r="M174" s="89" t="s">
        <v>490</v>
      </c>
      <c r="N174" s="89">
        <v>100</v>
      </c>
      <c r="O174" s="91" t="s">
        <v>491</v>
      </c>
      <c r="P174" s="95" t="s">
        <v>55</v>
      </c>
      <c r="Q174" s="144" t="s">
        <v>457</v>
      </c>
      <c r="R174" s="122"/>
      <c r="S174" s="95"/>
      <c r="T174" s="97" t="s">
        <v>183</v>
      </c>
      <c r="U174" s="97" t="s">
        <v>458</v>
      </c>
      <c r="V174" s="118">
        <v>46178</v>
      </c>
      <c r="W174" s="93">
        <v>46181</v>
      </c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 t="s">
        <v>47</v>
      </c>
      <c r="AK174" s="100" t="s">
        <v>47</v>
      </c>
      <c r="AL174" s="45" t="s">
        <v>64</v>
      </c>
      <c r="AM174" s="198" t="str">
        <f t="shared" si="16"/>
        <v>6/2026</v>
      </c>
      <c r="AN174" s="45">
        <f t="shared" si="17"/>
        <v>1</v>
      </c>
      <c r="AO174" s="45" t="str">
        <f t="shared" si="18"/>
        <v>1/1900</v>
      </c>
      <c r="AP174" s="45" t="e">
        <f t="shared" si="19"/>
        <v>#NUM!</v>
      </c>
      <c r="AQ174" s="45">
        <f t="shared" si="20"/>
        <v>0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customHeight="1" x14ac:dyDescent="0.3">
      <c r="A175" s="89" t="s">
        <v>47</v>
      </c>
      <c r="B175" s="93">
        <v>46175</v>
      </c>
      <c r="C175" s="89" t="s">
        <v>488</v>
      </c>
      <c r="D175" s="89" t="s">
        <v>492</v>
      </c>
      <c r="E175" s="112">
        <v>87522285</v>
      </c>
      <c r="F175" s="220" t="s">
        <v>493</v>
      </c>
      <c r="G175" s="113" t="s">
        <v>494</v>
      </c>
      <c r="H175" s="98">
        <v>23094</v>
      </c>
      <c r="I175" s="92"/>
      <c r="J175" s="114" t="s">
        <v>77</v>
      </c>
      <c r="K175" s="89" t="s">
        <v>271</v>
      </c>
      <c r="L175" s="89" t="s">
        <v>495</v>
      </c>
      <c r="M175" s="89" t="s">
        <v>496</v>
      </c>
      <c r="N175" s="89">
        <v>75</v>
      </c>
      <c r="O175" s="91">
        <v>21999997791</v>
      </c>
      <c r="P175" s="95" t="s">
        <v>55</v>
      </c>
      <c r="Q175" s="144" t="s">
        <v>70</v>
      </c>
      <c r="R175" s="96">
        <v>46178</v>
      </c>
      <c r="S175" s="95"/>
      <c r="T175" s="97" t="s">
        <v>57</v>
      </c>
      <c r="U175" s="97" t="s">
        <v>71</v>
      </c>
      <c r="V175" s="118">
        <v>46178</v>
      </c>
      <c r="W175" s="93">
        <v>46181</v>
      </c>
      <c r="X175" s="98"/>
      <c r="Y175" s="98"/>
      <c r="Z175" s="89" t="s">
        <v>60</v>
      </c>
      <c r="AA175" s="97">
        <v>46190</v>
      </c>
      <c r="AB175" s="89"/>
      <c r="AC175" s="120"/>
      <c r="AD175" s="89"/>
      <c r="AE175" s="89"/>
      <c r="AF175" s="119"/>
      <c r="AG175" s="119"/>
      <c r="AH175" s="119"/>
      <c r="AI175" s="100"/>
      <c r="AJ175" s="100" t="s">
        <v>47</v>
      </c>
      <c r="AK175" s="100" t="s">
        <v>47</v>
      </c>
      <c r="AL175" s="45" t="s">
        <v>64</v>
      </c>
      <c r="AM175" s="198" t="str">
        <f t="shared" si="16"/>
        <v>6/2026</v>
      </c>
      <c r="AN175" s="45">
        <f t="shared" si="17"/>
        <v>1</v>
      </c>
      <c r="AO175" s="45" t="str">
        <f t="shared" si="18"/>
        <v>6/2026</v>
      </c>
      <c r="AP175" s="45">
        <f t="shared" si="19"/>
        <v>1</v>
      </c>
      <c r="AQ175" s="45">
        <f t="shared" si="20"/>
        <v>3</v>
      </c>
      <c r="AR175" s="45">
        <f t="shared" si="21"/>
        <v>0</v>
      </c>
      <c r="AS175" s="45">
        <f t="shared" si="22"/>
        <v>3</v>
      </c>
      <c r="AT175" s="45">
        <f t="shared" si="23"/>
        <v>0</v>
      </c>
      <c r="AU175" s="45" t="str">
        <f>_xlfn.XLOOKUP(U175,'Lista Suspensa'!$AA$20:$AA$23,'Lista Suspensa'!$AB$20:$AB$23,"N/A")</f>
        <v>S</v>
      </c>
    </row>
    <row r="176" spans="1:47" ht="12" customHeight="1" x14ac:dyDescent="0.3">
      <c r="A176" s="89" t="s">
        <v>47</v>
      </c>
      <c r="B176" s="93">
        <v>46175</v>
      </c>
      <c r="C176" s="89" t="s">
        <v>488</v>
      </c>
      <c r="D176" s="89" t="s">
        <v>492</v>
      </c>
      <c r="E176" s="112">
        <v>89058286</v>
      </c>
      <c r="F176" s="220" t="s">
        <v>497</v>
      </c>
      <c r="G176" s="113" t="s">
        <v>498</v>
      </c>
      <c r="H176" s="98">
        <v>28282</v>
      </c>
      <c r="I176" s="92"/>
      <c r="J176" s="114" t="s">
        <v>51</v>
      </c>
      <c r="K176" s="89" t="s">
        <v>52</v>
      </c>
      <c r="L176" s="89" t="s">
        <v>52</v>
      </c>
      <c r="M176" s="89" t="s">
        <v>499</v>
      </c>
      <c r="N176" s="89">
        <v>110</v>
      </c>
      <c r="O176" s="91">
        <v>11985571560</v>
      </c>
      <c r="P176" s="95" t="s">
        <v>55</v>
      </c>
      <c r="Q176" s="144" t="s">
        <v>70</v>
      </c>
      <c r="R176" s="96">
        <v>46178</v>
      </c>
      <c r="S176" s="95"/>
      <c r="T176" s="97" t="s">
        <v>57</v>
      </c>
      <c r="U176" s="97" t="s">
        <v>71</v>
      </c>
      <c r="V176" s="118">
        <v>46178</v>
      </c>
      <c r="W176" s="93">
        <v>46181</v>
      </c>
      <c r="X176" s="98"/>
      <c r="Y176" s="98"/>
      <c r="Z176" s="89" t="s">
        <v>60</v>
      </c>
      <c r="AA176" s="97">
        <v>46189</v>
      </c>
      <c r="AB176" s="89"/>
      <c r="AC176" s="120"/>
      <c r="AD176" s="89"/>
      <c r="AE176" s="89"/>
      <c r="AF176" s="119"/>
      <c r="AG176" s="119"/>
      <c r="AH176" s="119"/>
      <c r="AI176" s="100"/>
      <c r="AJ176" s="100" t="s">
        <v>47</v>
      </c>
      <c r="AK176" s="100" t="s">
        <v>47</v>
      </c>
      <c r="AL176" s="45" t="s">
        <v>64</v>
      </c>
      <c r="AM176" s="198" t="str">
        <f t="shared" si="16"/>
        <v>6/2026</v>
      </c>
      <c r="AN176" s="45">
        <f t="shared" si="17"/>
        <v>1</v>
      </c>
      <c r="AO176" s="45" t="str">
        <f t="shared" si="18"/>
        <v>6/2026</v>
      </c>
      <c r="AP176" s="45">
        <f t="shared" si="19"/>
        <v>1</v>
      </c>
      <c r="AQ176" s="45">
        <f t="shared" si="20"/>
        <v>3</v>
      </c>
      <c r="AR176" s="45">
        <f t="shared" si="21"/>
        <v>0</v>
      </c>
      <c r="AS176" s="45">
        <f t="shared" si="22"/>
        <v>3</v>
      </c>
      <c r="AT176" s="45">
        <f t="shared" si="23"/>
        <v>0</v>
      </c>
      <c r="AU176" s="45" t="str">
        <f>_xlfn.XLOOKUP(U176,'Lista Suspensa'!$AA$20:$AA$23,'Lista Suspensa'!$AB$20:$AB$23,"N/A")</f>
        <v>S</v>
      </c>
    </row>
    <row r="177" spans="1:47" ht="12" customHeight="1" x14ac:dyDescent="0.3">
      <c r="A177" s="89" t="s">
        <v>47</v>
      </c>
      <c r="B177" s="93">
        <v>46176</v>
      </c>
      <c r="C177" s="89" t="s">
        <v>488</v>
      </c>
      <c r="D177" s="89" t="s">
        <v>492</v>
      </c>
      <c r="E177" s="112">
        <v>490054668</v>
      </c>
      <c r="F177" s="220" t="s">
        <v>500</v>
      </c>
      <c r="G177" s="113" t="s">
        <v>501</v>
      </c>
      <c r="H177" s="98">
        <v>23111</v>
      </c>
      <c r="I177" s="92"/>
      <c r="J177" s="114" t="s">
        <v>51</v>
      </c>
      <c r="K177" s="89" t="s">
        <v>271</v>
      </c>
      <c r="L177" s="89" t="s">
        <v>502</v>
      </c>
      <c r="M177" s="89" t="s">
        <v>502</v>
      </c>
      <c r="N177" s="89">
        <v>400</v>
      </c>
      <c r="O177" s="91">
        <v>21981243420</v>
      </c>
      <c r="P177" s="95" t="s">
        <v>55</v>
      </c>
      <c r="Q177" s="144" t="s">
        <v>457</v>
      </c>
      <c r="R177" s="122"/>
      <c r="S177" s="95"/>
      <c r="T177" s="97" t="s">
        <v>183</v>
      </c>
      <c r="U177" s="97" t="s">
        <v>458</v>
      </c>
      <c r="V177" s="118">
        <v>46178</v>
      </c>
      <c r="W177" s="93">
        <v>46181</v>
      </c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 t="s">
        <v>47</v>
      </c>
      <c r="AK177" s="100" t="s">
        <v>47</v>
      </c>
      <c r="AL177" s="45" t="s">
        <v>64</v>
      </c>
      <c r="AM177" s="198" t="str">
        <f t="shared" si="16"/>
        <v>6/2026</v>
      </c>
      <c r="AN177" s="45">
        <f t="shared" si="17"/>
        <v>1</v>
      </c>
      <c r="AO177" s="45" t="str">
        <f t="shared" si="18"/>
        <v>1/1900</v>
      </c>
      <c r="AP177" s="45" t="e">
        <f t="shared" si="19"/>
        <v>#NUM!</v>
      </c>
      <c r="AQ177" s="45">
        <f t="shared" si="20"/>
        <v>0</v>
      </c>
      <c r="AR177" s="45">
        <f t="shared" si="21"/>
        <v>0</v>
      </c>
      <c r="AS177" s="45">
        <f t="shared" si="22"/>
        <v>0</v>
      </c>
      <c r="AT177" s="45">
        <f t="shared" si="23"/>
        <v>0</v>
      </c>
      <c r="AU177" s="45" t="str">
        <f>_xlfn.XLOOKUP(U177,'Lista Suspensa'!$AA$20:$AA$23,'Lista Suspensa'!$AB$20:$AB$23,"N/A")</f>
        <v>S</v>
      </c>
    </row>
    <row r="178" spans="1:47" ht="12" customHeight="1" x14ac:dyDescent="0.3">
      <c r="A178" s="87" t="s">
        <v>47</v>
      </c>
      <c r="B178" s="93">
        <v>46181</v>
      </c>
      <c r="C178" s="89" t="s">
        <v>488</v>
      </c>
      <c r="D178" s="89" t="s">
        <v>49</v>
      </c>
      <c r="E178" s="112">
        <v>94078277</v>
      </c>
      <c r="F178" s="220" t="s">
        <v>503</v>
      </c>
      <c r="G178" s="113">
        <v>22814062883</v>
      </c>
      <c r="H178" s="98">
        <v>31036</v>
      </c>
      <c r="I178" s="92"/>
      <c r="J178" s="114" t="s">
        <v>51</v>
      </c>
      <c r="K178" s="89" t="s">
        <v>52</v>
      </c>
      <c r="L178" s="89" t="s">
        <v>275</v>
      </c>
      <c r="M178" s="89" t="s">
        <v>504</v>
      </c>
      <c r="N178" s="89">
        <v>380</v>
      </c>
      <c r="O178" s="91" t="s">
        <v>505</v>
      </c>
      <c r="P178" s="95" t="s">
        <v>55</v>
      </c>
      <c r="Q178" s="144" t="s">
        <v>457</v>
      </c>
      <c r="R178" s="122"/>
      <c r="S178" s="97"/>
      <c r="T178" s="97" t="s">
        <v>183</v>
      </c>
      <c r="U178" s="97" t="s">
        <v>458</v>
      </c>
      <c r="V178" s="118">
        <v>46181</v>
      </c>
      <c r="W178" s="98"/>
      <c r="X178" s="98"/>
      <c r="Y178" s="98"/>
      <c r="Z178" s="89"/>
      <c r="AA178" s="97"/>
      <c r="AB178" s="89"/>
      <c r="AC178" s="120"/>
      <c r="AD178" s="89"/>
      <c r="AE178" s="89"/>
      <c r="AF178" s="119"/>
      <c r="AG178" s="119"/>
      <c r="AH178" s="119"/>
      <c r="AI178" s="100"/>
      <c r="AJ178" s="100" t="s">
        <v>47</v>
      </c>
      <c r="AK178" s="100" t="s">
        <v>47</v>
      </c>
      <c r="AL178" s="45" t="s">
        <v>64</v>
      </c>
      <c r="AM178" s="198" t="str">
        <f t="shared" si="16"/>
        <v>6/2026</v>
      </c>
      <c r="AN178" s="45">
        <f t="shared" si="17"/>
        <v>2</v>
      </c>
      <c r="AO178" s="45" t="str">
        <f t="shared" si="18"/>
        <v>1/1900</v>
      </c>
      <c r="AP178" s="45" t="e">
        <f t="shared" si="19"/>
        <v>#NUM!</v>
      </c>
      <c r="AQ178" s="45">
        <f t="shared" si="20"/>
        <v>0</v>
      </c>
      <c r="AR178" s="45">
        <f t="shared" si="21"/>
        <v>0</v>
      </c>
      <c r="AS178" s="45">
        <f t="shared" si="22"/>
        <v>0</v>
      </c>
      <c r="AT178" s="45">
        <f t="shared" si="23"/>
        <v>0</v>
      </c>
      <c r="AU178" s="45" t="str">
        <f>_xlfn.XLOOKUP(U178,'Lista Suspensa'!$AA$20:$AA$23,'Lista Suspensa'!$AB$20:$AB$23,"N/A")</f>
        <v>S</v>
      </c>
    </row>
    <row r="179" spans="1:47" ht="12" customHeight="1" x14ac:dyDescent="0.3">
      <c r="A179" s="87" t="s">
        <v>47</v>
      </c>
      <c r="B179" s="93">
        <v>46181</v>
      </c>
      <c r="C179" s="89" t="s">
        <v>488</v>
      </c>
      <c r="D179" s="89" t="s">
        <v>492</v>
      </c>
      <c r="E179" s="112">
        <v>94704641</v>
      </c>
      <c r="F179" s="220" t="s">
        <v>506</v>
      </c>
      <c r="G179" s="113" t="s">
        <v>507</v>
      </c>
      <c r="H179" s="98">
        <v>26682</v>
      </c>
      <c r="I179" s="92"/>
      <c r="J179" s="114" t="s">
        <v>51</v>
      </c>
      <c r="K179" s="89" t="s">
        <v>271</v>
      </c>
      <c r="L179" s="89" t="s">
        <v>293</v>
      </c>
      <c r="M179" s="89" t="s">
        <v>508</v>
      </c>
      <c r="N179" s="89">
        <v>80</v>
      </c>
      <c r="O179" s="91">
        <v>21986270508</v>
      </c>
      <c r="P179" s="95" t="s">
        <v>55</v>
      </c>
      <c r="Q179" s="144" t="s">
        <v>70</v>
      </c>
      <c r="R179" s="96">
        <v>46178</v>
      </c>
      <c r="S179" s="97"/>
      <c r="T179" s="97" t="s">
        <v>57</v>
      </c>
      <c r="U179" s="97" t="s">
        <v>71</v>
      </c>
      <c r="V179" s="118">
        <v>46181</v>
      </c>
      <c r="W179" s="98"/>
      <c r="X179" s="98"/>
      <c r="Y179" s="98"/>
      <c r="Z179" s="89" t="s">
        <v>60</v>
      </c>
      <c r="AA179" s="97">
        <v>46188</v>
      </c>
      <c r="AB179" s="89"/>
      <c r="AC179" s="120"/>
      <c r="AD179" s="89"/>
      <c r="AE179" s="89"/>
      <c r="AF179" s="119"/>
      <c r="AG179" s="119"/>
      <c r="AH179" s="119"/>
      <c r="AI179" s="100"/>
      <c r="AJ179" s="100" t="s">
        <v>47</v>
      </c>
      <c r="AK179" s="100" t="s">
        <v>47</v>
      </c>
      <c r="AL179" s="45" t="s">
        <v>64</v>
      </c>
      <c r="AM179" s="198" t="str">
        <f t="shared" si="16"/>
        <v>6/2026</v>
      </c>
      <c r="AN179" s="45">
        <f t="shared" si="17"/>
        <v>2</v>
      </c>
      <c r="AO179" s="45" t="str">
        <f t="shared" si="18"/>
        <v>6/2026</v>
      </c>
      <c r="AP179" s="45">
        <f t="shared" si="19"/>
        <v>1</v>
      </c>
      <c r="AQ179" s="45">
        <f t="shared" si="20"/>
        <v>-3</v>
      </c>
      <c r="AR179" s="45">
        <f t="shared" si="21"/>
        <v>0</v>
      </c>
      <c r="AS179" s="45">
        <f t="shared" si="22"/>
        <v>0</v>
      </c>
      <c r="AT179" s="45">
        <f t="shared" si="23"/>
        <v>0</v>
      </c>
      <c r="AU179" s="45" t="str">
        <f>_xlfn.XLOOKUP(U179,'Lista Suspensa'!$AA$20:$AA$23,'Lista Suspensa'!$AB$20:$AB$23,"N/A")</f>
        <v>S</v>
      </c>
    </row>
    <row r="180" spans="1:47" ht="12" customHeight="1" x14ac:dyDescent="0.3">
      <c r="A180" s="87" t="s">
        <v>47</v>
      </c>
      <c r="B180" s="93">
        <v>46181</v>
      </c>
      <c r="C180" s="89" t="s">
        <v>488</v>
      </c>
      <c r="D180" s="89" t="s">
        <v>492</v>
      </c>
      <c r="E180" s="112">
        <v>92749038</v>
      </c>
      <c r="F180" s="220" t="s">
        <v>509</v>
      </c>
      <c r="G180" s="113" t="s">
        <v>510</v>
      </c>
      <c r="H180" s="98">
        <v>19675</v>
      </c>
      <c r="I180" s="92"/>
      <c r="J180" s="114" t="s">
        <v>51</v>
      </c>
      <c r="K180" s="89" t="s">
        <v>271</v>
      </c>
      <c r="L180" s="89" t="s">
        <v>293</v>
      </c>
      <c r="M180" s="89" t="s">
        <v>496</v>
      </c>
      <c r="N180" s="89">
        <v>75</v>
      </c>
      <c r="O180" s="91">
        <v>21979214716</v>
      </c>
      <c r="P180" s="95" t="s">
        <v>55</v>
      </c>
      <c r="Q180" s="144" t="s">
        <v>70</v>
      </c>
      <c r="R180" s="96">
        <v>46178</v>
      </c>
      <c r="S180" s="97"/>
      <c r="T180" s="97" t="s">
        <v>57</v>
      </c>
      <c r="U180" s="97" t="s">
        <v>71</v>
      </c>
      <c r="V180" s="118">
        <v>46181</v>
      </c>
      <c r="W180" s="98"/>
      <c r="X180" s="98"/>
      <c r="Y180" s="98"/>
      <c r="Z180" s="89" t="s">
        <v>60</v>
      </c>
      <c r="AA180" s="97">
        <v>46189</v>
      </c>
      <c r="AB180" s="89"/>
      <c r="AC180" s="120"/>
      <c r="AD180" s="89"/>
      <c r="AE180" s="89"/>
      <c r="AF180" s="119"/>
      <c r="AG180" s="119"/>
      <c r="AH180" s="119"/>
      <c r="AI180" s="100"/>
      <c r="AJ180" s="100" t="s">
        <v>47</v>
      </c>
      <c r="AK180" s="100" t="s">
        <v>47</v>
      </c>
      <c r="AL180" s="45" t="s">
        <v>64</v>
      </c>
      <c r="AM180" s="198" t="str">
        <f t="shared" si="16"/>
        <v>6/2026</v>
      </c>
      <c r="AN180" s="45">
        <f t="shared" si="17"/>
        <v>2</v>
      </c>
      <c r="AO180" s="45" t="str">
        <f t="shared" si="18"/>
        <v>6/2026</v>
      </c>
      <c r="AP180" s="45">
        <f t="shared" si="19"/>
        <v>1</v>
      </c>
      <c r="AQ180" s="45">
        <f t="shared" si="20"/>
        <v>-3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customHeight="1" x14ac:dyDescent="0.3">
      <c r="A181" s="87" t="s">
        <v>47</v>
      </c>
      <c r="B181" s="93">
        <v>46181</v>
      </c>
      <c r="C181" s="89" t="s">
        <v>488</v>
      </c>
      <c r="D181" s="89" t="s">
        <v>492</v>
      </c>
      <c r="E181" s="112">
        <v>762342579</v>
      </c>
      <c r="F181" s="220" t="s">
        <v>511</v>
      </c>
      <c r="G181" s="113" t="s">
        <v>512</v>
      </c>
      <c r="H181" s="98">
        <v>29274</v>
      </c>
      <c r="I181" s="92"/>
      <c r="J181" s="114" t="s">
        <v>51</v>
      </c>
      <c r="K181" s="89" t="s">
        <v>271</v>
      </c>
      <c r="L181" s="89" t="s">
        <v>293</v>
      </c>
      <c r="M181" s="89" t="s">
        <v>513</v>
      </c>
      <c r="N181" s="89">
        <v>100</v>
      </c>
      <c r="O181" s="91">
        <v>21976419818</v>
      </c>
      <c r="P181" s="95" t="s">
        <v>55</v>
      </c>
      <c r="Q181" s="144" t="s">
        <v>457</v>
      </c>
      <c r="R181" s="122"/>
      <c r="S181" s="97"/>
      <c r="T181" s="97" t="s">
        <v>183</v>
      </c>
      <c r="U181" s="97" t="s">
        <v>458</v>
      </c>
      <c r="V181" s="118">
        <v>46181</v>
      </c>
      <c r="W181" s="98"/>
      <c r="X181" s="98"/>
      <c r="Y181" s="98"/>
      <c r="Z181" s="89"/>
      <c r="AA181" s="97"/>
      <c r="AB181" s="89"/>
      <c r="AC181" s="120"/>
      <c r="AD181" s="89"/>
      <c r="AE181" s="89"/>
      <c r="AF181" s="119"/>
      <c r="AG181" s="119"/>
      <c r="AH181" s="119"/>
      <c r="AI181" s="100"/>
      <c r="AJ181" s="100" t="s">
        <v>47</v>
      </c>
      <c r="AK181" s="100" t="s">
        <v>47</v>
      </c>
      <c r="AL181" s="45" t="s">
        <v>64</v>
      </c>
      <c r="AM181" s="198" t="str">
        <f t="shared" si="16"/>
        <v>6/2026</v>
      </c>
      <c r="AN181" s="45">
        <f t="shared" si="17"/>
        <v>2</v>
      </c>
      <c r="AO181" s="45" t="str">
        <f t="shared" si="18"/>
        <v>1/1900</v>
      </c>
      <c r="AP181" s="45" t="e">
        <f t="shared" si="19"/>
        <v>#NUM!</v>
      </c>
      <c r="AQ181" s="45">
        <f t="shared" si="20"/>
        <v>0</v>
      </c>
      <c r="AR181" s="45">
        <f t="shared" si="21"/>
        <v>0</v>
      </c>
      <c r="AS181" s="45">
        <f t="shared" si="22"/>
        <v>0</v>
      </c>
      <c r="AT181" s="45">
        <f t="shared" si="23"/>
        <v>0</v>
      </c>
      <c r="AU181" s="45" t="str">
        <f>_xlfn.XLOOKUP(U181,'Lista Suspensa'!$AA$20:$AA$23,'Lista Suspensa'!$AB$20:$AB$23,"N/A")</f>
        <v>S</v>
      </c>
    </row>
    <row r="182" spans="1:47" ht="12" customHeight="1" x14ac:dyDescent="0.3">
      <c r="A182" s="87" t="s">
        <v>47</v>
      </c>
      <c r="B182" s="93">
        <v>46182</v>
      </c>
      <c r="C182" s="89" t="s">
        <v>488</v>
      </c>
      <c r="D182" s="89" t="s">
        <v>492</v>
      </c>
      <c r="E182" s="112">
        <v>92604272</v>
      </c>
      <c r="F182" s="220" t="s">
        <v>514</v>
      </c>
      <c r="G182" s="113" t="s">
        <v>515</v>
      </c>
      <c r="H182" s="98">
        <v>26168</v>
      </c>
      <c r="I182" s="92"/>
      <c r="J182" s="114" t="s">
        <v>77</v>
      </c>
      <c r="K182" s="89" t="s">
        <v>271</v>
      </c>
      <c r="L182" s="89" t="s">
        <v>293</v>
      </c>
      <c r="M182" s="89" t="s">
        <v>516</v>
      </c>
      <c r="N182" s="89">
        <v>450</v>
      </c>
      <c r="O182" s="91">
        <v>21974017591</v>
      </c>
      <c r="P182" s="95" t="s">
        <v>517</v>
      </c>
      <c r="Q182" s="144" t="s">
        <v>457</v>
      </c>
      <c r="R182" s="122"/>
      <c r="S182" s="97"/>
      <c r="T182" s="97"/>
      <c r="U182" s="97"/>
      <c r="V182" s="118">
        <v>46188</v>
      </c>
      <c r="W182" s="98"/>
      <c r="X182" s="98"/>
      <c r="Y182" s="98"/>
      <c r="Z182" s="89"/>
      <c r="AA182" s="97"/>
      <c r="AB182" s="89"/>
      <c r="AC182" s="120"/>
      <c r="AD182" s="89"/>
      <c r="AE182" s="89"/>
      <c r="AF182" s="119"/>
      <c r="AG182" s="119"/>
      <c r="AH182" s="119"/>
      <c r="AI182" s="100"/>
      <c r="AJ182" s="100" t="s">
        <v>47</v>
      </c>
      <c r="AK182" s="100" t="s">
        <v>47</v>
      </c>
      <c r="AL182" s="45" t="s">
        <v>64</v>
      </c>
      <c r="AM182" s="198" t="str">
        <f t="shared" si="16"/>
        <v>6/2026</v>
      </c>
      <c r="AN182" s="45">
        <f t="shared" si="17"/>
        <v>2</v>
      </c>
      <c r="AO182" s="45" t="str">
        <f t="shared" si="18"/>
        <v>1/1900</v>
      </c>
      <c r="AP182" s="45" t="e">
        <f t="shared" si="19"/>
        <v>#NUM!</v>
      </c>
      <c r="AQ182" s="45">
        <f t="shared" si="20"/>
        <v>0</v>
      </c>
      <c r="AR182" s="45">
        <f t="shared" si="21"/>
        <v>0</v>
      </c>
      <c r="AS182" s="45">
        <f t="shared" si="22"/>
        <v>0</v>
      </c>
      <c r="AT182" s="45">
        <f t="shared" si="23"/>
        <v>0</v>
      </c>
      <c r="AU182" s="45" t="str">
        <f>_xlfn.XLOOKUP(U182,'Lista Suspensa'!$AA$20:$AA$23,'Lista Suspensa'!$AB$20:$AB$23,"N/A")</f>
        <v>S</v>
      </c>
    </row>
    <row r="183" spans="1:47" ht="12" customHeight="1" x14ac:dyDescent="0.3">
      <c r="A183" s="89" t="s">
        <v>47</v>
      </c>
      <c r="B183" s="93">
        <v>46183</v>
      </c>
      <c r="C183" s="89" t="s">
        <v>488</v>
      </c>
      <c r="D183" s="89" t="s">
        <v>492</v>
      </c>
      <c r="E183" s="112">
        <v>72189038</v>
      </c>
      <c r="F183" s="220" t="s">
        <v>518</v>
      </c>
      <c r="G183" s="113" t="s">
        <v>519</v>
      </c>
      <c r="H183" s="98">
        <v>24402</v>
      </c>
      <c r="I183" s="92"/>
      <c r="J183" s="114" t="s">
        <v>51</v>
      </c>
      <c r="K183" s="89" t="s">
        <v>271</v>
      </c>
      <c r="L183" s="89" t="s">
        <v>293</v>
      </c>
      <c r="M183" s="89" t="s">
        <v>520</v>
      </c>
      <c r="N183" s="89">
        <v>50</v>
      </c>
      <c r="O183" s="91">
        <v>21972654888</v>
      </c>
      <c r="P183" s="95" t="s">
        <v>517</v>
      </c>
      <c r="Q183" s="144" t="s">
        <v>70</v>
      </c>
      <c r="R183" s="122">
        <v>46189</v>
      </c>
      <c r="S183" s="95"/>
      <c r="T183" s="97" t="s">
        <v>57</v>
      </c>
      <c r="U183" s="97" t="s">
        <v>71</v>
      </c>
      <c r="V183" s="118">
        <v>46188</v>
      </c>
      <c r="W183" s="118"/>
      <c r="X183" s="98"/>
      <c r="Y183" s="118"/>
      <c r="Z183" s="89" t="s">
        <v>60</v>
      </c>
      <c r="AA183" s="122">
        <v>46189</v>
      </c>
      <c r="AB183" s="89"/>
      <c r="AC183" s="120"/>
      <c r="AD183" s="89"/>
      <c r="AE183" s="89"/>
      <c r="AF183" s="119"/>
      <c r="AG183" s="119"/>
      <c r="AH183" s="119"/>
      <c r="AI183" s="100"/>
      <c r="AJ183" s="100" t="s">
        <v>47</v>
      </c>
      <c r="AK183" s="100" t="s">
        <v>47</v>
      </c>
      <c r="AL183" s="45" t="s">
        <v>64</v>
      </c>
      <c r="AM183" s="198" t="str">
        <f t="shared" si="16"/>
        <v>6/2026</v>
      </c>
      <c r="AN183" s="45">
        <f t="shared" si="17"/>
        <v>2</v>
      </c>
      <c r="AO183" s="45" t="str">
        <f t="shared" si="18"/>
        <v>6/2026</v>
      </c>
      <c r="AP183" s="45">
        <f t="shared" si="19"/>
        <v>3</v>
      </c>
      <c r="AQ183" s="45">
        <f t="shared" si="20"/>
        <v>6</v>
      </c>
      <c r="AR183" s="45">
        <f t="shared" si="21"/>
        <v>0</v>
      </c>
      <c r="AS183" s="45">
        <f t="shared" si="22"/>
        <v>0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customHeight="1" x14ac:dyDescent="0.3">
      <c r="A184" s="89" t="s">
        <v>47</v>
      </c>
      <c r="B184" s="93">
        <v>46184</v>
      </c>
      <c r="C184" s="89" t="s">
        <v>488</v>
      </c>
      <c r="D184" s="89" t="s">
        <v>49</v>
      </c>
      <c r="E184" s="112">
        <v>84671518</v>
      </c>
      <c r="F184" s="220" t="s">
        <v>521</v>
      </c>
      <c r="G184" s="113">
        <v>7170143712</v>
      </c>
      <c r="H184" s="98">
        <v>28252</v>
      </c>
      <c r="I184" s="92"/>
      <c r="J184" s="114" t="s">
        <v>51</v>
      </c>
      <c r="K184" s="89" t="s">
        <v>271</v>
      </c>
      <c r="L184" s="89" t="s">
        <v>293</v>
      </c>
      <c r="M184" s="89" t="s">
        <v>522</v>
      </c>
      <c r="N184" s="89">
        <v>60</v>
      </c>
      <c r="O184" s="91">
        <v>21996563083</v>
      </c>
      <c r="P184" s="95" t="s">
        <v>517</v>
      </c>
      <c r="Q184" s="144" t="s">
        <v>70</v>
      </c>
      <c r="R184" s="122">
        <v>46189</v>
      </c>
      <c r="S184" s="95"/>
      <c r="T184" s="97" t="s">
        <v>57</v>
      </c>
      <c r="U184" s="97" t="s">
        <v>71</v>
      </c>
      <c r="V184" s="118">
        <v>46280</v>
      </c>
      <c r="W184" s="118"/>
      <c r="X184" s="98"/>
      <c r="Y184" s="118"/>
      <c r="Z184" s="89" t="s">
        <v>60</v>
      </c>
      <c r="AA184" s="122">
        <v>46188</v>
      </c>
      <c r="AB184" s="89" t="s">
        <v>61</v>
      </c>
      <c r="AC184" s="120"/>
      <c r="AD184" s="89" t="s">
        <v>73</v>
      </c>
      <c r="AE184" s="89">
        <v>56</v>
      </c>
      <c r="AF184" s="119" t="s">
        <v>81</v>
      </c>
      <c r="AG184" s="119"/>
      <c r="AH184" s="119" t="s">
        <v>75</v>
      </c>
      <c r="AI184" s="100"/>
      <c r="AJ184" s="100" t="s">
        <v>47</v>
      </c>
      <c r="AK184" s="100" t="s">
        <v>47</v>
      </c>
      <c r="AL184" s="45" t="s">
        <v>64</v>
      </c>
      <c r="AM184" s="198" t="str">
        <f t="shared" si="16"/>
        <v>6/2026</v>
      </c>
      <c r="AN184" s="45">
        <f t="shared" si="17"/>
        <v>2</v>
      </c>
      <c r="AO184" s="45" t="str">
        <f t="shared" si="18"/>
        <v>6/2026</v>
      </c>
      <c r="AP184" s="45">
        <f t="shared" si="19"/>
        <v>3</v>
      </c>
      <c r="AQ184" s="45">
        <f t="shared" si="20"/>
        <v>5</v>
      </c>
      <c r="AR184" s="45">
        <f t="shared" si="21"/>
        <v>0</v>
      </c>
      <c r="AS184" s="45">
        <f t="shared" si="22"/>
        <v>0</v>
      </c>
      <c r="AT184" s="45">
        <f t="shared" si="23"/>
        <v>-1</v>
      </c>
      <c r="AU184" s="45" t="str">
        <f>_xlfn.XLOOKUP(U184,'Lista Suspensa'!$AA$20:$AA$23,'Lista Suspensa'!$AB$20:$AB$23,"N/A")</f>
        <v>S</v>
      </c>
    </row>
    <row r="185" spans="1:47" ht="12" customHeight="1" x14ac:dyDescent="0.3">
      <c r="A185" s="89" t="s">
        <v>47</v>
      </c>
      <c r="B185" s="93">
        <v>46189</v>
      </c>
      <c r="C185" s="89" t="s">
        <v>488</v>
      </c>
      <c r="D185" s="89" t="s">
        <v>492</v>
      </c>
      <c r="E185" s="112">
        <v>86322867</v>
      </c>
      <c r="F185" s="220" t="s">
        <v>523</v>
      </c>
      <c r="G185" s="113" t="s">
        <v>524</v>
      </c>
      <c r="H185" s="98">
        <v>24508</v>
      </c>
      <c r="I185" s="92"/>
      <c r="J185" s="114" t="s">
        <v>51</v>
      </c>
      <c r="K185" s="89" t="s">
        <v>52</v>
      </c>
      <c r="L185" s="89" t="s">
        <v>275</v>
      </c>
      <c r="M185" s="89" t="s">
        <v>525</v>
      </c>
      <c r="N185" s="89">
        <v>60</v>
      </c>
      <c r="O185" s="91">
        <v>11950396519</v>
      </c>
      <c r="P185" s="95"/>
      <c r="Q185" s="144" t="s">
        <v>526</v>
      </c>
      <c r="R185" s="121"/>
      <c r="S185" s="95"/>
      <c r="T185" s="97"/>
      <c r="U185" s="97"/>
      <c r="V185" s="118"/>
      <c r="W185" s="118"/>
      <c r="X185" s="121"/>
      <c r="Y185" s="11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 t="s">
        <v>47</v>
      </c>
      <c r="AK185" s="100" t="s">
        <v>47</v>
      </c>
      <c r="AL185" s="45" t="s">
        <v>64</v>
      </c>
      <c r="AM185" s="198" t="str">
        <f t="shared" si="16"/>
        <v>6/2026</v>
      </c>
      <c r="AN185" s="45">
        <f t="shared" si="17"/>
        <v>3</v>
      </c>
      <c r="AO185" s="45" t="str">
        <f t="shared" si="18"/>
        <v>1/1900</v>
      </c>
      <c r="AP185" s="45" t="e">
        <f t="shared" si="19"/>
        <v>#NUM!</v>
      </c>
      <c r="AQ185" s="45">
        <f t="shared" si="20"/>
        <v>0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customHeight="1" x14ac:dyDescent="0.3">
      <c r="A186" s="89" t="s">
        <v>47</v>
      </c>
      <c r="B186" s="93">
        <v>46190</v>
      </c>
      <c r="C186" s="89" t="s">
        <v>488</v>
      </c>
      <c r="D186" s="89" t="s">
        <v>49</v>
      </c>
      <c r="E186" s="112">
        <v>94974510</v>
      </c>
      <c r="F186" s="220" t="s">
        <v>527</v>
      </c>
      <c r="G186" s="113">
        <v>37004003817</v>
      </c>
      <c r="H186" s="98">
        <v>32211</v>
      </c>
      <c r="I186" s="92"/>
      <c r="J186" s="114" t="s">
        <v>77</v>
      </c>
      <c r="K186" s="89" t="s">
        <v>52</v>
      </c>
      <c r="L186" s="89" t="s">
        <v>275</v>
      </c>
      <c r="M186" s="89" t="s">
        <v>528</v>
      </c>
      <c r="N186" s="89">
        <v>500</v>
      </c>
      <c r="O186" s="91">
        <v>11980520935</v>
      </c>
      <c r="P186" s="95"/>
      <c r="Q186" s="144" t="s">
        <v>70</v>
      </c>
      <c r="R186" s="122">
        <v>46190</v>
      </c>
      <c r="S186" s="95"/>
      <c r="T186" s="97" t="s">
        <v>57</v>
      </c>
      <c r="U186" s="97" t="s">
        <v>71</v>
      </c>
      <c r="V186" s="118">
        <v>46190</v>
      </c>
      <c r="W186" s="118"/>
      <c r="X186" s="98"/>
      <c r="Y186" s="11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 t="s">
        <v>47</v>
      </c>
      <c r="AK186" s="100" t="s">
        <v>47</v>
      </c>
      <c r="AL186" s="45" t="s">
        <v>64</v>
      </c>
      <c r="AM186" s="198" t="str">
        <f t="shared" si="16"/>
        <v>6/2026</v>
      </c>
      <c r="AN186" s="45">
        <f t="shared" si="17"/>
        <v>3</v>
      </c>
      <c r="AO186" s="45" t="str">
        <f t="shared" si="18"/>
        <v>6/2026</v>
      </c>
      <c r="AP186" s="45">
        <f t="shared" si="19"/>
        <v>3</v>
      </c>
      <c r="AQ186" s="45">
        <f t="shared" si="20"/>
        <v>0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customHeight="1" x14ac:dyDescent="0.3">
      <c r="A187" s="87" t="s">
        <v>47</v>
      </c>
      <c r="B187" s="93">
        <v>46191</v>
      </c>
      <c r="C187" s="89" t="s">
        <v>488</v>
      </c>
      <c r="D187" s="89" t="s">
        <v>492</v>
      </c>
      <c r="E187" s="112">
        <v>97831193</v>
      </c>
      <c r="F187" s="220" t="s">
        <v>529</v>
      </c>
      <c r="G187" s="113" t="s">
        <v>530</v>
      </c>
      <c r="H187" s="98">
        <v>27069</v>
      </c>
      <c r="I187" s="92"/>
      <c r="J187" s="114" t="s">
        <v>51</v>
      </c>
      <c r="K187" s="89" t="s">
        <v>271</v>
      </c>
      <c r="L187" s="89" t="s">
        <v>293</v>
      </c>
      <c r="M187" s="89" t="s">
        <v>443</v>
      </c>
      <c r="N187" s="89">
        <v>380</v>
      </c>
      <c r="O187" s="91" t="s">
        <v>531</v>
      </c>
      <c r="P187" s="95"/>
      <c r="Q187" s="144"/>
      <c r="R187" s="122"/>
      <c r="S187" s="95"/>
      <c r="T187" s="97"/>
      <c r="U187" s="97"/>
      <c r="V187" s="118"/>
      <c r="W187" s="118"/>
      <c r="X187" s="9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 t="s">
        <v>47</v>
      </c>
      <c r="AK187" s="100" t="s">
        <v>47</v>
      </c>
      <c r="AL187" s="45" t="s">
        <v>64</v>
      </c>
      <c r="AM187" s="198" t="str">
        <f t="shared" si="16"/>
        <v>6/2026</v>
      </c>
      <c r="AN187" s="45">
        <f t="shared" si="17"/>
        <v>3</v>
      </c>
      <c r="AO187" s="45" t="str">
        <f t="shared" si="18"/>
        <v>1/1900</v>
      </c>
      <c r="AP187" s="45" t="e">
        <f t="shared" si="19"/>
        <v>#NUM!</v>
      </c>
      <c r="AQ187" s="45">
        <f t="shared" si="20"/>
        <v>0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customHeight="1" x14ac:dyDescent="0.3">
      <c r="A188" s="89"/>
      <c r="B188" s="93"/>
      <c r="C188" s="89"/>
      <c r="D188" s="89"/>
      <c r="E188" s="112"/>
      <c r="F188" s="220"/>
      <c r="G188" s="113"/>
      <c r="H188" s="98"/>
      <c r="I188" s="92"/>
      <c r="J188" s="114"/>
      <c r="K188" s="89"/>
      <c r="L188" s="89"/>
      <c r="M188" s="89"/>
      <c r="N188" s="89"/>
      <c r="O188" s="91"/>
      <c r="P188" s="95"/>
      <c r="Q188" s="145"/>
      <c r="R188" s="122"/>
      <c r="S188" s="95"/>
      <c r="T188" s="97"/>
      <c r="U188" s="97"/>
      <c r="V188" s="118"/>
      <c r="W188" s="118"/>
      <c r="X188" s="9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45" t="s">
        <v>64</v>
      </c>
      <c r="AM188" s="198" t="str">
        <f t="shared" si="16"/>
        <v>1/1900</v>
      </c>
      <c r="AN188" s="45" t="e">
        <f t="shared" si="17"/>
        <v>#NUM!</v>
      </c>
      <c r="AO188" s="45" t="str">
        <f t="shared" si="18"/>
        <v>1/1900</v>
      </c>
      <c r="AP188" s="45" t="e">
        <f t="shared" si="19"/>
        <v>#NUM!</v>
      </c>
      <c r="AQ188" s="45">
        <f t="shared" si="20"/>
        <v>0</v>
      </c>
      <c r="AR188" s="45">
        <f t="shared" si="21"/>
        <v>0</v>
      </c>
      <c r="AS188" s="45">
        <f t="shared" si="22"/>
        <v>0</v>
      </c>
      <c r="AT188" s="45">
        <f t="shared" si="23"/>
        <v>0</v>
      </c>
      <c r="AU188" s="45" t="str">
        <f>_xlfn.XLOOKUP(U188,'Lista Suspensa'!$AA$20:$AA$23,'Lista Suspensa'!$AB$20:$AB$23,"N/A")</f>
        <v>S</v>
      </c>
    </row>
    <row r="189" spans="1:47" ht="12" customHeight="1" x14ac:dyDescent="0.3">
      <c r="A189" s="89"/>
      <c r="B189" s="93"/>
      <c r="C189" s="89"/>
      <c r="D189" s="89"/>
      <c r="E189" s="112"/>
      <c r="F189" s="220"/>
      <c r="G189" s="113"/>
      <c r="H189" s="98"/>
      <c r="I189" s="92"/>
      <c r="J189" s="114"/>
      <c r="K189" s="89"/>
      <c r="L189" s="89"/>
      <c r="M189" s="89"/>
      <c r="N189" s="89"/>
      <c r="O189" s="91"/>
      <c r="P189" s="95"/>
      <c r="Q189" s="145"/>
      <c r="R189" s="122"/>
      <c r="S189" s="95"/>
      <c r="T189" s="97"/>
      <c r="U189" s="97"/>
      <c r="V189" s="118"/>
      <c r="W189" s="118"/>
      <c r="X189" s="98"/>
      <c r="Y189" s="9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L189" s="45" t="s">
        <v>64</v>
      </c>
      <c r="AM189" s="198" t="str">
        <f t="shared" si="16"/>
        <v>1/1900</v>
      </c>
      <c r="AN189" s="45" t="e">
        <f t="shared" si="17"/>
        <v>#NUM!</v>
      </c>
      <c r="AO189" s="45" t="str">
        <f t="shared" si="18"/>
        <v>1/1900</v>
      </c>
      <c r="AP189" s="45" t="e">
        <f t="shared" si="19"/>
        <v>#NUM!</v>
      </c>
      <c r="AQ189" s="45">
        <f t="shared" si="20"/>
        <v>0</v>
      </c>
      <c r="AR189" s="45">
        <f t="shared" si="21"/>
        <v>0</v>
      </c>
      <c r="AS189" s="45">
        <f t="shared" si="22"/>
        <v>0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customHeight="1" x14ac:dyDescent="0.3">
      <c r="A190" s="87"/>
      <c r="B190" s="93"/>
      <c r="C190" s="89"/>
      <c r="D190" s="89"/>
      <c r="E190" s="112"/>
      <c r="F190" s="220"/>
      <c r="G190" s="113"/>
      <c r="H190" s="98"/>
      <c r="I190" s="92"/>
      <c r="J190" s="114"/>
      <c r="K190" s="89"/>
      <c r="L190" s="89"/>
      <c r="M190" s="89"/>
      <c r="N190" s="89"/>
      <c r="O190" s="91"/>
      <c r="P190" s="95"/>
      <c r="Q190" s="144"/>
      <c r="R190" s="121"/>
      <c r="S190" s="97"/>
      <c r="T190" s="97"/>
      <c r="U190" s="97"/>
      <c r="V190" s="118"/>
      <c r="W190" s="118"/>
      <c r="X190" s="121"/>
      <c r="Y190" s="11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L190" s="45" t="s">
        <v>64</v>
      </c>
      <c r="AM190" s="198" t="str">
        <f t="shared" si="16"/>
        <v>1/1900</v>
      </c>
      <c r="AN190" s="45" t="e">
        <f t="shared" si="17"/>
        <v>#NUM!</v>
      </c>
      <c r="AO190" s="45" t="str">
        <f t="shared" si="18"/>
        <v>1/1900</v>
      </c>
      <c r="AP190" s="45" t="e">
        <f t="shared" si="19"/>
        <v>#NUM!</v>
      </c>
      <c r="AQ190" s="45">
        <f t="shared" si="20"/>
        <v>0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customHeight="1" x14ac:dyDescent="0.3">
      <c r="A191" s="89"/>
      <c r="B191" s="93"/>
      <c r="C191" s="89"/>
      <c r="D191" s="89"/>
      <c r="E191" s="112"/>
      <c r="F191" s="220"/>
      <c r="G191" s="113"/>
      <c r="H191" s="98"/>
      <c r="I191" s="92"/>
      <c r="J191" s="114"/>
      <c r="K191" s="89"/>
      <c r="L191" s="89"/>
      <c r="M191" s="89"/>
      <c r="N191" s="89"/>
      <c r="O191" s="91"/>
      <c r="P191" s="95"/>
      <c r="Q191" s="145"/>
      <c r="R191" s="122"/>
      <c r="S191" s="95"/>
      <c r="T191" s="97"/>
      <c r="U191" s="97"/>
      <c r="V191" s="118"/>
      <c r="W191" s="98"/>
      <c r="X191" s="9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45" t="s">
        <v>64</v>
      </c>
      <c r="AM191" s="198" t="str">
        <f t="shared" si="16"/>
        <v>1/1900</v>
      </c>
      <c r="AN191" s="45" t="e">
        <f t="shared" si="17"/>
        <v>#NUM!</v>
      </c>
      <c r="AO191" s="45" t="str">
        <f t="shared" si="18"/>
        <v>1/1900</v>
      </c>
      <c r="AP191" s="45" t="e">
        <f t="shared" si="19"/>
        <v>#NUM!</v>
      </c>
      <c r="AQ191" s="45">
        <f t="shared" si="20"/>
        <v>0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customHeight="1" x14ac:dyDescent="0.3">
      <c r="A192" s="89"/>
      <c r="B192" s="93"/>
      <c r="C192" s="89"/>
      <c r="D192" s="89"/>
      <c r="E192" s="112"/>
      <c r="F192" s="220"/>
      <c r="G192" s="113"/>
      <c r="H192" s="98"/>
      <c r="I192" s="92"/>
      <c r="J192" s="114"/>
      <c r="K192" s="89"/>
      <c r="L192" s="89"/>
      <c r="M192" s="89"/>
      <c r="N192" s="89"/>
      <c r="O192" s="91"/>
      <c r="P192" s="95"/>
      <c r="Q192" s="145"/>
      <c r="R192" s="122"/>
      <c r="S192" s="95"/>
      <c r="T192" s="97"/>
      <c r="U192" s="97"/>
      <c r="V192" s="118"/>
      <c r="W192" s="98"/>
      <c r="X192" s="9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45" t="s">
        <v>64</v>
      </c>
      <c r="AM192" s="198" t="str">
        <f t="shared" si="16"/>
        <v>1/1900</v>
      </c>
      <c r="AN192" s="45" t="e">
        <f t="shared" si="17"/>
        <v>#NUM!</v>
      </c>
      <c r="AO192" s="45" t="str">
        <f t="shared" si="18"/>
        <v>1/1900</v>
      </c>
      <c r="AP192" s="45" t="e">
        <f t="shared" si="19"/>
        <v>#NUM!</v>
      </c>
      <c r="AQ192" s="45">
        <f t="shared" si="20"/>
        <v>0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customHeight="1" x14ac:dyDescent="0.3">
      <c r="A193" s="89"/>
      <c r="B193" s="93"/>
      <c r="C193" s="89"/>
      <c r="D193" s="89"/>
      <c r="E193" s="112"/>
      <c r="F193" s="220"/>
      <c r="G193" s="113"/>
      <c r="H193" s="98"/>
      <c r="I193" s="92"/>
      <c r="J193" s="114"/>
      <c r="K193" s="89"/>
      <c r="L193" s="89"/>
      <c r="M193" s="89"/>
      <c r="N193" s="89"/>
      <c r="O193" s="91"/>
      <c r="P193" s="95"/>
      <c r="Q193" s="144"/>
      <c r="R193" s="122"/>
      <c r="S193" s="97"/>
      <c r="T193" s="97"/>
      <c r="U193" s="97"/>
      <c r="V193" s="118"/>
      <c r="W193" s="98"/>
      <c r="X193" s="9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L193" s="45" t="s">
        <v>64</v>
      </c>
      <c r="AM193" s="198" t="str">
        <f t="shared" si="16"/>
        <v>1/1900</v>
      </c>
      <c r="AN193" s="45" t="e">
        <f t="shared" si="17"/>
        <v>#NUM!</v>
      </c>
      <c r="AO193" s="45" t="str">
        <f t="shared" si="18"/>
        <v>1/1900</v>
      </c>
      <c r="AP193" s="45" t="e">
        <f t="shared" si="19"/>
        <v>#NUM!</v>
      </c>
      <c r="AQ193" s="45">
        <f t="shared" si="20"/>
        <v>0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customHeight="1" x14ac:dyDescent="0.3">
      <c r="A194" s="89"/>
      <c r="B194" s="93"/>
      <c r="C194" s="89"/>
      <c r="D194" s="89"/>
      <c r="E194" s="112"/>
      <c r="F194" s="220"/>
      <c r="G194" s="113"/>
      <c r="H194" s="98"/>
      <c r="I194" s="92"/>
      <c r="J194" s="114"/>
      <c r="K194" s="89"/>
      <c r="L194" s="89"/>
      <c r="M194" s="89"/>
      <c r="N194" s="89"/>
      <c r="O194" s="91"/>
      <c r="P194" s="95"/>
      <c r="Q194" s="144"/>
      <c r="R194" s="122"/>
      <c r="S194" s="121"/>
      <c r="T194" s="97"/>
      <c r="U194" s="97"/>
      <c r="V194" s="118"/>
      <c r="W194" s="118"/>
      <c r="X194" s="11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L194" s="45" t="s">
        <v>64</v>
      </c>
      <c r="AM194" s="198" t="str">
        <f t="shared" ref="AM194:AM209" si="24">MONTH(B194)&amp;"/"&amp;YEAR(B194)</f>
        <v>1/1900</v>
      </c>
      <c r="AN194" s="45" t="e">
        <f t="shared" ref="AN194:AN209" si="25">WEEKNUM(B194)-WEEKNUM(EOMONTH(B194,-1)+1)+1</f>
        <v>#NUM!</v>
      </c>
      <c r="AO194" s="45" t="str">
        <f t="shared" ref="AO194:AO209" si="26">MONTH(R194)&amp;"/"&amp;YEAR(R194)</f>
        <v>1/1900</v>
      </c>
      <c r="AP194" s="45" t="e">
        <f t="shared" ref="AP194:AP209" si="27">WEEKNUM(R194)-WEEKNUM(EOMONTH(R194,-1)+1)+1</f>
        <v>#NUM!</v>
      </c>
      <c r="AQ194" s="45">
        <f t="shared" ref="AQ194:AQ209" si="28">IF(AU194="S",IF(Q194="1. Aceitou o programa",R194-B194,0),0)</f>
        <v>0</v>
      </c>
      <c r="AR194" s="45">
        <f t="shared" ref="AR194:AR209" si="29">IF(AU194="S",IF(AND(S194&lt;&gt;"",R194&lt;&gt;""),S194-R194,0),0)</f>
        <v>0</v>
      </c>
      <c r="AS194" s="45">
        <f t="shared" ref="AS194:AS209" si="30">IF(AU194="S",IF(Q194="1. Aceitou o programa",IF(OR(X194="Não se Aplica",X194=""),IF(OR(W194="Não se Aplica",W194=""),0,W194-V194),AVERAGE(X194-W194,W194-V194)),0),0)</f>
        <v>0</v>
      </c>
      <c r="AT194" s="45">
        <f t="shared" ref="AT194:AT209" si="31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customHeight="1" x14ac:dyDescent="0.3">
      <c r="A195" s="89"/>
      <c r="B195" s="93"/>
      <c r="C195" s="89"/>
      <c r="D195" s="89"/>
      <c r="E195" s="112"/>
      <c r="F195" s="220"/>
      <c r="G195" s="113"/>
      <c r="H195" s="98"/>
      <c r="I195" s="92"/>
      <c r="J195" s="114"/>
      <c r="K195" s="89"/>
      <c r="L195" s="89"/>
      <c r="M195" s="89"/>
      <c r="N195" s="89"/>
      <c r="O195" s="91"/>
      <c r="P195" s="95"/>
      <c r="Q195" s="144"/>
      <c r="R195" s="122"/>
      <c r="S195" s="121"/>
      <c r="T195" s="97"/>
      <c r="U195" s="97"/>
      <c r="V195" s="118"/>
      <c r="W195" s="118"/>
      <c r="X195" s="11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45" t="s">
        <v>64</v>
      </c>
      <c r="AM195" s="198" t="str">
        <f t="shared" si="24"/>
        <v>1/1900</v>
      </c>
      <c r="AN195" s="45" t="e">
        <f t="shared" si="25"/>
        <v>#NUM!</v>
      </c>
      <c r="AO195" s="45" t="str">
        <f t="shared" si="26"/>
        <v>1/1900</v>
      </c>
      <c r="AP195" s="45" t="e">
        <f t="shared" si="27"/>
        <v>#NUM!</v>
      </c>
      <c r="AQ195" s="45">
        <f t="shared" si="28"/>
        <v>0</v>
      </c>
      <c r="AR195" s="45">
        <f t="shared" si="29"/>
        <v>0</v>
      </c>
      <c r="AS195" s="45">
        <f t="shared" si="30"/>
        <v>0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customHeight="1" x14ac:dyDescent="0.3">
      <c r="A196" s="89"/>
      <c r="B196" s="93"/>
      <c r="C196" s="89"/>
      <c r="D196" s="89"/>
      <c r="E196" s="112"/>
      <c r="F196" s="220"/>
      <c r="G196" s="113"/>
      <c r="H196" s="98"/>
      <c r="I196" s="92"/>
      <c r="J196" s="114"/>
      <c r="K196" s="89"/>
      <c r="L196" s="89"/>
      <c r="M196" s="89"/>
      <c r="N196" s="89"/>
      <c r="O196" s="91"/>
      <c r="P196" s="95"/>
      <c r="Q196" s="144"/>
      <c r="R196" s="122"/>
      <c r="S196" s="121"/>
      <c r="T196" s="97"/>
      <c r="U196" s="97"/>
      <c r="V196" s="118"/>
      <c r="W196" s="118"/>
      <c r="X196" s="11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L196" s="45" t="s">
        <v>64</v>
      </c>
      <c r="AM196" s="198" t="str">
        <f t="shared" si="24"/>
        <v>1/1900</v>
      </c>
      <c r="AN196" s="45" t="e">
        <f t="shared" si="25"/>
        <v>#NUM!</v>
      </c>
      <c r="AO196" s="45" t="str">
        <f t="shared" si="26"/>
        <v>1/1900</v>
      </c>
      <c r="AP196" s="45" t="e">
        <f t="shared" si="27"/>
        <v>#NUM!</v>
      </c>
      <c r="AQ196" s="45">
        <f t="shared" si="28"/>
        <v>0</v>
      </c>
      <c r="AR196" s="45">
        <f t="shared" si="29"/>
        <v>0</v>
      </c>
      <c r="AS196" s="45">
        <f t="shared" si="30"/>
        <v>0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customHeight="1" x14ac:dyDescent="0.3">
      <c r="A197" s="89"/>
      <c r="B197" s="93"/>
      <c r="C197" s="89"/>
      <c r="D197" s="89"/>
      <c r="E197" s="112"/>
      <c r="F197" s="220"/>
      <c r="G197" s="113"/>
      <c r="H197" s="98"/>
      <c r="I197" s="92"/>
      <c r="J197" s="114"/>
      <c r="K197" s="89"/>
      <c r="L197" s="89"/>
      <c r="M197" s="89"/>
      <c r="N197" s="89"/>
      <c r="O197" s="91"/>
      <c r="P197" s="95"/>
      <c r="Q197" s="144"/>
      <c r="R197" s="122"/>
      <c r="S197" s="121"/>
      <c r="T197" s="97"/>
      <c r="U197" s="97"/>
      <c r="V197" s="118"/>
      <c r="W197" s="118"/>
      <c r="X197" s="11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L197" s="45" t="s">
        <v>64</v>
      </c>
      <c r="AM197" s="198" t="str">
        <f t="shared" si="24"/>
        <v>1/1900</v>
      </c>
      <c r="AN197" s="45" t="e">
        <f t="shared" si="25"/>
        <v>#NUM!</v>
      </c>
      <c r="AO197" s="45" t="str">
        <f t="shared" si="26"/>
        <v>1/1900</v>
      </c>
      <c r="AP197" s="45" t="e">
        <f t="shared" si="27"/>
        <v>#NUM!</v>
      </c>
      <c r="AQ197" s="45">
        <f t="shared" si="28"/>
        <v>0</v>
      </c>
      <c r="AR197" s="45">
        <f t="shared" si="29"/>
        <v>0</v>
      </c>
      <c r="AS197" s="45">
        <f t="shared" si="30"/>
        <v>0</v>
      </c>
      <c r="AT197" s="45">
        <f t="shared" si="31"/>
        <v>0</v>
      </c>
      <c r="AU197" s="45" t="str">
        <f>_xlfn.XLOOKUP(U197,'Lista Suspensa'!$AA$20:$AA$23,'Lista Suspensa'!$AB$20:$AB$23,"N/A")</f>
        <v>S</v>
      </c>
    </row>
    <row r="198" spans="1:47" ht="12" customHeight="1" x14ac:dyDescent="0.3">
      <c r="A198" s="89"/>
      <c r="B198" s="93"/>
      <c r="C198" s="89"/>
      <c r="D198" s="89"/>
      <c r="E198" s="112"/>
      <c r="F198" s="220"/>
      <c r="G198" s="113"/>
      <c r="H198" s="98"/>
      <c r="I198" s="92"/>
      <c r="J198" s="114"/>
      <c r="K198" s="89"/>
      <c r="L198" s="89"/>
      <c r="M198" s="89"/>
      <c r="N198" s="89"/>
      <c r="O198" s="91"/>
      <c r="P198" s="95"/>
      <c r="Q198" s="144"/>
      <c r="R198" s="122"/>
      <c r="S198" s="121"/>
      <c r="T198" s="97"/>
      <c r="U198" s="97"/>
      <c r="V198" s="118"/>
      <c r="W198" s="118"/>
      <c r="X198" s="11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45" t="s">
        <v>64</v>
      </c>
      <c r="AM198" s="198" t="str">
        <f t="shared" si="24"/>
        <v>1/1900</v>
      </c>
      <c r="AN198" s="45" t="e">
        <f t="shared" si="25"/>
        <v>#NUM!</v>
      </c>
      <c r="AO198" s="45" t="str">
        <f t="shared" si="26"/>
        <v>1/1900</v>
      </c>
      <c r="AP198" s="45" t="e">
        <f t="shared" si="27"/>
        <v>#NUM!</v>
      </c>
      <c r="AQ198" s="45">
        <f t="shared" si="28"/>
        <v>0</v>
      </c>
      <c r="AR198" s="45">
        <f t="shared" si="29"/>
        <v>0</v>
      </c>
      <c r="AS198" s="45">
        <f t="shared" si="30"/>
        <v>0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customHeight="1" x14ac:dyDescent="0.3">
      <c r="A199" s="89"/>
      <c r="B199" s="93"/>
      <c r="C199" s="89"/>
      <c r="D199" s="89"/>
      <c r="E199" s="112"/>
      <c r="F199" s="220"/>
      <c r="G199" s="113"/>
      <c r="H199" s="98"/>
      <c r="I199" s="92"/>
      <c r="J199" s="114"/>
      <c r="K199" s="89"/>
      <c r="L199" s="89"/>
      <c r="M199" s="89"/>
      <c r="N199" s="89"/>
      <c r="O199" s="91"/>
      <c r="P199" s="95"/>
      <c r="Q199" s="144"/>
      <c r="R199" s="122"/>
      <c r="S199" s="121"/>
      <c r="T199" s="97"/>
      <c r="U199" s="97"/>
      <c r="V199" s="118"/>
      <c r="W199" s="118"/>
      <c r="X199" s="11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45" t="s">
        <v>64</v>
      </c>
      <c r="AM199" s="198" t="str">
        <f t="shared" si="24"/>
        <v>1/1900</v>
      </c>
      <c r="AN199" s="45" t="e">
        <f t="shared" si="25"/>
        <v>#NUM!</v>
      </c>
      <c r="AO199" s="45" t="str">
        <f t="shared" si="26"/>
        <v>1/1900</v>
      </c>
      <c r="AP199" s="45" t="e">
        <f t="shared" si="27"/>
        <v>#NUM!</v>
      </c>
      <c r="AQ199" s="45">
        <f t="shared" si="28"/>
        <v>0</v>
      </c>
      <c r="AR199" s="45">
        <f t="shared" si="29"/>
        <v>0</v>
      </c>
      <c r="AS199" s="45">
        <f t="shared" si="30"/>
        <v>0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customHeight="1" x14ac:dyDescent="0.3">
      <c r="A200" s="89"/>
      <c r="B200" s="93"/>
      <c r="C200" s="89"/>
      <c r="D200" s="89"/>
      <c r="E200" s="112"/>
      <c r="F200" s="220"/>
      <c r="G200" s="113"/>
      <c r="H200" s="98"/>
      <c r="I200" s="92"/>
      <c r="J200" s="114"/>
      <c r="K200" s="89"/>
      <c r="L200" s="89"/>
      <c r="M200" s="89"/>
      <c r="N200" s="89"/>
      <c r="O200" s="91"/>
      <c r="P200" s="95"/>
      <c r="Q200" s="144"/>
      <c r="R200" s="122"/>
      <c r="S200" s="121"/>
      <c r="T200" s="97"/>
      <c r="U200" s="97"/>
      <c r="V200" s="118"/>
      <c r="W200" s="118"/>
      <c r="X200" s="11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45" t="s">
        <v>64</v>
      </c>
      <c r="AM200" s="198" t="str">
        <f t="shared" si="24"/>
        <v>1/1900</v>
      </c>
      <c r="AN200" s="45" t="e">
        <f t="shared" si="25"/>
        <v>#NUM!</v>
      </c>
      <c r="AO200" s="45" t="str">
        <f t="shared" si="26"/>
        <v>1/1900</v>
      </c>
      <c r="AP200" s="45" t="e">
        <f t="shared" si="27"/>
        <v>#NUM!</v>
      </c>
      <c r="AQ200" s="45">
        <f t="shared" si="28"/>
        <v>0</v>
      </c>
      <c r="AR200" s="45">
        <f t="shared" si="29"/>
        <v>0</v>
      </c>
      <c r="AS200" s="45">
        <f t="shared" si="30"/>
        <v>0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customHeight="1" x14ac:dyDescent="0.3">
      <c r="A201" s="89"/>
      <c r="B201" s="93"/>
      <c r="C201" s="89"/>
      <c r="D201" s="89"/>
      <c r="E201" s="112"/>
      <c r="F201" s="220"/>
      <c r="G201" s="113"/>
      <c r="H201" s="98"/>
      <c r="I201" s="92"/>
      <c r="J201" s="114"/>
      <c r="K201" s="89"/>
      <c r="L201" s="89"/>
      <c r="M201" s="89"/>
      <c r="N201" s="89"/>
      <c r="O201" s="91"/>
      <c r="P201" s="95"/>
      <c r="Q201" s="144"/>
      <c r="R201" s="122"/>
      <c r="S201" s="121"/>
      <c r="T201" s="97"/>
      <c r="U201" s="97"/>
      <c r="V201" s="118"/>
      <c r="W201" s="118"/>
      <c r="X201" s="11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L201" s="45" t="s">
        <v>64</v>
      </c>
      <c r="AM201" s="198" t="str">
        <f t="shared" si="24"/>
        <v>1/1900</v>
      </c>
      <c r="AN201" s="45" t="e">
        <f t="shared" si="25"/>
        <v>#NUM!</v>
      </c>
      <c r="AO201" s="45" t="str">
        <f t="shared" si="26"/>
        <v>1/1900</v>
      </c>
      <c r="AP201" s="45" t="e">
        <f t="shared" si="27"/>
        <v>#NUM!</v>
      </c>
      <c r="AQ201" s="45">
        <f t="shared" si="28"/>
        <v>0</v>
      </c>
      <c r="AR201" s="45">
        <f t="shared" si="29"/>
        <v>0</v>
      </c>
      <c r="AS201" s="45">
        <f t="shared" si="30"/>
        <v>0</v>
      </c>
      <c r="AT201" s="45">
        <f t="shared" si="31"/>
        <v>0</v>
      </c>
      <c r="AU201" s="45" t="str">
        <f>_xlfn.XLOOKUP(U201,'Lista Suspensa'!$AA$20:$AA$23,'Lista Suspensa'!$AB$20:$AB$23,"N/A")</f>
        <v>S</v>
      </c>
    </row>
    <row r="202" spans="1:47" ht="12" customHeight="1" x14ac:dyDescent="0.3">
      <c r="A202" s="89"/>
      <c r="B202" s="93"/>
      <c r="C202" s="89"/>
      <c r="D202" s="89"/>
      <c r="E202" s="112"/>
      <c r="F202" s="220"/>
      <c r="G202" s="113"/>
      <c r="H202" s="98"/>
      <c r="I202" s="92"/>
      <c r="J202" s="114"/>
      <c r="K202" s="89"/>
      <c r="L202" s="89"/>
      <c r="M202" s="89"/>
      <c r="N202" s="89"/>
      <c r="O202" s="91"/>
      <c r="P202" s="95"/>
      <c r="Q202" s="144"/>
      <c r="R202" s="122"/>
      <c r="S202" s="121"/>
      <c r="T202" s="97"/>
      <c r="U202" s="97"/>
      <c r="V202" s="118"/>
      <c r="W202" s="118"/>
      <c r="X202" s="11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L202" s="45" t="s">
        <v>64</v>
      </c>
      <c r="AM202" s="198" t="str">
        <f t="shared" si="24"/>
        <v>1/1900</v>
      </c>
      <c r="AN202" s="45" t="e">
        <f t="shared" si="25"/>
        <v>#NUM!</v>
      </c>
      <c r="AO202" s="45" t="str">
        <f t="shared" si="26"/>
        <v>1/1900</v>
      </c>
      <c r="AP202" s="45" t="e">
        <f t="shared" si="27"/>
        <v>#NUM!</v>
      </c>
      <c r="AQ202" s="45">
        <f t="shared" si="28"/>
        <v>0</v>
      </c>
      <c r="AR202" s="45">
        <f t="shared" si="29"/>
        <v>0</v>
      </c>
      <c r="AS202" s="45">
        <f t="shared" si="30"/>
        <v>0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customHeight="1" x14ac:dyDescent="0.3">
      <c r="A203" s="89"/>
      <c r="B203" s="93"/>
      <c r="C203" s="89"/>
      <c r="D203" s="89"/>
      <c r="E203" s="112"/>
      <c r="F203" s="220"/>
      <c r="G203" s="113"/>
      <c r="H203" s="98"/>
      <c r="I203" s="92"/>
      <c r="J203" s="114"/>
      <c r="K203" s="89"/>
      <c r="L203" s="89"/>
      <c r="M203" s="89"/>
      <c r="N203" s="89"/>
      <c r="O203" s="91"/>
      <c r="P203" s="95"/>
      <c r="Q203" s="145"/>
      <c r="R203" s="122"/>
      <c r="S203" s="95"/>
      <c r="T203" s="97"/>
      <c r="U203" s="97"/>
      <c r="V203" s="118"/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45" t="s">
        <v>64</v>
      </c>
      <c r="AM203" s="198" t="str">
        <f t="shared" si="24"/>
        <v>1/1900</v>
      </c>
      <c r="AN203" s="45" t="e">
        <f t="shared" si="25"/>
        <v>#NUM!</v>
      </c>
      <c r="AO203" s="45" t="str">
        <f t="shared" si="26"/>
        <v>1/1900</v>
      </c>
      <c r="AP203" s="45" t="e">
        <f t="shared" si="27"/>
        <v>#NUM!</v>
      </c>
      <c r="AQ203" s="45">
        <f t="shared" si="28"/>
        <v>0</v>
      </c>
      <c r="AR203" s="45">
        <f t="shared" si="29"/>
        <v>0</v>
      </c>
      <c r="AS203" s="45">
        <f t="shared" si="30"/>
        <v>0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customHeight="1" x14ac:dyDescent="0.3">
      <c r="A204" s="89"/>
      <c r="B204" s="93"/>
      <c r="C204" s="89"/>
      <c r="D204" s="89"/>
      <c r="E204" s="112"/>
      <c r="F204" s="220"/>
      <c r="G204" s="113"/>
      <c r="H204" s="98"/>
      <c r="I204" s="92"/>
      <c r="J204" s="114"/>
      <c r="K204" s="89"/>
      <c r="L204" s="89"/>
      <c r="M204" s="89"/>
      <c r="N204" s="89"/>
      <c r="O204" s="91"/>
      <c r="P204" s="95"/>
      <c r="Q204" s="145"/>
      <c r="R204" s="122"/>
      <c r="S204" s="95"/>
      <c r="T204" s="97"/>
      <c r="U204" s="97"/>
      <c r="V204" s="118"/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45" t="s">
        <v>64</v>
      </c>
      <c r="AM204" s="198" t="str">
        <f t="shared" si="24"/>
        <v>1/1900</v>
      </c>
      <c r="AN204" s="45" t="e">
        <f t="shared" si="25"/>
        <v>#NUM!</v>
      </c>
      <c r="AO204" s="45" t="str">
        <f t="shared" si="26"/>
        <v>1/1900</v>
      </c>
      <c r="AP204" s="45" t="e">
        <f t="shared" si="27"/>
        <v>#NUM!</v>
      </c>
      <c r="AQ204" s="45">
        <f t="shared" si="28"/>
        <v>0</v>
      </c>
      <c r="AR204" s="45">
        <f t="shared" si="29"/>
        <v>0</v>
      </c>
      <c r="AS204" s="45">
        <f t="shared" si="30"/>
        <v>0</v>
      </c>
      <c r="AT204" s="45">
        <f t="shared" si="31"/>
        <v>0</v>
      </c>
      <c r="AU204" s="45" t="str">
        <f>_xlfn.XLOOKUP(U204,'Lista Suspensa'!$AA$20:$AA$23,'Lista Suspensa'!$AB$20:$AB$23,"N/A")</f>
        <v>S</v>
      </c>
    </row>
    <row r="205" spans="1:47" ht="12" customHeight="1" x14ac:dyDescent="0.3">
      <c r="A205" s="89"/>
      <c r="B205" s="93"/>
      <c r="C205" s="89"/>
      <c r="D205" s="89"/>
      <c r="E205" s="112"/>
      <c r="F205" s="220"/>
      <c r="G205" s="113"/>
      <c r="H205" s="98"/>
      <c r="I205" s="92"/>
      <c r="J205" s="114"/>
      <c r="K205" s="89"/>
      <c r="L205" s="89"/>
      <c r="M205" s="89"/>
      <c r="N205" s="89"/>
      <c r="O205" s="91"/>
      <c r="P205" s="95"/>
      <c r="Q205" s="145"/>
      <c r="R205" s="122"/>
      <c r="S205" s="95"/>
      <c r="T205" s="97"/>
      <c r="U205" s="97"/>
      <c r="V205" s="118"/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L205" s="45" t="s">
        <v>64</v>
      </c>
      <c r="AM205" s="198" t="str">
        <f t="shared" si="24"/>
        <v>1/1900</v>
      </c>
      <c r="AN205" s="45" t="e">
        <f t="shared" si="25"/>
        <v>#NUM!</v>
      </c>
      <c r="AO205" s="45" t="str">
        <f t="shared" si="26"/>
        <v>1/1900</v>
      </c>
      <c r="AP205" s="45" t="e">
        <f t="shared" si="27"/>
        <v>#NUM!</v>
      </c>
      <c r="AQ205" s="45">
        <f t="shared" si="28"/>
        <v>0</v>
      </c>
      <c r="AR205" s="45">
        <f t="shared" si="29"/>
        <v>0</v>
      </c>
      <c r="AS205" s="45">
        <f t="shared" si="30"/>
        <v>0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customHeight="1" x14ac:dyDescent="0.3">
      <c r="A206" s="89"/>
      <c r="B206" s="93"/>
      <c r="C206" s="89"/>
      <c r="D206" s="89"/>
      <c r="E206" s="112"/>
      <c r="F206" s="220"/>
      <c r="G206" s="113"/>
      <c r="H206" s="98"/>
      <c r="I206" s="92"/>
      <c r="J206" s="114"/>
      <c r="K206" s="89"/>
      <c r="L206" s="89"/>
      <c r="M206" s="89"/>
      <c r="N206" s="89"/>
      <c r="O206" s="91"/>
      <c r="P206" s="95"/>
      <c r="Q206" s="145"/>
      <c r="R206" s="122"/>
      <c r="S206" s="95"/>
      <c r="T206" s="97"/>
      <c r="U206" s="97"/>
      <c r="V206" s="118"/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L206" s="45" t="s">
        <v>64</v>
      </c>
      <c r="AM206" s="198" t="str">
        <f t="shared" si="24"/>
        <v>1/1900</v>
      </c>
      <c r="AN206" s="45" t="e">
        <f t="shared" si="25"/>
        <v>#NUM!</v>
      </c>
      <c r="AO206" s="45" t="str">
        <f t="shared" si="26"/>
        <v>1/1900</v>
      </c>
      <c r="AP206" s="45" t="e">
        <f t="shared" si="27"/>
        <v>#NUM!</v>
      </c>
      <c r="AQ206" s="45">
        <f t="shared" si="28"/>
        <v>0</v>
      </c>
      <c r="AR206" s="45">
        <f t="shared" si="29"/>
        <v>0</v>
      </c>
      <c r="AS206" s="45">
        <f t="shared" si="30"/>
        <v>0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customHeight="1" x14ac:dyDescent="0.3">
      <c r="A207" s="89"/>
      <c r="B207" s="93"/>
      <c r="C207" s="89"/>
      <c r="D207" s="89"/>
      <c r="E207" s="112"/>
      <c r="F207" s="220"/>
      <c r="G207" s="113"/>
      <c r="H207" s="98"/>
      <c r="I207" s="92"/>
      <c r="J207" s="114"/>
      <c r="K207" s="89"/>
      <c r="L207" s="89"/>
      <c r="M207" s="89"/>
      <c r="N207" s="89"/>
      <c r="O207" s="91"/>
      <c r="P207" s="95"/>
      <c r="Q207" s="145"/>
      <c r="R207" s="122"/>
      <c r="S207" s="95"/>
      <c r="T207" s="97"/>
      <c r="U207" s="97"/>
      <c r="V207" s="118"/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45" t="s">
        <v>64</v>
      </c>
      <c r="AM207" s="198" t="str">
        <f t="shared" si="24"/>
        <v>1/1900</v>
      </c>
      <c r="AN207" s="45" t="e">
        <f t="shared" si="25"/>
        <v>#NUM!</v>
      </c>
      <c r="AO207" s="45" t="str">
        <f t="shared" si="26"/>
        <v>1/1900</v>
      </c>
      <c r="AP207" s="45" t="e">
        <f t="shared" si="27"/>
        <v>#NUM!</v>
      </c>
      <c r="AQ207" s="45">
        <f t="shared" si="28"/>
        <v>0</v>
      </c>
      <c r="AR207" s="45">
        <f t="shared" si="29"/>
        <v>0</v>
      </c>
      <c r="AS207" s="45">
        <f t="shared" si="30"/>
        <v>0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customHeight="1" x14ac:dyDescent="0.3">
      <c r="A208" s="89"/>
      <c r="B208" s="93"/>
      <c r="C208" s="89"/>
      <c r="D208" s="89"/>
      <c r="E208" s="112"/>
      <c r="F208" s="220"/>
      <c r="G208" s="113"/>
      <c r="H208" s="98"/>
      <c r="I208" s="92"/>
      <c r="J208" s="114"/>
      <c r="K208" s="89"/>
      <c r="L208" s="89"/>
      <c r="M208" s="89"/>
      <c r="N208" s="89"/>
      <c r="O208" s="91"/>
      <c r="P208" s="95"/>
      <c r="Q208" s="145"/>
      <c r="R208" s="122"/>
      <c r="S208" s="95"/>
      <c r="T208" s="97"/>
      <c r="U208" s="97"/>
      <c r="V208" s="118"/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L208" s="45" t="s">
        <v>64</v>
      </c>
      <c r="AM208" s="198" t="str">
        <f t="shared" si="24"/>
        <v>1/1900</v>
      </c>
      <c r="AN208" s="45" t="e">
        <f t="shared" si="25"/>
        <v>#NUM!</v>
      </c>
      <c r="AO208" s="45" t="str">
        <f t="shared" si="26"/>
        <v>1/1900</v>
      </c>
      <c r="AP208" s="45" t="e">
        <f t="shared" si="27"/>
        <v>#NUM!</v>
      </c>
      <c r="AQ208" s="45">
        <f t="shared" si="28"/>
        <v>0</v>
      </c>
      <c r="AR208" s="45">
        <f t="shared" si="29"/>
        <v>0</v>
      </c>
      <c r="AS208" s="45">
        <f t="shared" si="30"/>
        <v>0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customHeight="1" x14ac:dyDescent="0.3">
      <c r="A209" s="89"/>
      <c r="B209" s="93"/>
      <c r="C209" s="89"/>
      <c r="D209" s="89"/>
      <c r="E209" s="112"/>
      <c r="F209" s="220"/>
      <c r="G209" s="113"/>
      <c r="H209" s="98"/>
      <c r="I209" s="92"/>
      <c r="J209" s="114"/>
      <c r="K209" s="89"/>
      <c r="L209" s="89"/>
      <c r="M209" s="89"/>
      <c r="N209" s="89"/>
      <c r="O209" s="91"/>
      <c r="P209" s="95"/>
      <c r="Q209" s="145"/>
      <c r="R209" s="122"/>
      <c r="S209" s="95"/>
      <c r="T209" s="97"/>
      <c r="U209" s="97"/>
      <c r="V209" s="118"/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L209" s="45" t="s">
        <v>64</v>
      </c>
      <c r="AM209" s="198" t="str">
        <f t="shared" si="24"/>
        <v>1/1900</v>
      </c>
      <c r="AN209" s="45" t="e">
        <f t="shared" si="25"/>
        <v>#NUM!</v>
      </c>
      <c r="AO209" s="45" t="str">
        <f t="shared" si="26"/>
        <v>1/1900</v>
      </c>
      <c r="AP209" s="45" t="e">
        <f t="shared" si="27"/>
        <v>#NUM!</v>
      </c>
      <c r="AQ209" s="45">
        <f t="shared" si="28"/>
        <v>0</v>
      </c>
      <c r="AR209" s="45">
        <f t="shared" si="29"/>
        <v>0</v>
      </c>
      <c r="AS209" s="45">
        <f t="shared" si="30"/>
        <v>0</v>
      </c>
      <c r="AT209" s="45">
        <f t="shared" si="31"/>
        <v>0</v>
      </c>
      <c r="AU209" s="45" t="str">
        <f>_xlfn.XLOOKUP(U209,'Lista Suspensa'!$AA$20:$AA$23,'Lista Suspensa'!$AB$20:$AB$23,"N/A")</f>
        <v>S</v>
      </c>
    </row>
    <row r="210" spans="1:47" ht="12" customHeight="1" x14ac:dyDescent="0.3">
      <c r="A210" s="89"/>
      <c r="B210" s="93"/>
      <c r="C210" s="89"/>
      <c r="D210" s="89"/>
      <c r="E210" s="112"/>
      <c r="F210" s="220"/>
      <c r="G210" s="113"/>
      <c r="H210" s="98"/>
      <c r="I210" s="92"/>
      <c r="J210" s="114"/>
      <c r="K210" s="89"/>
      <c r="L210" s="89"/>
      <c r="M210" s="89"/>
      <c r="N210" s="89"/>
      <c r="O210" s="91"/>
      <c r="P210" s="95"/>
      <c r="Q210" s="145"/>
      <c r="R210" s="122"/>
      <c r="S210" s="95"/>
      <c r="T210" s="97"/>
      <c r="U210" s="97"/>
      <c r="V210" s="118"/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U210" s="45"/>
    </row>
    <row r="211" spans="1:47" ht="12" customHeight="1" x14ac:dyDescent="0.3">
      <c r="A211" s="89"/>
      <c r="B211" s="93"/>
      <c r="C211" s="89"/>
      <c r="D211" s="89"/>
      <c r="E211" s="112"/>
      <c r="F211" s="220"/>
      <c r="G211" s="113"/>
      <c r="H211" s="98"/>
      <c r="I211" s="92"/>
      <c r="J211" s="114"/>
      <c r="K211" s="89"/>
      <c r="L211" s="89"/>
      <c r="M211" s="89"/>
      <c r="N211" s="89"/>
      <c r="O211" s="91"/>
      <c r="P211" s="95"/>
      <c r="Q211" s="145"/>
      <c r="R211" s="122"/>
      <c r="S211" s="95"/>
      <c r="T211" s="97"/>
      <c r="U211" s="97"/>
      <c r="V211" s="118"/>
      <c r="W211" s="98"/>
      <c r="X211" s="98"/>
      <c r="Y211" s="98"/>
      <c r="Z211" s="89"/>
      <c r="AA211" s="122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U211" s="45"/>
    </row>
    <row r="212" spans="1:47" ht="12" customHeight="1" x14ac:dyDescent="0.3">
      <c r="A212" s="89"/>
      <c r="B212" s="93"/>
      <c r="C212" s="89"/>
      <c r="D212" s="89"/>
      <c r="E212" s="112"/>
      <c r="F212" s="220"/>
      <c r="G212" s="113"/>
      <c r="H212" s="98"/>
      <c r="I212" s="92"/>
      <c r="J212" s="114"/>
      <c r="K212" s="89"/>
      <c r="L212" s="89"/>
      <c r="M212" s="89"/>
      <c r="N212" s="89"/>
      <c r="O212" s="91"/>
      <c r="P212" s="95"/>
      <c r="Q212" s="145"/>
      <c r="R212" s="122"/>
      <c r="S212" s="95"/>
      <c r="T212" s="97"/>
      <c r="U212" s="97"/>
      <c r="V212" s="118"/>
      <c r="W212" s="98"/>
      <c r="X212" s="9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U212" s="45"/>
    </row>
    <row r="213" spans="1:47" ht="12" customHeight="1" x14ac:dyDescent="0.3">
      <c r="A213" s="89"/>
      <c r="B213" s="93"/>
      <c r="C213" s="89"/>
      <c r="D213" s="89"/>
      <c r="E213" s="112"/>
      <c r="F213" s="220"/>
      <c r="G213" s="113"/>
      <c r="H213" s="98"/>
      <c r="I213" s="92"/>
      <c r="J213" s="114"/>
      <c r="K213" s="89"/>
      <c r="L213" s="89"/>
      <c r="M213" s="89"/>
      <c r="N213" s="89"/>
      <c r="O213" s="91"/>
      <c r="P213" s="95"/>
      <c r="Q213" s="145"/>
      <c r="R213" s="122"/>
      <c r="S213" s="95"/>
      <c r="T213" s="97"/>
      <c r="U213" s="97"/>
      <c r="V213" s="118"/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U213" s="45"/>
    </row>
    <row r="214" spans="1:47" ht="12" customHeight="1" x14ac:dyDescent="0.3">
      <c r="A214" s="89"/>
      <c r="B214" s="93"/>
      <c r="C214" s="89"/>
      <c r="D214" s="89"/>
      <c r="E214" s="112"/>
      <c r="F214" s="220"/>
      <c r="G214" s="113"/>
      <c r="H214" s="98"/>
      <c r="I214" s="92"/>
      <c r="J214" s="114"/>
      <c r="K214" s="89"/>
      <c r="L214" s="89"/>
      <c r="M214" s="89"/>
      <c r="N214" s="89"/>
      <c r="O214" s="91"/>
      <c r="P214" s="95"/>
      <c r="Q214" s="145"/>
      <c r="R214" s="122"/>
      <c r="S214" s="95"/>
      <c r="T214" s="97"/>
      <c r="U214" s="97"/>
      <c r="V214" s="118"/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U214" s="45"/>
    </row>
    <row r="215" spans="1:47" ht="12" customHeight="1" x14ac:dyDescent="0.3">
      <c r="A215" s="89"/>
      <c r="B215" s="93"/>
      <c r="C215" s="89"/>
      <c r="D215" s="89"/>
      <c r="E215" s="112"/>
      <c r="F215" s="220"/>
      <c r="G215" s="113"/>
      <c r="H215" s="98"/>
      <c r="I215" s="92"/>
      <c r="J215" s="114"/>
      <c r="K215" s="89"/>
      <c r="L215" s="89"/>
      <c r="M215" s="89"/>
      <c r="N215" s="89"/>
      <c r="O215" s="91"/>
      <c r="P215" s="95"/>
      <c r="Q215" s="145"/>
      <c r="R215" s="122"/>
      <c r="S215" s="95"/>
      <c r="T215" s="97"/>
      <c r="U215" s="97"/>
      <c r="V215" s="118"/>
      <c r="W215" s="98"/>
      <c r="X215" s="9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U215" s="45"/>
    </row>
    <row r="216" spans="1:47" ht="12" customHeight="1" x14ac:dyDescent="0.3">
      <c r="A216" s="89"/>
      <c r="B216" s="93"/>
      <c r="C216" s="89"/>
      <c r="D216" s="89"/>
      <c r="E216" s="112"/>
      <c r="F216" s="220"/>
      <c r="G216" s="113"/>
      <c r="H216" s="98"/>
      <c r="I216" s="92"/>
      <c r="J216" s="114"/>
      <c r="K216" s="89"/>
      <c r="L216" s="89"/>
      <c r="M216" s="89"/>
      <c r="N216" s="89"/>
      <c r="O216" s="91"/>
      <c r="P216" s="95"/>
      <c r="Q216" s="145"/>
      <c r="R216" s="122"/>
      <c r="S216" s="95"/>
      <c r="T216" s="97"/>
      <c r="U216" s="97"/>
      <c r="V216" s="118"/>
      <c r="W216" s="98"/>
      <c r="X216" s="98"/>
      <c r="Y216" s="98"/>
      <c r="Z216" s="89"/>
      <c r="AA216" s="122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U216" s="45"/>
    </row>
    <row r="217" spans="1:47" ht="12" customHeight="1" x14ac:dyDescent="0.3">
      <c r="A217" s="89"/>
      <c r="B217" s="93"/>
      <c r="C217" s="89"/>
      <c r="D217" s="89"/>
      <c r="E217" s="112"/>
      <c r="F217" s="220"/>
      <c r="G217" s="113"/>
      <c r="H217" s="98"/>
      <c r="I217" s="92"/>
      <c r="J217" s="114"/>
      <c r="K217" s="89"/>
      <c r="L217" s="89"/>
      <c r="M217" s="89"/>
      <c r="N217" s="89"/>
      <c r="O217" s="91"/>
      <c r="P217" s="95"/>
      <c r="Q217" s="145"/>
      <c r="R217" s="122"/>
      <c r="S217" s="95"/>
      <c r="T217" s="97"/>
      <c r="U217" s="97"/>
      <c r="V217" s="118"/>
      <c r="W217" s="98"/>
      <c r="X217" s="98"/>
      <c r="Y217" s="98"/>
      <c r="Z217" s="89"/>
      <c r="AA217" s="122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U217" s="45"/>
    </row>
    <row r="218" spans="1:47" ht="12" customHeight="1" x14ac:dyDescent="0.3">
      <c r="A218" s="89"/>
      <c r="B218" s="93"/>
      <c r="C218" s="89"/>
      <c r="D218" s="89"/>
      <c r="E218" s="112"/>
      <c r="F218" s="220"/>
      <c r="G218" s="113"/>
      <c r="H218" s="98"/>
      <c r="I218" s="92"/>
      <c r="J218" s="114"/>
      <c r="K218" s="89"/>
      <c r="L218" s="89"/>
      <c r="M218" s="89"/>
      <c r="N218" s="89"/>
      <c r="O218" s="91"/>
      <c r="P218" s="95"/>
      <c r="Q218" s="145"/>
      <c r="R218" s="122"/>
      <c r="S218" s="95"/>
      <c r="T218" s="97"/>
      <c r="U218" s="97"/>
      <c r="V218" s="118"/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U218" s="45"/>
    </row>
    <row r="219" spans="1:47" ht="12" customHeight="1" x14ac:dyDescent="0.3">
      <c r="A219" s="89"/>
      <c r="B219" s="93"/>
      <c r="C219" s="89"/>
      <c r="D219" s="89"/>
      <c r="E219" s="112"/>
      <c r="F219" s="220"/>
      <c r="G219" s="113"/>
      <c r="H219" s="98"/>
      <c r="I219" s="92"/>
      <c r="J219" s="114"/>
      <c r="K219" s="89"/>
      <c r="L219" s="89"/>
      <c r="M219" s="89"/>
      <c r="N219" s="89"/>
      <c r="O219" s="91"/>
      <c r="P219" s="95"/>
      <c r="Q219" s="145"/>
      <c r="R219" s="122"/>
      <c r="S219" s="95"/>
      <c r="T219" s="97"/>
      <c r="U219" s="97"/>
      <c r="V219" s="118"/>
      <c r="W219" s="98"/>
      <c r="X219" s="98"/>
      <c r="Y219" s="98"/>
      <c r="Z219" s="89"/>
      <c r="AA219" s="122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U219" s="45"/>
    </row>
    <row r="220" spans="1:47" ht="12" customHeight="1" x14ac:dyDescent="0.3">
      <c r="A220" s="89"/>
      <c r="B220" s="93"/>
      <c r="C220" s="89"/>
      <c r="D220" s="89"/>
      <c r="E220" s="112"/>
      <c r="F220" s="220"/>
      <c r="G220" s="113"/>
      <c r="H220" s="98"/>
      <c r="I220" s="92"/>
      <c r="J220" s="114"/>
      <c r="K220" s="89"/>
      <c r="L220" s="89"/>
      <c r="M220" s="89"/>
      <c r="N220" s="89"/>
      <c r="O220" s="91"/>
      <c r="P220" s="95"/>
      <c r="Q220" s="145"/>
      <c r="R220" s="122"/>
      <c r="S220" s="95"/>
      <c r="T220" s="97"/>
      <c r="U220" s="97"/>
      <c r="V220" s="118"/>
      <c r="W220" s="11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U220" s="45"/>
    </row>
    <row r="221" spans="1:47" ht="12" customHeight="1" x14ac:dyDescent="0.3">
      <c r="A221" s="89"/>
      <c r="B221" s="93"/>
      <c r="C221" s="89"/>
      <c r="D221" s="89"/>
      <c r="E221" s="112"/>
      <c r="F221" s="220"/>
      <c r="G221" s="113"/>
      <c r="H221" s="98"/>
      <c r="I221" s="92"/>
      <c r="J221" s="114"/>
      <c r="K221" s="89"/>
      <c r="L221" s="89"/>
      <c r="M221" s="89"/>
      <c r="N221" s="89"/>
      <c r="O221" s="91"/>
      <c r="P221" s="95"/>
      <c r="Q221" s="144"/>
      <c r="R221" s="122"/>
      <c r="S221" s="95"/>
      <c r="T221" s="97"/>
      <c r="U221" s="97"/>
      <c r="V221" s="118"/>
      <c r="W221" s="118"/>
      <c r="X221" s="11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U221" s="45"/>
    </row>
    <row r="222" spans="1:47" ht="12" customHeight="1" x14ac:dyDescent="0.3">
      <c r="A222" s="89"/>
      <c r="B222" s="93"/>
      <c r="C222" s="89"/>
      <c r="D222" s="89"/>
      <c r="E222" s="112"/>
      <c r="F222" s="220"/>
      <c r="G222" s="113"/>
      <c r="H222" s="98"/>
      <c r="I222" s="92"/>
      <c r="J222" s="114"/>
      <c r="K222" s="89"/>
      <c r="L222" s="89"/>
      <c r="M222" s="89"/>
      <c r="N222" s="89"/>
      <c r="O222" s="91"/>
      <c r="P222" s="95"/>
      <c r="Q222" s="145"/>
      <c r="R222" s="122"/>
      <c r="S222" s="95"/>
      <c r="T222" s="97"/>
      <c r="U222" s="97"/>
      <c r="V222" s="118"/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U222" s="45"/>
    </row>
    <row r="223" spans="1:47" ht="12" customHeight="1" x14ac:dyDescent="0.3">
      <c r="A223" s="89"/>
      <c r="B223" s="93"/>
      <c r="C223" s="89"/>
      <c r="D223" s="89"/>
      <c r="E223" s="112"/>
      <c r="F223" s="220"/>
      <c r="G223" s="113"/>
      <c r="H223" s="98"/>
      <c r="I223" s="92"/>
      <c r="J223" s="114"/>
      <c r="K223" s="89"/>
      <c r="L223" s="89"/>
      <c r="M223" s="89"/>
      <c r="N223" s="89"/>
      <c r="O223" s="91"/>
      <c r="P223" s="95"/>
      <c r="Q223" s="145"/>
      <c r="R223" s="122"/>
      <c r="S223" s="97"/>
      <c r="T223" s="97"/>
      <c r="U223" s="97"/>
      <c r="V223" s="118"/>
      <c r="W223" s="98"/>
      <c r="X223" s="98"/>
      <c r="Y223" s="98"/>
      <c r="Z223" s="89"/>
      <c r="AA223" s="122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U223" s="45"/>
    </row>
    <row r="224" spans="1:47" ht="12" customHeight="1" x14ac:dyDescent="0.3">
      <c r="A224" s="89"/>
      <c r="B224" s="93"/>
      <c r="C224" s="89"/>
      <c r="D224" s="89"/>
      <c r="E224" s="112"/>
      <c r="F224" s="220"/>
      <c r="G224" s="113"/>
      <c r="H224" s="98"/>
      <c r="I224" s="92"/>
      <c r="J224" s="114"/>
      <c r="K224" s="89"/>
      <c r="L224" s="89"/>
      <c r="M224" s="89"/>
      <c r="N224" s="89"/>
      <c r="O224" s="91"/>
      <c r="P224" s="95"/>
      <c r="Q224" s="144"/>
      <c r="R224" s="122"/>
      <c r="S224" s="121"/>
      <c r="T224" s="97"/>
      <c r="U224" s="97"/>
      <c r="V224" s="118"/>
      <c r="W224" s="118"/>
      <c r="X224" s="11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U224" s="45"/>
    </row>
    <row r="225" spans="1:47" ht="12" customHeight="1" x14ac:dyDescent="0.3">
      <c r="A225" s="89"/>
      <c r="B225" s="93"/>
      <c r="C225" s="89"/>
      <c r="D225" s="89"/>
      <c r="E225" s="112"/>
      <c r="F225" s="220"/>
      <c r="G225" s="113"/>
      <c r="H225" s="98"/>
      <c r="I225" s="92"/>
      <c r="J225" s="114"/>
      <c r="K225" s="89"/>
      <c r="L225" s="89"/>
      <c r="M225" s="89"/>
      <c r="N225" s="89"/>
      <c r="O225" s="91"/>
      <c r="P225" s="95"/>
      <c r="Q225" s="144"/>
      <c r="R225" s="122"/>
      <c r="S225" s="121"/>
      <c r="T225" s="97"/>
      <c r="U225" s="97"/>
      <c r="V225" s="118"/>
      <c r="W225" s="118"/>
      <c r="X225" s="118"/>
      <c r="Y225" s="98"/>
      <c r="Z225" s="89"/>
      <c r="AA225" s="122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U225" s="45"/>
    </row>
    <row r="226" spans="1:47" ht="12" customHeight="1" x14ac:dyDescent="0.3">
      <c r="A226" s="89"/>
      <c r="B226" s="93"/>
      <c r="C226" s="89"/>
      <c r="D226" s="89"/>
      <c r="E226" s="112"/>
      <c r="F226" s="220"/>
      <c r="G226" s="113"/>
      <c r="H226" s="98"/>
      <c r="I226" s="92"/>
      <c r="J226" s="114"/>
      <c r="K226" s="89"/>
      <c r="L226" s="89"/>
      <c r="M226" s="89"/>
      <c r="N226" s="89"/>
      <c r="O226" s="91"/>
      <c r="P226" s="95"/>
      <c r="Q226" s="144"/>
      <c r="R226" s="122"/>
      <c r="S226" s="121"/>
      <c r="T226" s="97"/>
      <c r="U226" s="97"/>
      <c r="V226" s="118"/>
      <c r="W226" s="118"/>
      <c r="X226" s="11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U226" s="45"/>
    </row>
    <row r="227" spans="1:47" ht="12" customHeight="1" x14ac:dyDescent="0.3">
      <c r="A227" s="89"/>
      <c r="B227" s="93"/>
      <c r="C227" s="89"/>
      <c r="D227" s="89"/>
      <c r="E227" s="112"/>
      <c r="F227" s="220"/>
      <c r="G227" s="113"/>
      <c r="H227" s="98"/>
      <c r="I227" s="92"/>
      <c r="J227" s="114"/>
      <c r="K227" s="89"/>
      <c r="L227" s="89"/>
      <c r="M227" s="89"/>
      <c r="N227" s="89"/>
      <c r="O227" s="91"/>
      <c r="P227" s="95"/>
      <c r="Q227" s="144"/>
      <c r="R227" s="122"/>
      <c r="S227" s="121"/>
      <c r="T227" s="97"/>
      <c r="U227" s="97"/>
      <c r="V227" s="118"/>
      <c r="W227" s="118"/>
      <c r="X227" s="118"/>
      <c r="Y227" s="98"/>
      <c r="Z227" s="89"/>
      <c r="AA227" s="97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U227" s="45"/>
    </row>
    <row r="228" spans="1:47" ht="12" customHeight="1" x14ac:dyDescent="0.3">
      <c r="A228" s="89"/>
      <c r="B228" s="93"/>
      <c r="C228" s="89"/>
      <c r="D228" s="89"/>
      <c r="E228" s="112"/>
      <c r="F228" s="220"/>
      <c r="G228" s="113"/>
      <c r="H228" s="98"/>
      <c r="I228" s="92"/>
      <c r="J228" s="114"/>
      <c r="K228" s="89"/>
      <c r="L228" s="89"/>
      <c r="M228" s="89"/>
      <c r="N228" s="89"/>
      <c r="O228" s="91"/>
      <c r="P228" s="95"/>
      <c r="Q228" s="144"/>
      <c r="R228" s="122"/>
      <c r="S228" s="121"/>
      <c r="T228" s="97"/>
      <c r="U228" s="97"/>
      <c r="V228" s="118"/>
      <c r="W228" s="118"/>
      <c r="X228" s="118"/>
      <c r="Y228" s="98"/>
      <c r="Z228" s="89"/>
      <c r="AA228" s="97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U228" s="45"/>
    </row>
    <row r="229" spans="1:47" ht="12" customHeight="1" x14ac:dyDescent="0.3">
      <c r="A229" s="89"/>
      <c r="B229" s="93"/>
      <c r="C229" s="89"/>
      <c r="D229" s="89"/>
      <c r="E229" s="112"/>
      <c r="F229" s="220"/>
      <c r="G229" s="113"/>
      <c r="H229" s="98"/>
      <c r="I229" s="92"/>
      <c r="J229" s="114"/>
      <c r="K229" s="89"/>
      <c r="L229" s="89"/>
      <c r="M229" s="89"/>
      <c r="N229" s="89"/>
      <c r="O229" s="91"/>
      <c r="P229" s="95"/>
      <c r="Q229" s="145"/>
      <c r="R229" s="122"/>
      <c r="S229" s="95"/>
      <c r="T229" s="97"/>
      <c r="U229" s="97"/>
      <c r="V229" s="118"/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/>
      <c r="AK229" s="100"/>
      <c r="AU229" s="45"/>
    </row>
    <row r="230" spans="1:47" ht="12" customHeight="1" x14ac:dyDescent="0.3">
      <c r="A230" s="89"/>
      <c r="B230" s="93"/>
      <c r="C230" s="89"/>
      <c r="D230" s="89"/>
      <c r="E230" s="112"/>
      <c r="F230" s="220"/>
      <c r="G230" s="113"/>
      <c r="H230" s="98"/>
      <c r="I230" s="92"/>
      <c r="J230" s="114"/>
      <c r="K230" s="89"/>
      <c r="L230" s="89"/>
      <c r="M230" s="89"/>
      <c r="N230" s="89"/>
      <c r="O230" s="91"/>
      <c r="P230" s="95"/>
      <c r="Q230" s="145"/>
      <c r="R230" s="122"/>
      <c r="S230" s="95"/>
      <c r="T230" s="97"/>
      <c r="U230" s="97"/>
      <c r="V230" s="118"/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/>
      <c r="AK230" s="100"/>
      <c r="AU230" s="45"/>
    </row>
    <row r="231" spans="1:47" ht="12" customHeight="1" x14ac:dyDescent="0.3">
      <c r="A231" s="89"/>
      <c r="B231" s="93"/>
      <c r="C231" s="89"/>
      <c r="D231" s="89"/>
      <c r="E231" s="112"/>
      <c r="F231" s="220"/>
      <c r="G231" s="113"/>
      <c r="H231" s="98"/>
      <c r="I231" s="92"/>
      <c r="J231" s="114"/>
      <c r="K231" s="89"/>
      <c r="L231" s="89"/>
      <c r="M231" s="89"/>
      <c r="N231" s="89"/>
      <c r="O231" s="91"/>
      <c r="P231" s="95"/>
      <c r="Q231" s="145"/>
      <c r="R231" s="122"/>
      <c r="S231" s="95"/>
      <c r="T231" s="97"/>
      <c r="U231" s="97"/>
      <c r="V231" s="118"/>
      <c r="W231" s="98"/>
      <c r="X231" s="98"/>
      <c r="Y231" s="98"/>
      <c r="Z231" s="89"/>
      <c r="AA231" s="97"/>
      <c r="AB231" s="89"/>
      <c r="AC231" s="120"/>
      <c r="AD231" s="89"/>
      <c r="AE231" s="89"/>
      <c r="AF231" s="119"/>
      <c r="AG231" s="119"/>
      <c r="AH231" s="119"/>
      <c r="AI231" s="100"/>
      <c r="AJ231" s="100"/>
      <c r="AK231" s="100"/>
      <c r="AU231" s="45"/>
    </row>
    <row r="232" spans="1:47" ht="12" customHeight="1" x14ac:dyDescent="0.3">
      <c r="A232" s="89"/>
      <c r="B232" s="93"/>
      <c r="C232" s="89"/>
      <c r="D232" s="89"/>
      <c r="E232" s="112"/>
      <c r="F232" s="220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5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U232" s="45"/>
    </row>
    <row r="233" spans="1:47" ht="12" customHeight="1" x14ac:dyDescent="0.3">
      <c r="A233" s="89"/>
      <c r="B233" s="93"/>
      <c r="C233" s="89"/>
      <c r="D233" s="89"/>
      <c r="E233" s="112"/>
      <c r="F233" s="220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5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U233" s="45"/>
    </row>
    <row r="234" spans="1:47" ht="12" customHeight="1" x14ac:dyDescent="0.3">
      <c r="A234" s="89"/>
      <c r="B234" s="93"/>
      <c r="C234" s="89"/>
      <c r="D234" s="89"/>
      <c r="E234" s="112"/>
      <c r="F234" s="220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5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U234" s="45"/>
    </row>
    <row r="235" spans="1:47" ht="12" customHeight="1" x14ac:dyDescent="0.3">
      <c r="A235" s="89"/>
      <c r="B235" s="93"/>
      <c r="C235" s="89"/>
      <c r="D235" s="89"/>
      <c r="E235" s="112"/>
      <c r="F235" s="220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5"/>
      <c r="R235" s="122"/>
      <c r="S235" s="95"/>
      <c r="T235" s="97"/>
      <c r="U235" s="97"/>
      <c r="V235" s="118"/>
      <c r="W235" s="98"/>
      <c r="X235" s="98"/>
      <c r="Y235" s="98"/>
      <c r="Z235" s="89"/>
      <c r="AA235" s="122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U235" s="45"/>
    </row>
    <row r="236" spans="1:47" ht="12" customHeight="1" x14ac:dyDescent="0.3">
      <c r="A236" s="89"/>
      <c r="B236" s="93"/>
      <c r="C236" s="89"/>
      <c r="D236" s="89"/>
      <c r="E236" s="112"/>
      <c r="F236" s="220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5"/>
      <c r="R236" s="122"/>
      <c r="S236" s="95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U236" s="45"/>
    </row>
    <row r="237" spans="1:47" ht="12" customHeight="1" x14ac:dyDescent="0.3">
      <c r="A237" s="89"/>
      <c r="B237" s="93"/>
      <c r="C237" s="89"/>
      <c r="D237" s="89"/>
      <c r="E237" s="112"/>
      <c r="F237" s="220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5"/>
      <c r="R237" s="122"/>
      <c r="S237" s="95"/>
      <c r="T237" s="97"/>
      <c r="U237" s="97"/>
      <c r="V237" s="118"/>
      <c r="W237" s="98"/>
      <c r="X237" s="98"/>
      <c r="Y237" s="9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U237" s="45"/>
    </row>
    <row r="238" spans="1:47" ht="12" customHeight="1" x14ac:dyDescent="0.3">
      <c r="A238" s="89"/>
      <c r="B238" s="93"/>
      <c r="C238" s="89"/>
      <c r="D238" s="89"/>
      <c r="E238" s="112"/>
      <c r="F238" s="220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5"/>
      <c r="R238" s="122"/>
      <c r="S238" s="95"/>
      <c r="T238" s="97"/>
      <c r="U238" s="97"/>
      <c r="V238" s="118"/>
      <c r="W238" s="98"/>
      <c r="X238" s="98"/>
      <c r="Y238" s="98"/>
      <c r="Z238" s="89"/>
      <c r="AA238" s="97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U238" s="45"/>
    </row>
    <row r="239" spans="1:47" ht="12" customHeight="1" x14ac:dyDescent="0.3">
      <c r="A239" s="89"/>
      <c r="B239" s="93"/>
      <c r="C239" s="89"/>
      <c r="D239" s="89"/>
      <c r="E239" s="112"/>
      <c r="F239" s="220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5"/>
      <c r="R239" s="122"/>
      <c r="S239" s="95"/>
      <c r="T239" s="97"/>
      <c r="U239" s="97"/>
      <c r="V239" s="118"/>
      <c r="W239" s="98"/>
      <c r="X239" s="98"/>
      <c r="Y239" s="98"/>
      <c r="Z239" s="89"/>
      <c r="AA239" s="122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U239" s="45"/>
    </row>
    <row r="240" spans="1:47" ht="12" customHeight="1" x14ac:dyDescent="0.3">
      <c r="A240" s="89"/>
      <c r="B240" s="93"/>
      <c r="C240" s="89"/>
      <c r="D240" s="89"/>
      <c r="E240" s="112"/>
      <c r="F240" s="220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5"/>
      <c r="R240" s="122"/>
      <c r="S240" s="95"/>
      <c r="T240" s="97"/>
      <c r="U240" s="97"/>
      <c r="V240" s="118"/>
      <c r="W240" s="98"/>
      <c r="X240" s="98"/>
      <c r="Y240" s="98"/>
      <c r="Z240" s="89"/>
      <c r="AA240" s="122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U240" s="45"/>
    </row>
    <row r="241" spans="1:47" ht="12" customHeight="1" x14ac:dyDescent="0.3">
      <c r="A241" s="89"/>
      <c r="B241" s="93"/>
      <c r="C241" s="89"/>
      <c r="D241" s="89"/>
      <c r="E241" s="112"/>
      <c r="F241" s="220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5"/>
      <c r="R241" s="122"/>
      <c r="S241" s="95"/>
      <c r="T241" s="97"/>
      <c r="U241" s="97"/>
      <c r="V241" s="118"/>
      <c r="W241" s="98"/>
      <c r="X241" s="98"/>
      <c r="Y241" s="98"/>
      <c r="Z241" s="89"/>
      <c r="AA241" s="122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U241" s="45"/>
    </row>
    <row r="242" spans="1:47" ht="12" customHeight="1" x14ac:dyDescent="0.3">
      <c r="A242" s="89"/>
      <c r="B242" s="93"/>
      <c r="C242" s="89"/>
      <c r="D242" s="89"/>
      <c r="E242" s="112"/>
      <c r="F242" s="220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5"/>
      <c r="R242" s="122"/>
      <c r="S242" s="95"/>
      <c r="T242" s="97"/>
      <c r="U242" s="97"/>
      <c r="V242" s="118"/>
      <c r="W242" s="98"/>
      <c r="X242" s="98"/>
      <c r="Y242" s="98"/>
      <c r="Z242" s="89"/>
      <c r="AA242" s="122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U242" s="45"/>
    </row>
    <row r="243" spans="1:47" ht="12" customHeight="1" x14ac:dyDescent="0.3">
      <c r="A243" s="89"/>
      <c r="B243" s="93"/>
      <c r="C243" s="89"/>
      <c r="D243" s="89"/>
      <c r="E243" s="112"/>
      <c r="F243" s="220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5"/>
      <c r="R243" s="122"/>
      <c r="S243" s="95"/>
      <c r="T243" s="97"/>
      <c r="U243" s="97"/>
      <c r="V243" s="118"/>
      <c r="W243" s="98"/>
      <c r="X243" s="98"/>
      <c r="Y243" s="98"/>
      <c r="Z243" s="89"/>
      <c r="AA243" s="122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U243" s="45"/>
    </row>
    <row r="244" spans="1:47" ht="12" customHeight="1" x14ac:dyDescent="0.3">
      <c r="A244" s="89"/>
      <c r="B244" s="93"/>
      <c r="C244" s="89"/>
      <c r="D244" s="89"/>
      <c r="E244" s="112"/>
      <c r="F244" s="220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4"/>
      <c r="R244" s="122"/>
      <c r="S244" s="95"/>
      <c r="T244" s="97"/>
      <c r="U244" s="97"/>
      <c r="V244" s="118"/>
      <c r="W244" s="98"/>
      <c r="X244" s="98"/>
      <c r="Y244" s="98"/>
      <c r="Z244" s="89"/>
      <c r="AA244" s="122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U244" s="45"/>
    </row>
    <row r="245" spans="1:47" ht="12" customHeight="1" x14ac:dyDescent="0.3">
      <c r="A245" s="89"/>
      <c r="B245" s="93"/>
      <c r="C245" s="89"/>
      <c r="D245" s="89"/>
      <c r="E245" s="112"/>
      <c r="F245" s="220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5"/>
      <c r="R245" s="122"/>
      <c r="S245" s="95"/>
      <c r="T245" s="97"/>
      <c r="U245" s="97"/>
      <c r="V245" s="118"/>
      <c r="W245" s="98"/>
      <c r="X245" s="98"/>
      <c r="Y245" s="98"/>
      <c r="Z245" s="89"/>
      <c r="AA245" s="122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U245" s="45"/>
    </row>
    <row r="246" spans="1:47" ht="12" customHeight="1" x14ac:dyDescent="0.3">
      <c r="A246" s="89"/>
      <c r="B246" s="93"/>
      <c r="C246" s="89"/>
      <c r="D246" s="89"/>
      <c r="E246" s="112"/>
      <c r="F246" s="220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5"/>
      <c r="R246" s="122"/>
      <c r="S246" s="95"/>
      <c r="T246" s="97"/>
      <c r="U246" s="97"/>
      <c r="V246" s="118"/>
      <c r="W246" s="98"/>
      <c r="X246" s="9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U246" s="45"/>
    </row>
    <row r="247" spans="1:47" ht="12" customHeight="1" x14ac:dyDescent="0.3">
      <c r="A247" s="89"/>
      <c r="B247" s="93"/>
      <c r="C247" s="89"/>
      <c r="D247" s="89"/>
      <c r="E247" s="112"/>
      <c r="F247" s="220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5"/>
      <c r="R247" s="122"/>
      <c r="S247" s="97"/>
      <c r="T247" s="97"/>
      <c r="U247" s="97"/>
      <c r="V247" s="118"/>
      <c r="W247" s="98"/>
      <c r="X247" s="9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U247" s="45"/>
    </row>
    <row r="248" spans="1:47" ht="12" customHeight="1" x14ac:dyDescent="0.3">
      <c r="A248" s="89"/>
      <c r="B248" s="93"/>
      <c r="C248" s="89"/>
      <c r="D248" s="89"/>
      <c r="E248" s="112"/>
      <c r="F248" s="220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5"/>
      <c r="R248" s="122"/>
      <c r="S248" s="97"/>
      <c r="T248" s="97"/>
      <c r="U248" s="97"/>
      <c r="V248" s="118"/>
      <c r="W248" s="98"/>
      <c r="X248" s="98"/>
      <c r="Y248" s="98"/>
      <c r="Z248" s="89"/>
      <c r="AA248" s="122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U248" s="45"/>
    </row>
    <row r="249" spans="1:47" ht="12" customHeight="1" x14ac:dyDescent="0.3">
      <c r="A249" s="89"/>
      <c r="B249" s="93"/>
      <c r="C249" s="89"/>
      <c r="D249" s="89"/>
      <c r="E249" s="112"/>
      <c r="F249" s="220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4"/>
      <c r="R249" s="122"/>
      <c r="S249" s="95"/>
      <c r="T249" s="97"/>
      <c r="U249" s="97"/>
      <c r="V249" s="118"/>
      <c r="W249" s="118"/>
      <c r="X249" s="118"/>
      <c r="Y249" s="118"/>
      <c r="Z249" s="89"/>
      <c r="AA249" s="122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U249" s="45"/>
    </row>
    <row r="250" spans="1:47" ht="12" customHeight="1" x14ac:dyDescent="0.3">
      <c r="A250" s="89"/>
      <c r="B250" s="93"/>
      <c r="C250" s="89"/>
      <c r="D250" s="89"/>
      <c r="E250" s="112"/>
      <c r="F250" s="220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4"/>
      <c r="R250" s="122"/>
      <c r="S250" s="95"/>
      <c r="T250" s="97"/>
      <c r="U250" s="97"/>
      <c r="V250" s="118"/>
      <c r="W250" s="118"/>
      <c r="X250" s="98"/>
      <c r="Y250" s="118"/>
      <c r="Z250" s="89"/>
      <c r="AA250" s="122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U250" s="45"/>
    </row>
    <row r="251" spans="1:47" ht="12" customHeight="1" x14ac:dyDescent="0.3">
      <c r="A251" s="89"/>
      <c r="B251" s="93"/>
      <c r="C251" s="89"/>
      <c r="D251" s="89"/>
      <c r="E251" s="112"/>
      <c r="F251" s="220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4"/>
      <c r="R251" s="122"/>
      <c r="S251" s="95"/>
      <c r="T251" s="97"/>
      <c r="U251" s="97"/>
      <c r="V251" s="118"/>
      <c r="W251" s="118"/>
      <c r="X251" s="118"/>
      <c r="Y251" s="118"/>
      <c r="Z251" s="89"/>
      <c r="AA251" s="97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U251" s="45"/>
    </row>
    <row r="252" spans="1:47" ht="12" customHeight="1" x14ac:dyDescent="0.3">
      <c r="A252" s="89"/>
      <c r="B252" s="93"/>
      <c r="C252" s="89"/>
      <c r="D252" s="89"/>
      <c r="E252" s="112"/>
      <c r="F252" s="220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4"/>
      <c r="R252" s="122"/>
      <c r="S252" s="121"/>
      <c r="T252" s="97"/>
      <c r="U252" s="97"/>
      <c r="V252" s="118"/>
      <c r="W252" s="118"/>
      <c r="X252" s="118"/>
      <c r="Y252" s="98"/>
      <c r="Z252" s="89"/>
      <c r="AA252" s="97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U252" s="45"/>
    </row>
    <row r="253" spans="1:47" ht="12" customHeight="1" x14ac:dyDescent="0.3">
      <c r="A253" s="89"/>
      <c r="B253" s="93"/>
      <c r="C253" s="89"/>
      <c r="D253" s="89"/>
      <c r="E253" s="112"/>
      <c r="F253" s="220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4"/>
      <c r="R253" s="122"/>
      <c r="S253" s="121"/>
      <c r="T253" s="97"/>
      <c r="U253" s="97"/>
      <c r="V253" s="118"/>
      <c r="W253" s="118"/>
      <c r="X253" s="118"/>
      <c r="Y253" s="98"/>
      <c r="Z253" s="89"/>
      <c r="AA253" s="97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U253" s="45"/>
    </row>
    <row r="254" spans="1:47" ht="12" customHeight="1" x14ac:dyDescent="0.3">
      <c r="A254" s="89"/>
      <c r="B254" s="93"/>
      <c r="C254" s="89"/>
      <c r="D254" s="89"/>
      <c r="E254" s="112"/>
      <c r="F254" s="220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4"/>
      <c r="R254" s="122"/>
      <c r="S254" s="121"/>
      <c r="T254" s="97"/>
      <c r="U254" s="97"/>
      <c r="V254" s="118"/>
      <c r="W254" s="118"/>
      <c r="X254" s="118"/>
      <c r="Y254" s="98"/>
      <c r="Z254" s="89"/>
      <c r="AA254" s="97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U254" s="45"/>
    </row>
    <row r="255" spans="1:47" ht="12" customHeight="1" x14ac:dyDescent="0.3">
      <c r="A255" s="89"/>
      <c r="B255" s="93"/>
      <c r="C255" s="89"/>
      <c r="D255" s="89"/>
      <c r="E255" s="112"/>
      <c r="F255" s="220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4"/>
      <c r="R255" s="122"/>
      <c r="S255" s="121"/>
      <c r="T255" s="97"/>
      <c r="U255" s="97"/>
      <c r="V255" s="118"/>
      <c r="W255" s="118"/>
      <c r="X255" s="118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U255" s="45"/>
    </row>
    <row r="256" spans="1:47" ht="12" customHeight="1" x14ac:dyDescent="0.3">
      <c r="A256" s="89"/>
      <c r="B256" s="93"/>
      <c r="C256" s="89"/>
      <c r="D256" s="89"/>
      <c r="E256" s="112"/>
      <c r="F256" s="220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4"/>
      <c r="R256" s="122"/>
      <c r="S256" s="121"/>
      <c r="T256" s="97"/>
      <c r="U256" s="97"/>
      <c r="V256" s="118"/>
      <c r="W256" s="118"/>
      <c r="X256" s="118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U256" s="45"/>
    </row>
    <row r="257" spans="1:47" ht="12" customHeight="1" x14ac:dyDescent="0.3">
      <c r="A257" s="89"/>
      <c r="B257" s="93"/>
      <c r="C257" s="89"/>
      <c r="D257" s="89"/>
      <c r="E257" s="112"/>
      <c r="F257" s="220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4"/>
      <c r="R257" s="122"/>
      <c r="S257" s="121"/>
      <c r="T257" s="97"/>
      <c r="U257" s="97"/>
      <c r="V257" s="118"/>
      <c r="W257" s="118"/>
      <c r="X257" s="118"/>
      <c r="Y257" s="98"/>
      <c r="Z257" s="89"/>
      <c r="AA257" s="97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U257" s="45"/>
    </row>
    <row r="258" spans="1:47" ht="12" customHeight="1" x14ac:dyDescent="0.3">
      <c r="A258" s="89"/>
      <c r="B258" s="93"/>
      <c r="C258" s="89"/>
      <c r="D258" s="89"/>
      <c r="E258" s="112"/>
      <c r="F258" s="220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4"/>
      <c r="R258" s="122"/>
      <c r="S258" s="121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U258" s="45"/>
    </row>
    <row r="259" spans="1:47" ht="12" customHeight="1" x14ac:dyDescent="0.3">
      <c r="A259" s="89"/>
      <c r="B259" s="93"/>
      <c r="C259" s="89"/>
      <c r="D259" s="89"/>
      <c r="E259" s="112"/>
      <c r="F259" s="220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4"/>
      <c r="R259" s="122"/>
      <c r="S259" s="121"/>
      <c r="T259" s="97"/>
      <c r="U259" s="97"/>
      <c r="V259" s="118"/>
      <c r="W259" s="118"/>
      <c r="X259" s="118"/>
      <c r="Y259" s="98"/>
      <c r="Z259" s="89"/>
      <c r="AA259" s="97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U259" s="45"/>
    </row>
    <row r="260" spans="1:47" ht="12" customHeight="1" x14ac:dyDescent="0.3">
      <c r="A260" s="89"/>
      <c r="B260" s="93"/>
      <c r="C260" s="89"/>
      <c r="D260" s="89"/>
      <c r="E260" s="112"/>
      <c r="F260" s="220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4"/>
      <c r="R260" s="122"/>
      <c r="S260" s="121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U260" s="45"/>
    </row>
    <row r="261" spans="1:47" ht="12" customHeight="1" x14ac:dyDescent="0.3">
      <c r="A261" s="89"/>
      <c r="B261" s="93"/>
      <c r="C261" s="89"/>
      <c r="D261" s="89"/>
      <c r="E261" s="112"/>
      <c r="F261" s="220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4"/>
      <c r="R261" s="122"/>
      <c r="S261" s="121"/>
      <c r="T261" s="97"/>
      <c r="U261" s="97"/>
      <c r="V261" s="118"/>
      <c r="W261" s="118"/>
      <c r="X261" s="118"/>
      <c r="Y261" s="98"/>
      <c r="Z261" s="89"/>
      <c r="AA261" s="97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U261" s="45"/>
    </row>
    <row r="262" spans="1:47" ht="12" customHeight="1" x14ac:dyDescent="0.3">
      <c r="A262" s="89"/>
      <c r="B262" s="93"/>
      <c r="C262" s="89"/>
      <c r="D262" s="89"/>
      <c r="E262" s="112"/>
      <c r="F262" s="220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4"/>
      <c r="R262" s="122"/>
      <c r="S262" s="121"/>
      <c r="T262" s="97"/>
      <c r="U262" s="97"/>
      <c r="V262" s="118"/>
      <c r="W262" s="118"/>
      <c r="X262" s="118"/>
      <c r="Y262" s="98"/>
      <c r="Z262" s="89"/>
      <c r="AA262" s="97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U262" s="45"/>
    </row>
    <row r="263" spans="1:47" ht="12" customHeight="1" x14ac:dyDescent="0.3">
      <c r="A263" s="89"/>
      <c r="B263" s="93"/>
      <c r="C263" s="89"/>
      <c r="D263" s="89"/>
      <c r="E263" s="112"/>
      <c r="F263" s="220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4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U263" s="45"/>
    </row>
    <row r="264" spans="1:47" ht="12" customHeight="1" x14ac:dyDescent="0.3">
      <c r="A264" s="89"/>
      <c r="B264" s="93"/>
      <c r="C264" s="89"/>
      <c r="D264" s="89"/>
      <c r="E264" s="112"/>
      <c r="F264" s="220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4"/>
      <c r="R264" s="121"/>
      <c r="S264" s="95"/>
      <c r="T264" s="97"/>
      <c r="U264" s="97"/>
      <c r="V264" s="118"/>
      <c r="W264" s="118"/>
      <c r="X264" s="9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U264" s="45"/>
    </row>
    <row r="265" spans="1:47" ht="12" customHeight="1" x14ac:dyDescent="0.3">
      <c r="A265" s="89"/>
      <c r="B265" s="93"/>
      <c r="C265" s="89"/>
      <c r="D265" s="89"/>
      <c r="E265" s="112"/>
      <c r="F265" s="220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4"/>
      <c r="R265" s="121"/>
      <c r="S265" s="95"/>
      <c r="T265" s="97"/>
      <c r="U265" s="97"/>
      <c r="V265" s="118"/>
      <c r="W265" s="118"/>
      <c r="X265" s="98"/>
      <c r="Y265" s="118"/>
      <c r="Z265" s="89"/>
      <c r="AA265" s="122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U265" s="45"/>
    </row>
    <row r="266" spans="1:47" ht="12" customHeight="1" x14ac:dyDescent="0.3">
      <c r="A266" s="89"/>
      <c r="B266" s="93"/>
      <c r="C266" s="89"/>
      <c r="D266" s="89"/>
      <c r="E266" s="112"/>
      <c r="F266" s="220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4"/>
      <c r="R266" s="121"/>
      <c r="S266" s="95"/>
      <c r="T266" s="97"/>
      <c r="U266" s="97"/>
      <c r="V266" s="118"/>
      <c r="W266" s="118"/>
      <c r="X266" s="98"/>
      <c r="Y266" s="118"/>
      <c r="Z266" s="89"/>
      <c r="AA266" s="122"/>
      <c r="AB266" s="89"/>
      <c r="AC266" s="120"/>
      <c r="AD266" s="89"/>
      <c r="AE266" s="89"/>
      <c r="AF266" s="119"/>
      <c r="AG266" s="119"/>
      <c r="AH266" s="119"/>
      <c r="AI266" s="100"/>
      <c r="AJ266" s="100"/>
      <c r="AK266" s="100"/>
      <c r="AU266" s="45"/>
    </row>
    <row r="267" spans="1:47" ht="12" customHeight="1" x14ac:dyDescent="0.3">
      <c r="A267" s="89"/>
      <c r="B267" s="93"/>
      <c r="C267" s="89"/>
      <c r="D267" s="89"/>
      <c r="E267" s="112"/>
      <c r="F267" s="220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4"/>
      <c r="R267" s="121"/>
      <c r="S267" s="95"/>
      <c r="T267" s="97"/>
      <c r="U267" s="97"/>
      <c r="V267" s="118"/>
      <c r="W267" s="118"/>
      <c r="X267" s="121"/>
      <c r="Y267" s="118"/>
      <c r="Z267" s="89"/>
      <c r="AA267" s="97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U267" s="45"/>
    </row>
    <row r="268" spans="1:47" ht="12" customHeight="1" x14ac:dyDescent="0.3">
      <c r="A268" s="89"/>
      <c r="B268" s="93"/>
      <c r="C268" s="89"/>
      <c r="D268" s="89"/>
      <c r="E268" s="112"/>
      <c r="F268" s="220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4"/>
      <c r="R268" s="121"/>
      <c r="S268" s="95"/>
      <c r="T268" s="97"/>
      <c r="U268" s="97"/>
      <c r="V268" s="118"/>
      <c r="W268" s="118"/>
      <c r="X268" s="121"/>
      <c r="Y268" s="11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U268" s="45"/>
    </row>
    <row r="269" spans="1:47" ht="12" customHeight="1" x14ac:dyDescent="0.3">
      <c r="A269" s="89"/>
      <c r="B269" s="93"/>
      <c r="C269" s="89"/>
      <c r="D269" s="89"/>
      <c r="E269" s="112"/>
      <c r="F269" s="220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4"/>
      <c r="R269" s="121"/>
      <c r="S269" s="95"/>
      <c r="T269" s="97"/>
      <c r="U269" s="97"/>
      <c r="V269" s="118"/>
      <c r="W269" s="118"/>
      <c r="X269" s="98"/>
      <c r="Y269" s="11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U269" s="45"/>
    </row>
    <row r="270" spans="1:47" ht="12" customHeight="1" x14ac:dyDescent="0.3">
      <c r="A270" s="89"/>
      <c r="B270" s="93"/>
      <c r="C270" s="89"/>
      <c r="D270" s="89"/>
      <c r="E270" s="112"/>
      <c r="F270" s="220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4"/>
      <c r="R270" s="122"/>
      <c r="S270" s="95"/>
      <c r="T270" s="97"/>
      <c r="U270" s="97"/>
      <c r="V270" s="118"/>
      <c r="W270" s="118"/>
      <c r="X270" s="118"/>
      <c r="Y270" s="118"/>
      <c r="Z270" s="89"/>
      <c r="AA270" s="97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U270" s="45"/>
    </row>
    <row r="271" spans="1:47" ht="12" customHeight="1" x14ac:dyDescent="0.3">
      <c r="A271" s="89"/>
      <c r="B271" s="93"/>
      <c r="C271" s="89"/>
      <c r="D271" s="89"/>
      <c r="E271" s="112"/>
      <c r="F271" s="220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4"/>
      <c r="R271" s="121"/>
      <c r="S271" s="95"/>
      <c r="T271" s="97"/>
      <c r="U271" s="97"/>
      <c r="V271" s="118"/>
      <c r="W271" s="118"/>
      <c r="X271" s="98"/>
      <c r="Y271" s="11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U271" s="45"/>
    </row>
    <row r="272" spans="1:47" ht="12" customHeight="1" x14ac:dyDescent="0.3">
      <c r="A272" s="89"/>
      <c r="B272" s="93"/>
      <c r="C272" s="89"/>
      <c r="D272" s="89"/>
      <c r="E272" s="112"/>
      <c r="F272" s="220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4"/>
      <c r="R272" s="122"/>
      <c r="S272" s="95"/>
      <c r="T272" s="97"/>
      <c r="U272" s="97"/>
      <c r="V272" s="118"/>
      <c r="W272" s="118"/>
      <c r="X272" s="118"/>
      <c r="Y272" s="118"/>
      <c r="Z272" s="89"/>
      <c r="AA272" s="97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U272" s="45"/>
    </row>
    <row r="273" spans="1:47" ht="12" customHeight="1" x14ac:dyDescent="0.3">
      <c r="A273" s="89"/>
      <c r="B273" s="93"/>
      <c r="C273" s="89"/>
      <c r="D273" s="89"/>
      <c r="E273" s="112"/>
      <c r="F273" s="220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4"/>
      <c r="R273" s="121"/>
      <c r="S273" s="95"/>
      <c r="T273" s="97"/>
      <c r="U273" s="97"/>
      <c r="V273" s="118"/>
      <c r="W273" s="118"/>
      <c r="X273" s="98"/>
      <c r="Y273" s="118"/>
      <c r="Z273" s="89"/>
      <c r="AA273" s="122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U273" s="45"/>
    </row>
    <row r="274" spans="1:47" ht="12" customHeight="1" x14ac:dyDescent="0.3">
      <c r="A274" s="89"/>
      <c r="B274" s="93"/>
      <c r="C274" s="89"/>
      <c r="D274" s="89"/>
      <c r="E274" s="112"/>
      <c r="F274" s="220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4"/>
      <c r="R274" s="121"/>
      <c r="S274" s="95"/>
      <c r="T274" s="97"/>
      <c r="U274" s="97"/>
      <c r="V274" s="118"/>
      <c r="W274" s="118"/>
      <c r="X274" s="98"/>
      <c r="Y274" s="118"/>
      <c r="Z274" s="89"/>
      <c r="AA274" s="122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U274" s="45"/>
    </row>
    <row r="275" spans="1:47" ht="12" customHeight="1" x14ac:dyDescent="0.3">
      <c r="A275" s="89"/>
      <c r="B275" s="93"/>
      <c r="C275" s="89"/>
      <c r="D275" s="89"/>
      <c r="E275" s="112"/>
      <c r="F275" s="220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4"/>
      <c r="R275" s="121"/>
      <c r="S275" s="95"/>
      <c r="T275" s="97"/>
      <c r="U275" s="97"/>
      <c r="V275" s="118"/>
      <c r="W275" s="118"/>
      <c r="X275" s="98"/>
      <c r="Y275" s="118"/>
      <c r="Z275" s="89"/>
      <c r="AA275" s="122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U275" s="45"/>
    </row>
    <row r="276" spans="1:47" ht="12" customHeight="1" x14ac:dyDescent="0.3">
      <c r="A276" s="89"/>
      <c r="B276" s="93"/>
      <c r="C276" s="89"/>
      <c r="D276" s="89"/>
      <c r="E276" s="112"/>
      <c r="F276" s="220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4"/>
      <c r="R276" s="122"/>
      <c r="S276" s="95"/>
      <c r="T276" s="97"/>
      <c r="U276" s="97"/>
      <c r="V276" s="118"/>
      <c r="W276" s="118"/>
      <c r="X276" s="118"/>
      <c r="Y276" s="118"/>
      <c r="Z276" s="89"/>
      <c r="AA276" s="122"/>
      <c r="AB276" s="89"/>
      <c r="AC276" s="120"/>
      <c r="AD276" s="89"/>
      <c r="AE276" s="89"/>
      <c r="AF276" s="119"/>
      <c r="AG276" s="119"/>
      <c r="AH276" s="119"/>
      <c r="AI276" s="100"/>
      <c r="AJ276" s="100"/>
      <c r="AK276" s="100"/>
      <c r="AU276" s="45"/>
    </row>
    <row r="277" spans="1:47" ht="12" customHeight="1" x14ac:dyDescent="0.3">
      <c r="A277" s="89"/>
      <c r="B277" s="93"/>
      <c r="C277" s="89"/>
      <c r="D277" s="89"/>
      <c r="E277" s="112"/>
      <c r="F277" s="220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4"/>
      <c r="R277" s="122"/>
      <c r="S277" s="95"/>
      <c r="T277" s="97"/>
      <c r="U277" s="97"/>
      <c r="V277" s="118"/>
      <c r="W277" s="118"/>
      <c r="X277" s="118"/>
      <c r="Y277" s="118"/>
      <c r="Z277" s="89"/>
      <c r="AA277" s="97"/>
      <c r="AB277" s="89"/>
      <c r="AC277" s="120"/>
      <c r="AD277" s="89"/>
      <c r="AE277" s="89"/>
      <c r="AF277" s="119"/>
      <c r="AG277" s="119"/>
      <c r="AH277" s="119"/>
      <c r="AI277" s="100"/>
      <c r="AJ277" s="100"/>
      <c r="AK277" s="100"/>
      <c r="AU277" s="45"/>
    </row>
    <row r="278" spans="1:47" ht="12" customHeight="1" x14ac:dyDescent="0.3">
      <c r="A278" s="89"/>
      <c r="B278" s="93"/>
      <c r="C278" s="89"/>
      <c r="D278" s="89"/>
      <c r="E278" s="112"/>
      <c r="F278" s="220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5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U278" s="45"/>
    </row>
    <row r="279" spans="1:47" ht="12" customHeight="1" x14ac:dyDescent="0.3">
      <c r="A279" s="89"/>
      <c r="B279" s="93"/>
      <c r="C279" s="89"/>
      <c r="D279" s="89"/>
      <c r="E279" s="112"/>
      <c r="F279" s="220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4"/>
      <c r="R279" s="121"/>
      <c r="S279" s="95"/>
      <c r="T279" s="97"/>
      <c r="U279" s="97"/>
      <c r="V279" s="118"/>
      <c r="W279" s="118"/>
      <c r="X279" s="98"/>
      <c r="Y279" s="118"/>
      <c r="Z279" s="89"/>
      <c r="AA279" s="122"/>
      <c r="AB279" s="89"/>
      <c r="AC279" s="120"/>
      <c r="AD279" s="89"/>
      <c r="AE279" s="89"/>
      <c r="AF279" s="119"/>
      <c r="AG279" s="119"/>
      <c r="AH279" s="119"/>
      <c r="AI279" s="100"/>
      <c r="AJ279" s="100"/>
      <c r="AK279" s="100"/>
      <c r="AU279" s="45"/>
    </row>
    <row r="280" spans="1:47" ht="12" customHeight="1" x14ac:dyDescent="0.3">
      <c r="A280" s="89"/>
      <c r="B280" s="93"/>
      <c r="C280" s="89"/>
      <c r="D280" s="89"/>
      <c r="E280" s="112"/>
      <c r="F280" s="220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4"/>
      <c r="R280" s="122"/>
      <c r="S280" s="95"/>
      <c r="T280" s="97"/>
      <c r="U280" s="97"/>
      <c r="V280" s="118"/>
      <c r="W280" s="98"/>
      <c r="X280" s="98"/>
      <c r="Y280" s="118"/>
      <c r="Z280" s="89"/>
      <c r="AA280" s="97"/>
      <c r="AB280" s="89"/>
      <c r="AC280" s="120"/>
      <c r="AD280" s="89"/>
      <c r="AE280" s="89"/>
      <c r="AF280" s="119"/>
      <c r="AG280" s="119"/>
      <c r="AH280" s="119"/>
      <c r="AI280" s="100"/>
      <c r="AJ280" s="100"/>
      <c r="AK280" s="100"/>
      <c r="AU280" s="45"/>
    </row>
    <row r="281" spans="1:47" ht="12" customHeight="1" x14ac:dyDescent="0.3">
      <c r="A281" s="89"/>
      <c r="B281" s="93"/>
      <c r="C281" s="89"/>
      <c r="D281" s="89"/>
      <c r="E281" s="112"/>
      <c r="F281" s="220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4"/>
      <c r="R281" s="121"/>
      <c r="S281" s="95"/>
      <c r="T281" s="97"/>
      <c r="U281" s="97"/>
      <c r="V281" s="118"/>
      <c r="W281" s="118"/>
      <c r="X281" s="98"/>
      <c r="Y281" s="118"/>
      <c r="Z281" s="89"/>
      <c r="AA281" s="122"/>
      <c r="AB281" s="89"/>
      <c r="AC281" s="120"/>
      <c r="AD281" s="89"/>
      <c r="AE281" s="89"/>
      <c r="AF281" s="119"/>
      <c r="AG281" s="119"/>
      <c r="AH281" s="119"/>
      <c r="AI281" s="100"/>
      <c r="AJ281" s="100"/>
      <c r="AK281" s="100"/>
      <c r="AU281" s="45"/>
    </row>
    <row r="282" spans="1:47" ht="12" customHeight="1" x14ac:dyDescent="0.3">
      <c r="A282" s="89"/>
      <c r="B282" s="93"/>
      <c r="C282" s="89"/>
      <c r="D282" s="89"/>
      <c r="E282" s="112"/>
      <c r="F282" s="220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4"/>
      <c r="R282" s="121"/>
      <c r="S282" s="95"/>
      <c r="T282" s="97"/>
      <c r="U282" s="97"/>
      <c r="V282" s="118"/>
      <c r="W282" s="11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U282" s="45"/>
    </row>
    <row r="283" spans="1:47" ht="12" customHeight="1" x14ac:dyDescent="0.3">
      <c r="A283" s="89"/>
      <c r="B283" s="93"/>
      <c r="C283" s="89"/>
      <c r="D283" s="89"/>
      <c r="E283" s="112"/>
      <c r="F283" s="220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4"/>
      <c r="R283" s="121"/>
      <c r="S283" s="95"/>
      <c r="T283" s="97"/>
      <c r="U283" s="97"/>
      <c r="V283" s="118"/>
      <c r="W283" s="11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U283" s="45"/>
    </row>
    <row r="284" spans="1:47" ht="12" customHeight="1" x14ac:dyDescent="0.3">
      <c r="A284" s="89"/>
      <c r="B284" s="93"/>
      <c r="C284" s="89"/>
      <c r="D284" s="89"/>
      <c r="E284" s="112"/>
      <c r="F284" s="220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4"/>
      <c r="R284" s="121"/>
      <c r="S284" s="95"/>
      <c r="T284" s="97"/>
      <c r="U284" s="97"/>
      <c r="V284" s="118"/>
      <c r="W284" s="118"/>
      <c r="X284" s="98"/>
      <c r="Y284" s="11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U284" s="45"/>
    </row>
    <row r="285" spans="1:47" ht="12" customHeight="1" x14ac:dyDescent="0.3">
      <c r="A285" s="89"/>
      <c r="B285" s="93"/>
      <c r="C285" s="89"/>
      <c r="D285" s="89"/>
      <c r="E285" s="112"/>
      <c r="F285" s="220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4"/>
      <c r="R285" s="122"/>
      <c r="S285" s="95"/>
      <c r="T285" s="97"/>
      <c r="U285" s="97"/>
      <c r="V285" s="118"/>
      <c r="W285" s="98"/>
      <c r="X285" s="98"/>
      <c r="Y285" s="118"/>
      <c r="Z285" s="89"/>
      <c r="AA285" s="97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U285" s="45"/>
    </row>
    <row r="286" spans="1:47" ht="12" customHeight="1" x14ac:dyDescent="0.3">
      <c r="A286" s="89"/>
      <c r="B286" s="93"/>
      <c r="C286" s="89"/>
      <c r="D286" s="89"/>
      <c r="E286" s="112"/>
      <c r="F286" s="220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4"/>
      <c r="R286" s="122"/>
      <c r="S286" s="95"/>
      <c r="T286" s="97"/>
      <c r="U286" s="97"/>
      <c r="V286" s="118"/>
      <c r="W286" s="98"/>
      <c r="X286" s="98"/>
      <c r="Y286" s="118"/>
      <c r="Z286" s="89"/>
      <c r="AA286" s="97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U286" s="45"/>
    </row>
    <row r="287" spans="1:47" ht="12" customHeight="1" x14ac:dyDescent="0.3">
      <c r="A287" s="89"/>
      <c r="B287" s="93"/>
      <c r="C287" s="89"/>
      <c r="D287" s="89"/>
      <c r="E287" s="112"/>
      <c r="F287" s="220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4"/>
      <c r="R287" s="122"/>
      <c r="S287" s="95"/>
      <c r="T287" s="97"/>
      <c r="U287" s="97"/>
      <c r="V287" s="118"/>
      <c r="W287" s="98"/>
      <c r="X287" s="98"/>
      <c r="Y287" s="118"/>
      <c r="Z287" s="89"/>
      <c r="AA287" s="97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U287" s="45"/>
    </row>
    <row r="288" spans="1:47" ht="12" customHeight="1" x14ac:dyDescent="0.3">
      <c r="A288" s="89"/>
      <c r="B288" s="93"/>
      <c r="C288" s="89"/>
      <c r="D288" s="89"/>
      <c r="E288" s="112"/>
      <c r="F288" s="220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5"/>
      <c r="R288" s="122"/>
      <c r="S288" s="97"/>
      <c r="T288" s="97"/>
      <c r="U288" s="97"/>
      <c r="V288" s="118"/>
      <c r="W288" s="118"/>
      <c r="X288" s="98"/>
      <c r="Y288" s="98"/>
      <c r="Z288" s="89"/>
      <c r="AA288" s="97"/>
      <c r="AB288" s="89"/>
      <c r="AC288" s="120"/>
      <c r="AD288" s="89"/>
      <c r="AE288" s="89"/>
      <c r="AF288" s="117"/>
      <c r="AG288" s="117"/>
      <c r="AH288" s="119"/>
      <c r="AI288" s="100"/>
      <c r="AJ288" s="100"/>
      <c r="AK288" s="100"/>
      <c r="AU288" s="45"/>
    </row>
    <row r="289" spans="1:47" ht="12" customHeight="1" x14ac:dyDescent="0.3">
      <c r="A289" s="89"/>
      <c r="B289" s="93"/>
      <c r="C289" s="89"/>
      <c r="D289" s="89"/>
      <c r="E289" s="112"/>
      <c r="F289" s="220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5"/>
      <c r="R289" s="122"/>
      <c r="S289" s="97"/>
      <c r="T289" s="97"/>
      <c r="U289" s="97"/>
      <c r="V289" s="118"/>
      <c r="W289" s="118"/>
      <c r="X289" s="98"/>
      <c r="Y289" s="98"/>
      <c r="Z289" s="89"/>
      <c r="AA289" s="97"/>
      <c r="AB289" s="89"/>
      <c r="AC289" s="120"/>
      <c r="AD289" s="89"/>
      <c r="AE289" s="89"/>
      <c r="AF289" s="117"/>
      <c r="AG289" s="117"/>
      <c r="AH289" s="119"/>
      <c r="AI289" s="100"/>
      <c r="AJ289" s="100"/>
      <c r="AK289" s="100"/>
      <c r="AU289" s="45"/>
    </row>
    <row r="290" spans="1:47" ht="12" customHeight="1" x14ac:dyDescent="0.3">
      <c r="A290" s="89"/>
      <c r="B290" s="93"/>
      <c r="C290" s="89"/>
      <c r="D290" s="89"/>
      <c r="E290" s="112"/>
      <c r="F290" s="220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5"/>
      <c r="R290" s="122"/>
      <c r="S290" s="97"/>
      <c r="T290" s="97"/>
      <c r="U290" s="97"/>
      <c r="V290" s="118"/>
      <c r="W290" s="118"/>
      <c r="X290" s="98"/>
      <c r="Y290" s="98"/>
      <c r="Z290" s="89"/>
      <c r="AA290" s="97"/>
      <c r="AB290" s="89"/>
      <c r="AC290" s="120"/>
      <c r="AD290" s="89"/>
      <c r="AE290" s="89"/>
      <c r="AF290" s="117"/>
      <c r="AG290" s="117"/>
      <c r="AH290" s="119"/>
      <c r="AI290" s="100"/>
      <c r="AJ290" s="100"/>
      <c r="AK290" s="100"/>
      <c r="AU290" s="45"/>
    </row>
    <row r="291" spans="1:47" ht="12" customHeight="1" x14ac:dyDescent="0.3">
      <c r="A291" s="89"/>
      <c r="B291" s="93"/>
      <c r="C291" s="89"/>
      <c r="D291" s="89"/>
      <c r="E291" s="112"/>
      <c r="F291" s="220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5"/>
      <c r="R291" s="122"/>
      <c r="S291" s="97"/>
      <c r="T291" s="97"/>
      <c r="U291" s="97"/>
      <c r="V291" s="118"/>
      <c r="W291" s="118"/>
      <c r="X291" s="98"/>
      <c r="Y291" s="98"/>
      <c r="Z291" s="89"/>
      <c r="AA291" s="97"/>
      <c r="AB291" s="89"/>
      <c r="AC291" s="120"/>
      <c r="AD291" s="89"/>
      <c r="AE291" s="89"/>
      <c r="AF291" s="117"/>
      <c r="AG291" s="117"/>
      <c r="AH291" s="119"/>
      <c r="AI291" s="100"/>
      <c r="AJ291" s="100"/>
      <c r="AK291" s="100"/>
      <c r="AU291" s="45"/>
    </row>
    <row r="292" spans="1:47" ht="12" customHeight="1" x14ac:dyDescent="0.3">
      <c r="A292" s="89"/>
      <c r="B292" s="93"/>
      <c r="C292" s="89"/>
      <c r="D292" s="89"/>
      <c r="E292" s="112"/>
      <c r="F292" s="220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5"/>
      <c r="R292" s="122"/>
      <c r="S292" s="97"/>
      <c r="T292" s="97"/>
      <c r="U292" s="97"/>
      <c r="V292" s="118"/>
      <c r="W292" s="118"/>
      <c r="X292" s="98"/>
      <c r="Y292" s="98"/>
      <c r="Z292" s="89"/>
      <c r="AA292" s="97"/>
      <c r="AB292" s="89"/>
      <c r="AC292" s="120"/>
      <c r="AD292" s="89"/>
      <c r="AE292" s="89"/>
      <c r="AF292" s="117"/>
      <c r="AG292" s="117"/>
      <c r="AH292" s="119"/>
      <c r="AI292" s="100"/>
      <c r="AJ292" s="100"/>
      <c r="AK292" s="100"/>
      <c r="AU292" s="45"/>
    </row>
    <row r="293" spans="1:47" ht="12" customHeight="1" x14ac:dyDescent="0.3">
      <c r="A293" s="89"/>
      <c r="B293" s="93"/>
      <c r="C293" s="89"/>
      <c r="D293" s="89"/>
      <c r="E293" s="112"/>
      <c r="F293" s="220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5"/>
      <c r="R293" s="122"/>
      <c r="S293" s="97"/>
      <c r="T293" s="97"/>
      <c r="U293" s="97"/>
      <c r="V293" s="118"/>
      <c r="W293" s="118"/>
      <c r="X293" s="98"/>
      <c r="Y293" s="98"/>
      <c r="Z293" s="89"/>
      <c r="AA293" s="97"/>
      <c r="AB293" s="89"/>
      <c r="AC293" s="120"/>
      <c r="AD293" s="89"/>
      <c r="AE293" s="89"/>
      <c r="AF293" s="117"/>
      <c r="AG293" s="117"/>
      <c r="AH293" s="119"/>
      <c r="AI293" s="100"/>
      <c r="AJ293" s="100"/>
      <c r="AK293" s="100"/>
      <c r="AU293" s="45"/>
    </row>
    <row r="294" spans="1:47" ht="12" customHeight="1" x14ac:dyDescent="0.3">
      <c r="A294" s="89"/>
      <c r="B294" s="93"/>
      <c r="C294" s="89"/>
      <c r="D294" s="89"/>
      <c r="E294" s="112"/>
      <c r="F294" s="220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4"/>
      <c r="R294" s="122"/>
      <c r="S294" s="95"/>
      <c r="T294" s="97"/>
      <c r="U294" s="97"/>
      <c r="V294" s="118"/>
      <c r="W294" s="98"/>
      <c r="X294" s="98"/>
      <c r="Y294" s="118"/>
      <c r="Z294" s="89"/>
      <c r="AA294" s="122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U294" s="45"/>
    </row>
    <row r="295" spans="1:47" ht="12" customHeight="1" x14ac:dyDescent="0.3">
      <c r="A295" s="89"/>
      <c r="B295" s="93"/>
      <c r="C295" s="89"/>
      <c r="D295" s="89"/>
      <c r="E295" s="112"/>
      <c r="F295" s="220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4"/>
      <c r="R295" s="122"/>
      <c r="S295" s="95"/>
      <c r="T295" s="97"/>
      <c r="U295" s="97"/>
      <c r="V295" s="118"/>
      <c r="W295" s="98"/>
      <c r="X295" s="98"/>
      <c r="Y295" s="118"/>
      <c r="Z295" s="89"/>
      <c r="AA295" s="122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U295" s="45"/>
    </row>
    <row r="296" spans="1:47" ht="12" customHeight="1" x14ac:dyDescent="0.3">
      <c r="A296" s="89"/>
      <c r="B296" s="93"/>
      <c r="C296" s="89"/>
      <c r="D296" s="89"/>
      <c r="E296" s="112"/>
      <c r="F296" s="220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4"/>
      <c r="R296" s="122"/>
      <c r="S296" s="95"/>
      <c r="T296" s="97"/>
      <c r="U296" s="97"/>
      <c r="V296" s="118"/>
      <c r="W296" s="98"/>
      <c r="X296" s="98"/>
      <c r="Y296" s="118"/>
      <c r="Z296" s="89"/>
      <c r="AA296" s="122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U296" s="45"/>
    </row>
    <row r="297" spans="1:47" ht="12" customHeight="1" x14ac:dyDescent="0.3">
      <c r="A297" s="89"/>
      <c r="B297" s="93"/>
      <c r="C297" s="89"/>
      <c r="D297" s="89"/>
      <c r="E297" s="112"/>
      <c r="F297" s="220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4"/>
      <c r="R297" s="122"/>
      <c r="S297" s="95"/>
      <c r="T297" s="97"/>
      <c r="U297" s="97"/>
      <c r="V297" s="118"/>
      <c r="W297" s="98"/>
      <c r="X297" s="98"/>
      <c r="Y297" s="118"/>
      <c r="Z297" s="89"/>
      <c r="AA297" s="122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U297" s="45"/>
    </row>
    <row r="298" spans="1:47" ht="12" customHeight="1" x14ac:dyDescent="0.3">
      <c r="A298" s="89"/>
      <c r="B298" s="93"/>
      <c r="C298" s="89"/>
      <c r="D298" s="89"/>
      <c r="E298" s="112"/>
      <c r="F298" s="220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4"/>
      <c r="R298" s="122"/>
      <c r="S298" s="95"/>
      <c r="T298" s="97"/>
      <c r="U298" s="97"/>
      <c r="V298" s="118"/>
      <c r="W298" s="98"/>
      <c r="X298" s="98"/>
      <c r="Y298" s="118"/>
      <c r="Z298" s="89"/>
      <c r="AA298" s="122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U298" s="45"/>
    </row>
    <row r="299" spans="1:47" ht="12" customHeight="1" x14ac:dyDescent="0.3">
      <c r="A299" s="89"/>
      <c r="B299" s="93"/>
      <c r="C299" s="89"/>
      <c r="D299" s="89"/>
      <c r="E299" s="112"/>
      <c r="F299" s="220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4"/>
      <c r="R299" s="122"/>
      <c r="S299" s="95"/>
      <c r="T299" s="97"/>
      <c r="U299" s="97"/>
      <c r="V299" s="118"/>
      <c r="W299" s="98"/>
      <c r="X299" s="98"/>
      <c r="Y299" s="118"/>
      <c r="Z299" s="89"/>
      <c r="AA299" s="122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U299" s="45"/>
    </row>
    <row r="300" spans="1:47" ht="12" customHeight="1" x14ac:dyDescent="0.3">
      <c r="A300" s="89"/>
      <c r="B300" s="93"/>
      <c r="C300" s="89"/>
      <c r="D300" s="89"/>
      <c r="E300" s="112"/>
      <c r="F300" s="220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4"/>
      <c r="R300" s="122"/>
      <c r="S300" s="95"/>
      <c r="T300" s="97"/>
      <c r="U300" s="97"/>
      <c r="V300" s="118"/>
      <c r="W300" s="98"/>
      <c r="X300" s="98"/>
      <c r="Y300" s="118"/>
      <c r="Z300" s="89"/>
      <c r="AA300" s="122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U300" s="45"/>
    </row>
    <row r="301" spans="1:47" ht="12" customHeight="1" x14ac:dyDescent="0.3">
      <c r="A301" s="89"/>
      <c r="B301" s="93"/>
      <c r="C301" s="89"/>
      <c r="D301" s="89"/>
      <c r="E301" s="112"/>
      <c r="F301" s="220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4"/>
      <c r="R301" s="122"/>
      <c r="S301" s="95"/>
      <c r="T301" s="97"/>
      <c r="U301" s="97"/>
      <c r="V301" s="118"/>
      <c r="W301" s="98"/>
      <c r="X301" s="98"/>
      <c r="Y301" s="118"/>
      <c r="Z301" s="89"/>
      <c r="AA301" s="122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U301" s="45"/>
    </row>
    <row r="302" spans="1:47" ht="12" customHeight="1" x14ac:dyDescent="0.3">
      <c r="A302" s="89"/>
      <c r="B302" s="93"/>
      <c r="C302" s="89"/>
      <c r="D302" s="89"/>
      <c r="E302" s="112"/>
      <c r="F302" s="220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4"/>
      <c r="R302" s="122"/>
      <c r="S302" s="95"/>
      <c r="T302" s="97"/>
      <c r="U302" s="97"/>
      <c r="V302" s="118"/>
      <c r="W302" s="98"/>
      <c r="X302" s="98"/>
      <c r="Y302" s="118"/>
      <c r="Z302" s="89"/>
      <c r="AA302" s="122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U302" s="45"/>
    </row>
    <row r="303" spans="1:47" ht="12" customHeight="1" x14ac:dyDescent="0.3">
      <c r="A303" s="89"/>
      <c r="B303" s="93"/>
      <c r="C303" s="89"/>
      <c r="D303" s="89"/>
      <c r="E303" s="112"/>
      <c r="F303" s="220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4"/>
      <c r="R303" s="122"/>
      <c r="S303" s="95"/>
      <c r="T303" s="97"/>
      <c r="U303" s="97"/>
      <c r="V303" s="118"/>
      <c r="W303" s="98"/>
      <c r="X303" s="98"/>
      <c r="Y303" s="118"/>
      <c r="Z303" s="89"/>
      <c r="AA303" s="122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U303" s="45"/>
    </row>
    <row r="304" spans="1:47" ht="12" customHeight="1" x14ac:dyDescent="0.3">
      <c r="A304" s="89"/>
      <c r="B304" s="93"/>
      <c r="C304" s="89"/>
      <c r="D304" s="89"/>
      <c r="E304" s="112"/>
      <c r="F304" s="220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4"/>
      <c r="R304" s="122"/>
      <c r="S304" s="95"/>
      <c r="T304" s="97"/>
      <c r="U304" s="97"/>
      <c r="V304" s="118"/>
      <c r="W304" s="98"/>
      <c r="X304" s="98"/>
      <c r="Y304" s="118"/>
      <c r="Z304" s="89"/>
      <c r="AA304" s="122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U304" s="45"/>
    </row>
    <row r="305" spans="1:47" ht="12" customHeight="1" x14ac:dyDescent="0.3">
      <c r="A305" s="89"/>
      <c r="B305" s="93"/>
      <c r="C305" s="89"/>
      <c r="D305" s="89"/>
      <c r="E305" s="112"/>
      <c r="F305" s="220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4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U305" s="45"/>
    </row>
    <row r="306" spans="1:47" ht="12" customHeight="1" x14ac:dyDescent="0.3">
      <c r="A306" s="89"/>
      <c r="B306" s="93"/>
      <c r="C306" s="89"/>
      <c r="D306" s="89"/>
      <c r="E306" s="112"/>
      <c r="F306" s="220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4"/>
      <c r="R306" s="122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U306" s="45"/>
    </row>
    <row r="307" spans="1:47" ht="12" customHeight="1" x14ac:dyDescent="0.3">
      <c r="A307" s="89"/>
      <c r="B307" s="93"/>
      <c r="C307" s="89"/>
      <c r="D307" s="89"/>
      <c r="E307" s="112"/>
      <c r="F307" s="220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4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U307" s="45"/>
    </row>
    <row r="308" spans="1:47" ht="12" customHeight="1" x14ac:dyDescent="0.3">
      <c r="A308" s="89"/>
      <c r="B308" s="93"/>
      <c r="C308" s="89"/>
      <c r="D308" s="89"/>
      <c r="E308" s="112"/>
      <c r="F308" s="220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4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U308" s="45"/>
    </row>
    <row r="309" spans="1:47" ht="12" customHeight="1" x14ac:dyDescent="0.3">
      <c r="A309" s="89"/>
      <c r="B309" s="93"/>
      <c r="C309" s="89"/>
      <c r="D309" s="89"/>
      <c r="E309" s="112"/>
      <c r="F309" s="220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4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U309" s="45"/>
    </row>
    <row r="310" spans="1:47" ht="12" customHeight="1" x14ac:dyDescent="0.3">
      <c r="A310" s="89"/>
      <c r="B310" s="93"/>
      <c r="C310" s="89"/>
      <c r="D310" s="89"/>
      <c r="E310" s="112"/>
      <c r="F310" s="220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4"/>
      <c r="R310" s="122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U310" s="45"/>
    </row>
    <row r="311" spans="1:47" ht="12" customHeight="1" x14ac:dyDescent="0.3">
      <c r="A311" s="89"/>
      <c r="B311" s="93"/>
      <c r="C311" s="89"/>
      <c r="D311" s="89"/>
      <c r="E311" s="112"/>
      <c r="F311" s="220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4"/>
      <c r="R311" s="122"/>
      <c r="S311" s="95"/>
      <c r="T311" s="97"/>
      <c r="U311" s="97"/>
      <c r="V311" s="118"/>
      <c r="W311" s="98"/>
      <c r="X311" s="98"/>
      <c r="Y311" s="118"/>
      <c r="Z311" s="89"/>
      <c r="AA311" s="97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U311" s="45"/>
    </row>
    <row r="312" spans="1:47" ht="12" customHeight="1" x14ac:dyDescent="0.3">
      <c r="A312" s="89"/>
      <c r="B312" s="93"/>
      <c r="C312" s="89"/>
      <c r="D312" s="89"/>
      <c r="E312" s="112"/>
      <c r="F312" s="220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4"/>
      <c r="R312" s="122"/>
      <c r="S312" s="95"/>
      <c r="T312" s="97"/>
      <c r="U312" s="97"/>
      <c r="V312" s="118"/>
      <c r="W312" s="98"/>
      <c r="X312" s="98"/>
      <c r="Y312" s="118"/>
      <c r="Z312" s="89"/>
      <c r="AA312" s="97"/>
      <c r="AB312" s="89"/>
      <c r="AC312" s="120"/>
      <c r="AD312" s="89"/>
      <c r="AE312" s="89"/>
      <c r="AF312" s="119"/>
      <c r="AG312" s="119"/>
      <c r="AH312" s="119"/>
      <c r="AI312" s="100"/>
      <c r="AJ312" s="100"/>
      <c r="AK312" s="100"/>
      <c r="AU312" s="45"/>
    </row>
    <row r="313" spans="1:47" ht="12" customHeight="1" x14ac:dyDescent="0.3">
      <c r="A313" s="89"/>
      <c r="B313" s="93"/>
      <c r="C313" s="89"/>
      <c r="D313" s="89"/>
      <c r="E313" s="112"/>
      <c r="F313" s="220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4"/>
      <c r="R313" s="121"/>
      <c r="S313" s="95"/>
      <c r="T313" s="97"/>
      <c r="U313" s="97"/>
      <c r="V313" s="118"/>
      <c r="W313" s="98"/>
      <c r="X313" s="98"/>
      <c r="Y313" s="118"/>
      <c r="Z313" s="89"/>
      <c r="AA313" s="97"/>
      <c r="AB313" s="89"/>
      <c r="AC313" s="120"/>
      <c r="AD313" s="89"/>
      <c r="AE313" s="89"/>
      <c r="AF313" s="119"/>
      <c r="AG313" s="119"/>
      <c r="AH313" s="119"/>
      <c r="AI313" s="100"/>
      <c r="AJ313" s="100"/>
      <c r="AK313" s="100"/>
      <c r="AU313" s="45"/>
    </row>
    <row r="314" spans="1:47" ht="12" customHeight="1" x14ac:dyDescent="0.3">
      <c r="A314" s="89"/>
      <c r="B314" s="93"/>
      <c r="C314" s="89"/>
      <c r="D314" s="89"/>
      <c r="E314" s="112"/>
      <c r="F314" s="220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4"/>
      <c r="R314" s="122"/>
      <c r="S314" s="95"/>
      <c r="T314" s="97"/>
      <c r="U314" s="97"/>
      <c r="V314" s="118"/>
      <c r="W314" s="98"/>
      <c r="X314" s="98"/>
      <c r="Y314" s="118"/>
      <c r="Z314" s="89"/>
      <c r="AA314" s="97"/>
      <c r="AB314" s="89"/>
      <c r="AC314" s="120"/>
      <c r="AD314" s="89"/>
      <c r="AE314" s="89"/>
      <c r="AF314" s="119"/>
      <c r="AG314" s="119"/>
      <c r="AH314" s="119"/>
      <c r="AI314" s="100"/>
      <c r="AJ314" s="100"/>
      <c r="AK314" s="100"/>
      <c r="AU314" s="45"/>
    </row>
    <row r="315" spans="1:47" ht="12" customHeight="1" x14ac:dyDescent="0.3">
      <c r="A315" s="89"/>
      <c r="B315" s="93"/>
      <c r="C315" s="89"/>
      <c r="D315" s="89"/>
      <c r="E315" s="112"/>
      <c r="F315" s="220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4"/>
      <c r="R315" s="122"/>
      <c r="S315" s="95"/>
      <c r="T315" s="97"/>
      <c r="U315" s="97"/>
      <c r="V315" s="118"/>
      <c r="W315" s="98"/>
      <c r="X315" s="98"/>
      <c r="Y315" s="11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U315" s="45"/>
    </row>
    <row r="316" spans="1:47" ht="12" customHeight="1" x14ac:dyDescent="0.3">
      <c r="A316" s="89"/>
      <c r="B316" s="93"/>
      <c r="C316" s="89"/>
      <c r="D316" s="89"/>
      <c r="E316" s="112"/>
      <c r="F316" s="220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4"/>
      <c r="R316" s="122"/>
      <c r="S316" s="95"/>
      <c r="T316" s="97"/>
      <c r="U316" s="97"/>
      <c r="V316" s="118"/>
      <c r="W316" s="98"/>
      <c r="X316" s="98"/>
      <c r="Y316" s="11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U316" s="45"/>
    </row>
    <row r="317" spans="1:47" ht="12" customHeight="1" x14ac:dyDescent="0.3">
      <c r="A317" s="89"/>
      <c r="B317" s="93"/>
      <c r="C317" s="89"/>
      <c r="D317" s="89"/>
      <c r="E317" s="112"/>
      <c r="F317" s="220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4"/>
      <c r="R317" s="122"/>
      <c r="S317" s="95"/>
      <c r="T317" s="97"/>
      <c r="U317" s="97"/>
      <c r="V317" s="118"/>
      <c r="W317" s="98"/>
      <c r="X317" s="98"/>
      <c r="Y317" s="118"/>
      <c r="Z317" s="89"/>
      <c r="AA317" s="97"/>
      <c r="AB317" s="89"/>
      <c r="AC317" s="120"/>
      <c r="AD317" s="89"/>
      <c r="AE317" s="89"/>
      <c r="AF317" s="119"/>
      <c r="AG317" s="119"/>
      <c r="AH317" s="119"/>
      <c r="AI317" s="100"/>
      <c r="AJ317" s="100"/>
      <c r="AK317" s="100"/>
      <c r="AU317" s="45"/>
    </row>
    <row r="318" spans="1:47" ht="12" customHeight="1" x14ac:dyDescent="0.3">
      <c r="A318" s="89"/>
      <c r="B318" s="93"/>
      <c r="C318" s="89"/>
      <c r="D318" s="89"/>
      <c r="E318" s="112"/>
      <c r="F318" s="220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4"/>
      <c r="R318" s="121"/>
      <c r="S318" s="95"/>
      <c r="T318" s="97"/>
      <c r="U318" s="97"/>
      <c r="V318" s="118"/>
      <c r="W318" s="98"/>
      <c r="X318" s="98"/>
      <c r="Y318" s="118"/>
      <c r="Z318" s="89"/>
      <c r="AA318" s="97"/>
      <c r="AB318" s="89"/>
      <c r="AC318" s="120"/>
      <c r="AD318" s="89"/>
      <c r="AE318" s="89"/>
      <c r="AF318" s="119"/>
      <c r="AG318" s="119"/>
      <c r="AH318" s="119"/>
      <c r="AI318" s="100"/>
      <c r="AJ318" s="100"/>
      <c r="AK318" s="100"/>
      <c r="AU318" s="45"/>
    </row>
    <row r="319" spans="1:47" ht="12" customHeight="1" x14ac:dyDescent="0.3">
      <c r="A319" s="89"/>
      <c r="B319" s="93"/>
      <c r="C319" s="89"/>
      <c r="D319" s="89"/>
      <c r="E319" s="112"/>
      <c r="F319" s="220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4"/>
      <c r="R319" s="122"/>
      <c r="S319" s="95"/>
      <c r="T319" s="97"/>
      <c r="U319" s="97"/>
      <c r="V319" s="118"/>
      <c r="W319" s="98"/>
      <c r="X319" s="98"/>
      <c r="Y319" s="118"/>
      <c r="Z319" s="89"/>
      <c r="AA319" s="97"/>
      <c r="AB319" s="89"/>
      <c r="AC319" s="120"/>
      <c r="AD319" s="89"/>
      <c r="AE319" s="89"/>
      <c r="AF319" s="119"/>
      <c r="AG319" s="119"/>
      <c r="AH319" s="119"/>
      <c r="AI319" s="100"/>
      <c r="AJ319" s="100"/>
      <c r="AK319" s="100"/>
      <c r="AU319" s="45"/>
    </row>
    <row r="320" spans="1:47" ht="12" customHeight="1" x14ac:dyDescent="0.3">
      <c r="A320" s="89"/>
      <c r="B320" s="93"/>
      <c r="C320" s="89"/>
      <c r="D320" s="89"/>
      <c r="E320" s="112"/>
      <c r="F320" s="220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4"/>
      <c r="R320" s="122"/>
      <c r="S320" s="95"/>
      <c r="T320" s="97"/>
      <c r="U320" s="97"/>
      <c r="V320" s="118"/>
      <c r="W320" s="98"/>
      <c r="X320" s="98"/>
      <c r="Y320" s="118"/>
      <c r="Z320" s="89"/>
      <c r="AA320" s="97"/>
      <c r="AB320" s="89"/>
      <c r="AC320" s="120"/>
      <c r="AD320" s="89"/>
      <c r="AE320" s="89"/>
      <c r="AF320" s="119"/>
      <c r="AG320" s="119"/>
      <c r="AH320" s="119"/>
      <c r="AI320" s="100"/>
      <c r="AJ320" s="100"/>
      <c r="AK320" s="100"/>
      <c r="AU320" s="45"/>
    </row>
    <row r="321" spans="1:47" ht="12" customHeight="1" x14ac:dyDescent="0.3">
      <c r="A321" s="89"/>
      <c r="B321" s="93"/>
      <c r="C321" s="89"/>
      <c r="D321" s="89"/>
      <c r="E321" s="112"/>
      <c r="F321" s="220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4"/>
      <c r="R321" s="122"/>
      <c r="S321" s="95"/>
      <c r="T321" s="97"/>
      <c r="U321" s="97"/>
      <c r="V321" s="118"/>
      <c r="W321" s="98"/>
      <c r="X321" s="98"/>
      <c r="Y321" s="118"/>
      <c r="Z321" s="89"/>
      <c r="AA321" s="97"/>
      <c r="AB321" s="89"/>
      <c r="AC321" s="120"/>
      <c r="AD321" s="89"/>
      <c r="AE321" s="89"/>
      <c r="AF321" s="119"/>
      <c r="AG321" s="119"/>
      <c r="AH321" s="119"/>
      <c r="AI321" s="100"/>
      <c r="AJ321" s="100"/>
      <c r="AK321" s="100"/>
      <c r="AU321" s="45"/>
    </row>
    <row r="322" spans="1:47" ht="12" customHeight="1" x14ac:dyDescent="0.3">
      <c r="A322" s="89"/>
      <c r="B322" s="93"/>
      <c r="C322" s="89"/>
      <c r="D322" s="89"/>
      <c r="E322" s="112"/>
      <c r="F322" s="220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4"/>
      <c r="R322" s="121"/>
      <c r="S322" s="95"/>
      <c r="T322" s="97"/>
      <c r="U322" s="97"/>
      <c r="V322" s="118"/>
      <c r="W322" s="98"/>
      <c r="X322" s="98"/>
      <c r="Y322" s="118"/>
      <c r="Z322" s="89"/>
      <c r="AA322" s="97"/>
      <c r="AB322" s="89"/>
      <c r="AC322" s="120"/>
      <c r="AD322" s="89"/>
      <c r="AE322" s="89"/>
      <c r="AF322" s="119"/>
      <c r="AG322" s="119"/>
      <c r="AH322" s="119"/>
      <c r="AI322" s="100"/>
      <c r="AJ322" s="100"/>
      <c r="AK322" s="100"/>
      <c r="AU322" s="45"/>
    </row>
    <row r="323" spans="1:47" ht="12" customHeight="1" x14ac:dyDescent="0.3">
      <c r="A323" s="89"/>
      <c r="B323" s="93"/>
      <c r="C323" s="89"/>
      <c r="D323" s="89"/>
      <c r="E323" s="112"/>
      <c r="F323" s="220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4"/>
      <c r="R323" s="122"/>
      <c r="S323" s="122"/>
      <c r="T323" s="97"/>
      <c r="U323" s="97"/>
      <c r="V323" s="118"/>
      <c r="W323" s="98"/>
      <c r="X323" s="98"/>
      <c r="Y323" s="118"/>
      <c r="Z323" s="89"/>
      <c r="AA323" s="122"/>
      <c r="AB323" s="89"/>
      <c r="AC323" s="120"/>
      <c r="AD323" s="89"/>
      <c r="AE323" s="89"/>
      <c r="AF323" s="119"/>
      <c r="AG323" s="119"/>
      <c r="AH323" s="119"/>
      <c r="AI323" s="100"/>
      <c r="AJ323" s="100"/>
      <c r="AK323" s="100"/>
      <c r="AU323" s="45"/>
    </row>
    <row r="324" spans="1:47" ht="12" customHeight="1" x14ac:dyDescent="0.3">
      <c r="A324" s="89"/>
      <c r="B324" s="93"/>
      <c r="C324" s="89"/>
      <c r="D324" s="89"/>
      <c r="E324" s="112"/>
      <c r="F324" s="220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5"/>
      <c r="R324" s="122"/>
      <c r="S324" s="97"/>
      <c r="T324" s="97"/>
      <c r="U324" s="97"/>
      <c r="V324" s="118"/>
      <c r="W324" s="118"/>
      <c r="X324" s="98"/>
      <c r="Y324" s="118"/>
      <c r="Z324" s="89"/>
      <c r="AA324" s="97"/>
      <c r="AB324" s="89"/>
      <c r="AC324" s="120"/>
      <c r="AD324" s="89"/>
      <c r="AE324" s="89"/>
      <c r="AF324" s="117"/>
      <c r="AG324" s="117"/>
      <c r="AH324" s="117"/>
      <c r="AI324" s="100"/>
      <c r="AJ324" s="100"/>
      <c r="AK324" s="100"/>
      <c r="AU324" s="45"/>
    </row>
    <row r="325" spans="1:47" ht="12" customHeight="1" x14ac:dyDescent="0.3">
      <c r="A325" s="89"/>
      <c r="B325" s="93"/>
      <c r="C325" s="89"/>
      <c r="D325" s="89"/>
      <c r="E325" s="112"/>
      <c r="F325" s="220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5"/>
      <c r="R325" s="115"/>
      <c r="S325" s="116"/>
      <c r="T325" s="97"/>
      <c r="U325" s="97"/>
      <c r="V325" s="98"/>
      <c r="W325" s="118"/>
      <c r="X325" s="98"/>
      <c r="Y325" s="98"/>
      <c r="Z325" s="89"/>
      <c r="AA325" s="97"/>
      <c r="AB325" s="89"/>
      <c r="AC325" s="120"/>
      <c r="AD325" s="89"/>
      <c r="AE325" s="89"/>
      <c r="AF325" s="117"/>
      <c r="AG325" s="119"/>
      <c r="AH325" s="117"/>
      <c r="AI325" s="100"/>
      <c r="AJ325" s="100"/>
      <c r="AK325" s="100"/>
      <c r="AU325" s="45"/>
    </row>
    <row r="326" spans="1:47" ht="12" customHeight="1" x14ac:dyDescent="0.3">
      <c r="A326" s="89"/>
      <c r="B326" s="93"/>
      <c r="C326" s="89"/>
      <c r="D326" s="89"/>
      <c r="E326" s="112"/>
      <c r="F326" s="220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5"/>
      <c r="R326" s="115"/>
      <c r="S326" s="116"/>
      <c r="T326" s="97"/>
      <c r="U326" s="97"/>
      <c r="V326" s="98"/>
      <c r="W326" s="118"/>
      <c r="X326" s="98"/>
      <c r="Y326" s="98"/>
      <c r="Z326" s="89"/>
      <c r="AA326" s="97"/>
      <c r="AB326" s="89"/>
      <c r="AC326" s="120"/>
      <c r="AD326" s="89"/>
      <c r="AE326" s="89"/>
      <c r="AF326" s="117"/>
      <c r="AG326" s="119"/>
      <c r="AH326" s="117"/>
      <c r="AI326" s="100"/>
      <c r="AJ326" s="100"/>
      <c r="AK326" s="100"/>
      <c r="AU326" s="45"/>
    </row>
    <row r="327" spans="1:47" ht="12" customHeight="1" x14ac:dyDescent="0.3">
      <c r="A327" s="89"/>
      <c r="B327" s="93"/>
      <c r="C327" s="89"/>
      <c r="D327" s="89"/>
      <c r="E327" s="112"/>
      <c r="F327" s="220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4"/>
      <c r="R327" s="121"/>
      <c r="S327" s="121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U327" s="45"/>
    </row>
    <row r="328" spans="1:47" ht="12" customHeight="1" x14ac:dyDescent="0.3">
      <c r="A328" s="89"/>
      <c r="B328" s="93"/>
      <c r="C328" s="89"/>
      <c r="D328" s="89"/>
      <c r="E328" s="112"/>
      <c r="F328" s="220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4"/>
      <c r="R328" s="121"/>
      <c r="S328" s="121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U328" s="45"/>
    </row>
    <row r="329" spans="1:47" ht="12" customHeight="1" x14ac:dyDescent="0.3">
      <c r="A329" s="89"/>
      <c r="B329" s="93"/>
      <c r="C329" s="89"/>
      <c r="D329" s="89"/>
      <c r="E329" s="112"/>
      <c r="F329" s="220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5"/>
      <c r="R329" s="115"/>
      <c r="S329" s="116"/>
      <c r="T329" s="97"/>
      <c r="U329" s="97"/>
      <c r="V329" s="98"/>
      <c r="W329" s="118"/>
      <c r="X329" s="98"/>
      <c r="Y329" s="98"/>
      <c r="Z329" s="89"/>
      <c r="AA329" s="97"/>
      <c r="AB329" s="89"/>
      <c r="AC329" s="120"/>
      <c r="AD329" s="89"/>
      <c r="AE329" s="89"/>
      <c r="AF329" s="117"/>
      <c r="AG329" s="117"/>
      <c r="AH329" s="119"/>
      <c r="AI329" s="100"/>
      <c r="AJ329" s="100"/>
      <c r="AK329" s="100"/>
      <c r="AU329" s="45"/>
    </row>
    <row r="330" spans="1:47" ht="12" customHeight="1" x14ac:dyDescent="0.3">
      <c r="A330" s="89"/>
      <c r="B330" s="93"/>
      <c r="C330" s="89"/>
      <c r="D330" s="89"/>
      <c r="E330" s="112"/>
      <c r="F330" s="220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5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7"/>
      <c r="AH330" s="119"/>
      <c r="AI330" s="100"/>
      <c r="AJ330" s="100"/>
      <c r="AK330" s="100"/>
      <c r="AU330" s="45"/>
    </row>
    <row r="331" spans="1:47" ht="12" customHeight="1" x14ac:dyDescent="0.3">
      <c r="A331" s="89"/>
      <c r="B331" s="93"/>
      <c r="C331" s="89"/>
      <c r="D331" s="89"/>
      <c r="E331" s="112"/>
      <c r="F331" s="220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5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117"/>
      <c r="AG331" s="117"/>
      <c r="AH331" s="119"/>
      <c r="AI331" s="100"/>
      <c r="AJ331" s="100"/>
      <c r="AK331" s="100"/>
      <c r="AU331" s="45"/>
    </row>
    <row r="332" spans="1:47" ht="12" customHeight="1" x14ac:dyDescent="0.3">
      <c r="A332" s="89"/>
      <c r="B332" s="93"/>
      <c r="C332" s="89"/>
      <c r="D332" s="89"/>
      <c r="E332" s="112"/>
      <c r="F332" s="220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5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117"/>
      <c r="AG332" s="117"/>
      <c r="AH332" s="119"/>
      <c r="AI332" s="100"/>
      <c r="AJ332" s="100"/>
      <c r="AK332" s="100"/>
      <c r="AU332" s="45"/>
    </row>
    <row r="333" spans="1:47" ht="12" customHeight="1" x14ac:dyDescent="0.3">
      <c r="A333" s="89"/>
      <c r="B333" s="93"/>
      <c r="C333" s="89"/>
      <c r="D333" s="89"/>
      <c r="E333" s="112"/>
      <c r="F333" s="220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5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117"/>
      <c r="AG333" s="117"/>
      <c r="AH333" s="119"/>
      <c r="AI333" s="100"/>
      <c r="AJ333" s="100"/>
      <c r="AK333" s="100"/>
      <c r="AU333" s="45"/>
    </row>
    <row r="334" spans="1:47" ht="12" customHeight="1" x14ac:dyDescent="0.3">
      <c r="A334" s="89"/>
      <c r="B334" s="93"/>
      <c r="C334" s="89"/>
      <c r="D334" s="89"/>
      <c r="E334" s="112"/>
      <c r="F334" s="220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5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7"/>
      <c r="AH334" s="119"/>
      <c r="AI334" s="100"/>
      <c r="AJ334" s="100"/>
      <c r="AK334" s="100"/>
      <c r="AU334" s="45"/>
    </row>
    <row r="335" spans="1:47" ht="12" customHeight="1" x14ac:dyDescent="0.3">
      <c r="A335" s="89"/>
      <c r="B335" s="93"/>
      <c r="C335" s="89"/>
      <c r="D335" s="89"/>
      <c r="E335" s="112"/>
      <c r="F335" s="220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5"/>
      <c r="R335" s="115"/>
      <c r="S335" s="116"/>
      <c r="T335" s="97"/>
      <c r="U335" s="97"/>
      <c r="V335" s="98"/>
      <c r="W335" s="118"/>
      <c r="X335" s="98"/>
      <c r="Y335" s="98"/>
      <c r="Z335" s="89"/>
      <c r="AA335" s="97"/>
      <c r="AB335" s="89"/>
      <c r="AC335" s="120"/>
      <c r="AD335" s="89"/>
      <c r="AE335" s="89"/>
      <c r="AF335" s="117"/>
      <c r="AG335" s="117"/>
      <c r="AH335" s="119"/>
      <c r="AI335" s="100"/>
      <c r="AJ335" s="100"/>
      <c r="AK335" s="100"/>
      <c r="AU335" s="45"/>
    </row>
    <row r="336" spans="1:47" ht="12" customHeight="1" x14ac:dyDescent="0.3">
      <c r="A336" s="89"/>
      <c r="B336" s="93"/>
      <c r="C336" s="89"/>
      <c r="D336" s="89"/>
      <c r="E336" s="112"/>
      <c r="F336" s="220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4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119"/>
      <c r="AG336" s="119"/>
      <c r="AH336" s="119"/>
      <c r="AI336" s="100"/>
      <c r="AJ336" s="100"/>
      <c r="AK336" s="100"/>
      <c r="AU336" s="45"/>
    </row>
    <row r="337" spans="1:47" ht="12" customHeight="1" x14ac:dyDescent="0.3">
      <c r="A337" s="89"/>
      <c r="B337" s="93"/>
      <c r="C337" s="89"/>
      <c r="D337" s="89"/>
      <c r="E337" s="112"/>
      <c r="F337" s="220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4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U337" s="45"/>
    </row>
    <row r="338" spans="1:47" ht="12" customHeight="1" x14ac:dyDescent="0.3">
      <c r="A338" s="89"/>
      <c r="B338" s="93"/>
      <c r="C338" s="89"/>
      <c r="D338" s="89"/>
      <c r="E338" s="112"/>
      <c r="F338" s="220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4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U338" s="45"/>
    </row>
    <row r="339" spans="1:47" ht="12" customHeight="1" x14ac:dyDescent="0.3">
      <c r="A339" s="89"/>
      <c r="B339" s="93"/>
      <c r="C339" s="89"/>
      <c r="D339" s="89"/>
      <c r="E339" s="112"/>
      <c r="F339" s="220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4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U339" s="45"/>
    </row>
    <row r="340" spans="1:47" ht="12" customHeight="1" x14ac:dyDescent="0.3">
      <c r="A340" s="89"/>
      <c r="B340" s="93"/>
      <c r="C340" s="89"/>
      <c r="D340" s="89"/>
      <c r="E340" s="112"/>
      <c r="F340" s="220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4"/>
      <c r="R340" s="121"/>
      <c r="S340" s="116"/>
      <c r="T340" s="97"/>
      <c r="U340" s="97"/>
      <c r="V340" s="98"/>
      <c r="W340" s="98"/>
      <c r="X340" s="98"/>
      <c r="Y340" s="98"/>
      <c r="Z340" s="89"/>
      <c r="AA340" s="97"/>
      <c r="AB340" s="89"/>
      <c r="AC340" s="120"/>
      <c r="AD340" s="89"/>
      <c r="AE340" s="89"/>
      <c r="AF340" s="119"/>
      <c r="AG340" s="119"/>
      <c r="AH340" s="119"/>
      <c r="AI340" s="100"/>
      <c r="AJ340" s="100"/>
      <c r="AK340" s="100"/>
      <c r="AU340" s="45"/>
    </row>
    <row r="341" spans="1:47" ht="12" customHeight="1" x14ac:dyDescent="0.3">
      <c r="A341" s="89"/>
      <c r="B341" s="93"/>
      <c r="C341" s="89"/>
      <c r="D341" s="89"/>
      <c r="E341" s="112"/>
      <c r="F341" s="220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4"/>
      <c r="R341" s="121"/>
      <c r="S341" s="116"/>
      <c r="T341" s="97"/>
      <c r="U341" s="97"/>
      <c r="V341" s="98"/>
      <c r="W341" s="98"/>
      <c r="X341" s="98"/>
      <c r="Y341" s="98"/>
      <c r="Z341" s="89"/>
      <c r="AA341" s="97"/>
      <c r="AB341" s="89"/>
      <c r="AC341" s="120"/>
      <c r="AD341" s="89"/>
      <c r="AE341" s="89"/>
      <c r="AF341" s="119"/>
      <c r="AG341" s="119"/>
      <c r="AH341" s="119"/>
      <c r="AI341" s="100"/>
      <c r="AJ341" s="100"/>
      <c r="AK341" s="100"/>
      <c r="AU341" s="45"/>
    </row>
    <row r="342" spans="1:47" ht="12" customHeight="1" x14ac:dyDescent="0.3">
      <c r="A342" s="89"/>
      <c r="B342" s="93"/>
      <c r="C342" s="89"/>
      <c r="D342" s="89"/>
      <c r="E342" s="112"/>
      <c r="F342" s="220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5"/>
      <c r="R342" s="115"/>
      <c r="S342" s="116"/>
      <c r="T342" s="97"/>
      <c r="U342" s="97"/>
      <c r="V342" s="98"/>
      <c r="W342" s="11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U342" s="45"/>
    </row>
    <row r="343" spans="1:47" ht="12" customHeight="1" x14ac:dyDescent="0.3">
      <c r="A343" s="89"/>
      <c r="B343" s="93"/>
      <c r="C343" s="89"/>
      <c r="D343" s="89"/>
      <c r="E343" s="112"/>
      <c r="F343" s="220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4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119"/>
      <c r="AG343" s="119"/>
      <c r="AH343" s="119"/>
      <c r="AI343" s="100"/>
      <c r="AJ343" s="100"/>
      <c r="AK343" s="100"/>
      <c r="AU343" s="45"/>
    </row>
    <row r="344" spans="1:47" ht="12" customHeight="1" x14ac:dyDescent="0.3">
      <c r="A344" s="89"/>
      <c r="B344" s="93"/>
      <c r="C344" s="89"/>
      <c r="D344" s="89"/>
      <c r="E344" s="112"/>
      <c r="F344" s="220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4"/>
      <c r="R344" s="121"/>
      <c r="S344" s="116"/>
      <c r="T344" s="97"/>
      <c r="U344" s="97"/>
      <c r="V344" s="98"/>
      <c r="W344" s="98"/>
      <c r="X344" s="98"/>
      <c r="Y344" s="98"/>
      <c r="Z344" s="89"/>
      <c r="AA344" s="97"/>
      <c r="AB344" s="89"/>
      <c r="AC344" s="120"/>
      <c r="AD344" s="89"/>
      <c r="AE344" s="89"/>
      <c r="AF344" s="119"/>
      <c r="AG344" s="119"/>
      <c r="AH344" s="119"/>
      <c r="AI344" s="100"/>
      <c r="AJ344" s="100"/>
      <c r="AK344" s="100"/>
      <c r="AU344" s="45"/>
    </row>
    <row r="345" spans="1:47" ht="12" customHeight="1" x14ac:dyDescent="0.3">
      <c r="A345" s="89"/>
      <c r="B345" s="93"/>
      <c r="C345" s="89"/>
      <c r="D345" s="89"/>
      <c r="E345" s="112"/>
      <c r="F345" s="220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4"/>
      <c r="R345" s="121"/>
      <c r="S345" s="116"/>
      <c r="T345" s="97"/>
      <c r="U345" s="97"/>
      <c r="V345" s="98"/>
      <c r="W345" s="98"/>
      <c r="X345" s="98"/>
      <c r="Y345" s="98"/>
      <c r="Z345" s="89"/>
      <c r="AA345" s="97"/>
      <c r="AB345" s="89"/>
      <c r="AC345" s="120"/>
      <c r="AD345" s="89"/>
      <c r="AE345" s="89"/>
      <c r="AF345" s="119"/>
      <c r="AG345" s="119"/>
      <c r="AH345" s="119"/>
      <c r="AI345" s="100"/>
      <c r="AJ345" s="100"/>
      <c r="AK345" s="100"/>
      <c r="AU345" s="45"/>
    </row>
    <row r="346" spans="1:47" ht="12" customHeight="1" x14ac:dyDescent="0.3">
      <c r="A346" s="89"/>
      <c r="B346" s="93"/>
      <c r="C346" s="89"/>
      <c r="D346" s="89"/>
      <c r="E346" s="112"/>
      <c r="F346" s="220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5"/>
      <c r="R346" s="115"/>
      <c r="S346" s="116"/>
      <c r="T346" s="97"/>
      <c r="U346" s="97"/>
      <c r="V346" s="98"/>
      <c r="W346" s="11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U346" s="45"/>
    </row>
    <row r="347" spans="1:47" ht="12" customHeight="1" x14ac:dyDescent="0.3">
      <c r="A347" s="89"/>
      <c r="B347" s="93"/>
      <c r="C347" s="89"/>
      <c r="D347" s="89"/>
      <c r="E347" s="112"/>
      <c r="F347" s="220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4"/>
      <c r="R347" s="121"/>
      <c r="S347" s="116"/>
      <c r="T347" s="97"/>
      <c r="U347" s="97"/>
      <c r="V347" s="98"/>
      <c r="W347" s="98"/>
      <c r="X347" s="98"/>
      <c r="Y347" s="98"/>
      <c r="Z347" s="89"/>
      <c r="AA347" s="97"/>
      <c r="AB347" s="89"/>
      <c r="AC347" s="120"/>
      <c r="AD347" s="89"/>
      <c r="AE347" s="89"/>
      <c r="AF347" s="119"/>
      <c r="AG347" s="119"/>
      <c r="AH347" s="119"/>
      <c r="AI347" s="100"/>
      <c r="AJ347" s="100"/>
      <c r="AK347" s="100"/>
      <c r="AU347" s="45"/>
    </row>
    <row r="348" spans="1:47" ht="12" customHeight="1" x14ac:dyDescent="0.3">
      <c r="A348" s="89"/>
      <c r="B348" s="93"/>
      <c r="C348" s="89"/>
      <c r="D348" s="89"/>
      <c r="E348" s="112"/>
      <c r="F348" s="220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5"/>
      <c r="R348" s="115"/>
      <c r="S348" s="116"/>
      <c r="T348" s="97"/>
      <c r="U348" s="97"/>
      <c r="V348" s="98"/>
      <c r="W348" s="11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U348" s="45"/>
    </row>
    <row r="349" spans="1:47" ht="12" customHeight="1" x14ac:dyDescent="0.3">
      <c r="A349" s="89"/>
      <c r="B349" s="93"/>
      <c r="C349" s="89"/>
      <c r="D349" s="89"/>
      <c r="E349" s="112"/>
      <c r="F349" s="220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4"/>
      <c r="R349" s="121"/>
      <c r="S349" s="116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119"/>
      <c r="AG349" s="119"/>
      <c r="AH349" s="119"/>
      <c r="AI349" s="100"/>
      <c r="AJ349" s="100"/>
      <c r="AK349" s="100"/>
      <c r="AU349" s="45"/>
    </row>
    <row r="350" spans="1:47" ht="12" customHeight="1" x14ac:dyDescent="0.3">
      <c r="A350" s="89"/>
      <c r="B350" s="93"/>
      <c r="C350" s="89"/>
      <c r="D350" s="89"/>
      <c r="E350" s="112"/>
      <c r="F350" s="220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4"/>
      <c r="R350" s="121"/>
      <c r="S350" s="121"/>
      <c r="T350" s="97"/>
      <c r="U350" s="97"/>
      <c r="V350" s="98"/>
      <c r="W350" s="98"/>
      <c r="X350" s="98"/>
      <c r="Y350" s="98"/>
      <c r="Z350" s="89"/>
      <c r="AA350" s="97"/>
      <c r="AB350" s="89"/>
      <c r="AC350" s="120"/>
      <c r="AD350" s="89"/>
      <c r="AE350" s="89"/>
      <c r="AF350" s="119"/>
      <c r="AG350" s="119"/>
      <c r="AH350" s="119"/>
      <c r="AI350" s="100"/>
      <c r="AJ350" s="100"/>
      <c r="AK350" s="100"/>
      <c r="AU350" s="45"/>
    </row>
    <row r="351" spans="1:47" ht="12" customHeight="1" x14ac:dyDescent="0.3">
      <c r="A351" s="89"/>
      <c r="B351" s="93"/>
      <c r="C351" s="89"/>
      <c r="D351" s="89"/>
      <c r="E351" s="112"/>
      <c r="F351" s="220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4"/>
      <c r="R351" s="121"/>
      <c r="S351" s="121"/>
      <c r="T351" s="97"/>
      <c r="U351" s="97"/>
      <c r="V351" s="98"/>
      <c r="W351" s="98"/>
      <c r="X351" s="98"/>
      <c r="Y351" s="98"/>
      <c r="Z351" s="89"/>
      <c r="AA351" s="97"/>
      <c r="AB351" s="89"/>
      <c r="AC351" s="120"/>
      <c r="AD351" s="89"/>
      <c r="AE351" s="89"/>
      <c r="AF351" s="119"/>
      <c r="AG351" s="119"/>
      <c r="AH351" s="119"/>
      <c r="AI351" s="100"/>
      <c r="AJ351" s="100"/>
      <c r="AK351" s="100"/>
      <c r="AU351" s="45"/>
    </row>
    <row r="352" spans="1:47" ht="12" customHeight="1" x14ac:dyDescent="0.3">
      <c r="A352" s="89"/>
      <c r="B352" s="93"/>
      <c r="C352" s="89"/>
      <c r="D352" s="89"/>
      <c r="E352" s="112"/>
      <c r="F352" s="220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5"/>
      <c r="R352" s="121"/>
      <c r="S352" s="116"/>
      <c r="T352" s="97"/>
      <c r="U352" s="97"/>
      <c r="V352" s="98"/>
      <c r="W352" s="11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9"/>
      <c r="AH352" s="117"/>
      <c r="AI352" s="100"/>
      <c r="AJ352" s="100"/>
      <c r="AK352" s="100"/>
      <c r="AU352" s="45"/>
    </row>
    <row r="353" spans="1:47" ht="12" customHeight="1" x14ac:dyDescent="0.3">
      <c r="A353" s="89"/>
      <c r="B353" s="93"/>
      <c r="C353" s="89"/>
      <c r="D353" s="89"/>
      <c r="E353" s="112"/>
      <c r="F353" s="220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5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U353" s="45"/>
    </row>
    <row r="354" spans="1:47" ht="12" customHeight="1" x14ac:dyDescent="0.3">
      <c r="A354" s="89"/>
      <c r="B354" s="93"/>
      <c r="C354" s="89"/>
      <c r="D354" s="89"/>
      <c r="E354" s="112"/>
      <c r="F354" s="220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5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9"/>
      <c r="AH354" s="117"/>
      <c r="AI354" s="100"/>
      <c r="AJ354" s="100"/>
      <c r="AK354" s="100"/>
      <c r="AU354" s="45"/>
    </row>
    <row r="355" spans="1:47" ht="12" customHeight="1" x14ac:dyDescent="0.3">
      <c r="A355" s="89"/>
      <c r="B355" s="93"/>
      <c r="C355" s="89"/>
      <c r="D355" s="89"/>
      <c r="E355" s="112"/>
      <c r="F355" s="220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5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U355" s="45"/>
    </row>
    <row r="356" spans="1:47" ht="12" customHeight="1" x14ac:dyDescent="0.3">
      <c r="A356" s="89"/>
      <c r="B356" s="93"/>
      <c r="C356" s="89"/>
      <c r="D356" s="89"/>
      <c r="E356" s="112"/>
      <c r="F356" s="220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5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U356" s="45"/>
    </row>
    <row r="357" spans="1:47" ht="12" customHeight="1" x14ac:dyDescent="0.3">
      <c r="A357" s="89"/>
      <c r="B357" s="93"/>
      <c r="C357" s="89"/>
      <c r="D357" s="89"/>
      <c r="E357" s="112"/>
      <c r="F357" s="220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5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9"/>
      <c r="AH357" s="117"/>
      <c r="AI357" s="100"/>
      <c r="AJ357" s="100"/>
      <c r="AK357" s="100"/>
      <c r="AU357" s="45"/>
    </row>
    <row r="358" spans="1:47" ht="12" customHeight="1" x14ac:dyDescent="0.3">
      <c r="A358" s="89"/>
      <c r="B358" s="93"/>
      <c r="C358" s="89"/>
      <c r="D358" s="89"/>
      <c r="E358" s="112"/>
      <c r="F358" s="220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5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U358" s="45"/>
    </row>
    <row r="359" spans="1:47" ht="12" customHeight="1" x14ac:dyDescent="0.3">
      <c r="A359" s="89"/>
      <c r="B359" s="93"/>
      <c r="C359" s="89"/>
      <c r="D359" s="89"/>
      <c r="E359" s="112"/>
      <c r="F359" s="220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5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U359" s="45"/>
    </row>
    <row r="360" spans="1:47" ht="12" customHeight="1" x14ac:dyDescent="0.3">
      <c r="A360" s="89"/>
      <c r="B360" s="93"/>
      <c r="C360" s="89"/>
      <c r="D360" s="89"/>
      <c r="E360" s="112"/>
      <c r="F360" s="220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5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U360" s="45"/>
    </row>
    <row r="361" spans="1:47" ht="12" customHeight="1" x14ac:dyDescent="0.3">
      <c r="A361" s="89"/>
      <c r="B361" s="93"/>
      <c r="C361" s="89"/>
      <c r="D361" s="89"/>
      <c r="E361" s="112"/>
      <c r="F361" s="220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5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U361" s="45"/>
    </row>
    <row r="362" spans="1:47" ht="12" customHeight="1" x14ac:dyDescent="0.3">
      <c r="A362" s="89"/>
      <c r="B362" s="93"/>
      <c r="C362" s="89"/>
      <c r="D362" s="89"/>
      <c r="E362" s="112"/>
      <c r="F362" s="220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5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7"/>
      <c r="AH362" s="117"/>
      <c r="AI362" s="100"/>
      <c r="AJ362" s="100"/>
      <c r="AK362" s="100"/>
      <c r="AU362" s="45"/>
    </row>
    <row r="363" spans="1:47" ht="12" customHeight="1" x14ac:dyDescent="0.3">
      <c r="A363" s="89"/>
      <c r="B363" s="93"/>
      <c r="C363" s="89"/>
      <c r="D363" s="89"/>
      <c r="E363" s="112"/>
      <c r="F363" s="220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5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7"/>
      <c r="AH363" s="117"/>
      <c r="AI363" s="100"/>
      <c r="AJ363" s="100"/>
      <c r="AK363" s="100"/>
      <c r="AU363" s="45"/>
    </row>
    <row r="364" spans="1:47" ht="12" customHeight="1" x14ac:dyDescent="0.3">
      <c r="A364" s="89"/>
      <c r="B364" s="93"/>
      <c r="C364" s="89"/>
      <c r="D364" s="89"/>
      <c r="E364" s="112"/>
      <c r="F364" s="220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5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7"/>
      <c r="AH364" s="117"/>
      <c r="AI364" s="100"/>
      <c r="AJ364" s="100"/>
      <c r="AK364" s="100"/>
      <c r="AU364" s="45"/>
    </row>
    <row r="365" spans="1:47" ht="12" customHeight="1" x14ac:dyDescent="0.3">
      <c r="A365" s="89"/>
      <c r="B365" s="93"/>
      <c r="C365" s="89"/>
      <c r="D365" s="89"/>
      <c r="E365" s="112"/>
      <c r="F365" s="220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5"/>
      <c r="R365" s="121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U365" s="45"/>
    </row>
    <row r="366" spans="1:47" ht="12" customHeight="1" x14ac:dyDescent="0.3">
      <c r="A366" s="89"/>
      <c r="B366" s="93"/>
      <c r="C366" s="89"/>
      <c r="D366" s="89"/>
      <c r="E366" s="112"/>
      <c r="F366" s="220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5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7"/>
      <c r="AH366" s="117"/>
      <c r="AI366" s="100"/>
      <c r="AJ366" s="100"/>
      <c r="AK366" s="100"/>
      <c r="AU366" s="45"/>
    </row>
    <row r="367" spans="1:47" ht="12" customHeight="1" x14ac:dyDescent="0.3">
      <c r="A367" s="89"/>
      <c r="B367" s="93"/>
      <c r="C367" s="89"/>
      <c r="D367" s="89"/>
      <c r="E367" s="112"/>
      <c r="F367" s="220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5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U367" s="45"/>
    </row>
    <row r="368" spans="1:47" ht="12" customHeight="1" x14ac:dyDescent="0.3">
      <c r="A368" s="89"/>
      <c r="B368" s="93"/>
      <c r="C368" s="89"/>
      <c r="D368" s="89"/>
      <c r="E368" s="112"/>
      <c r="F368" s="220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5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9"/>
      <c r="AH368" s="117"/>
      <c r="AI368" s="100"/>
      <c r="AJ368" s="100"/>
      <c r="AK368" s="100"/>
      <c r="AU368" s="45"/>
    </row>
    <row r="369" spans="1:47" ht="12" customHeight="1" x14ac:dyDescent="0.3">
      <c r="A369" s="89"/>
      <c r="B369" s="93"/>
      <c r="C369" s="89"/>
      <c r="D369" s="89"/>
      <c r="E369" s="112"/>
      <c r="F369" s="220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5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U369" s="45"/>
    </row>
    <row r="370" spans="1:47" ht="12" customHeight="1" x14ac:dyDescent="0.3">
      <c r="A370" s="89"/>
      <c r="B370" s="197"/>
      <c r="C370" s="89"/>
      <c r="D370" s="89"/>
      <c r="E370" s="112"/>
      <c r="F370" s="220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5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9"/>
      <c r="AH370" s="117"/>
      <c r="AI370" s="100"/>
      <c r="AJ370" s="100"/>
      <c r="AK370" s="100"/>
      <c r="AU370" s="45"/>
    </row>
    <row r="371" spans="1:47" ht="12" customHeight="1" x14ac:dyDescent="0.3">
      <c r="A371" s="89"/>
      <c r="B371" s="197"/>
      <c r="C371" s="89"/>
      <c r="D371" s="89"/>
      <c r="E371" s="112"/>
      <c r="F371" s="220"/>
      <c r="G371" s="91"/>
      <c r="H371" s="98"/>
      <c r="I371" s="92"/>
      <c r="J371" s="114"/>
      <c r="K371" s="89"/>
      <c r="L371" s="89"/>
      <c r="M371" s="89"/>
      <c r="N371" s="89"/>
      <c r="O371" s="91"/>
      <c r="P371" s="95"/>
      <c r="Q371" s="145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9"/>
      <c r="AH371" s="117"/>
      <c r="AI371" s="100"/>
      <c r="AJ371" s="100"/>
      <c r="AK371" s="100"/>
      <c r="AU371" s="45"/>
    </row>
    <row r="372" spans="1:47" ht="12" customHeight="1" x14ac:dyDescent="0.3">
      <c r="A372" s="89"/>
      <c r="B372" s="197"/>
      <c r="C372" s="89"/>
      <c r="D372" s="89"/>
      <c r="E372" s="112"/>
      <c r="F372" s="220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5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9"/>
      <c r="AH372" s="117"/>
      <c r="AI372" s="100"/>
      <c r="AJ372" s="100"/>
      <c r="AK372" s="100"/>
      <c r="AU372" s="45"/>
    </row>
    <row r="373" spans="1:47" ht="12" customHeight="1" x14ac:dyDescent="0.3">
      <c r="A373" s="89"/>
      <c r="B373" s="197"/>
      <c r="C373" s="89"/>
      <c r="D373" s="89"/>
      <c r="E373" s="112"/>
      <c r="F373" s="220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5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9"/>
      <c r="AH373" s="117"/>
      <c r="AI373" s="100"/>
      <c r="AJ373" s="100"/>
      <c r="AK373" s="100"/>
      <c r="AU373" s="45"/>
    </row>
    <row r="374" spans="1:47" ht="12" customHeight="1" x14ac:dyDescent="0.3">
      <c r="A374" s="89"/>
      <c r="B374" s="197"/>
      <c r="C374" s="89"/>
      <c r="D374" s="89"/>
      <c r="E374" s="112"/>
      <c r="F374" s="220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5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9"/>
      <c r="AH374" s="117"/>
      <c r="AI374" s="100"/>
      <c r="AJ374" s="100"/>
      <c r="AK374" s="100"/>
      <c r="AU374" s="45"/>
    </row>
    <row r="375" spans="1:47" ht="12" customHeight="1" x14ac:dyDescent="0.3">
      <c r="A375" s="89"/>
      <c r="B375" s="197"/>
      <c r="C375" s="89"/>
      <c r="D375" s="89"/>
      <c r="E375" s="112"/>
      <c r="F375" s="220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5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9"/>
      <c r="AH375" s="117"/>
      <c r="AI375" s="100"/>
      <c r="AJ375" s="100"/>
      <c r="AK375" s="100"/>
      <c r="AU375" s="45"/>
    </row>
    <row r="376" spans="1:47" ht="12" customHeight="1" x14ac:dyDescent="0.3">
      <c r="A376" s="89"/>
      <c r="B376" s="197"/>
      <c r="C376" s="89"/>
      <c r="D376" s="89"/>
      <c r="E376" s="112"/>
      <c r="F376" s="220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5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9"/>
      <c r="AH376" s="117"/>
      <c r="AI376" s="100"/>
      <c r="AJ376" s="100"/>
      <c r="AK376" s="100"/>
      <c r="AU376" s="45"/>
    </row>
    <row r="377" spans="1:47" ht="12" customHeight="1" x14ac:dyDescent="0.3">
      <c r="A377" s="89"/>
      <c r="B377" s="197"/>
      <c r="C377" s="89"/>
      <c r="D377" s="89"/>
      <c r="E377" s="112"/>
      <c r="F377" s="220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5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9"/>
      <c r="AH377" s="117"/>
      <c r="AI377" s="100"/>
      <c r="AJ377" s="100"/>
      <c r="AK377" s="100"/>
      <c r="AU377" s="45"/>
    </row>
    <row r="378" spans="1:47" ht="12" customHeight="1" x14ac:dyDescent="0.3">
      <c r="A378" s="89"/>
      <c r="B378" s="197"/>
      <c r="C378" s="89"/>
      <c r="D378" s="89"/>
      <c r="E378" s="112"/>
      <c r="F378" s="220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5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9"/>
      <c r="AH378" s="117"/>
      <c r="AI378" s="100"/>
      <c r="AJ378" s="100"/>
      <c r="AK378" s="100"/>
      <c r="AU378" s="45"/>
    </row>
    <row r="379" spans="1:47" ht="12" customHeight="1" x14ac:dyDescent="0.3">
      <c r="A379" s="89"/>
      <c r="B379" s="197"/>
      <c r="C379" s="89"/>
      <c r="D379" s="89"/>
      <c r="E379" s="112"/>
      <c r="F379" s="220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5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9"/>
      <c r="AH379" s="117"/>
      <c r="AI379" s="100"/>
      <c r="AJ379" s="100"/>
      <c r="AK379" s="100"/>
      <c r="AU379" s="45"/>
    </row>
    <row r="380" spans="1:47" ht="12" customHeight="1" x14ac:dyDescent="0.3">
      <c r="A380" s="89"/>
      <c r="B380" s="197"/>
      <c r="C380" s="89"/>
      <c r="D380" s="89"/>
      <c r="E380" s="112"/>
      <c r="F380" s="220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5"/>
      <c r="R380" s="115"/>
      <c r="S380" s="116"/>
      <c r="T380" s="97"/>
      <c r="U380" s="97"/>
      <c r="V380" s="11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U380" s="45"/>
    </row>
    <row r="381" spans="1:47" ht="12" customHeight="1" x14ac:dyDescent="0.3">
      <c r="A381" s="89"/>
      <c r="B381" s="197"/>
      <c r="C381" s="89"/>
      <c r="D381" s="89"/>
      <c r="E381" s="112"/>
      <c r="F381" s="220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5"/>
      <c r="R381" s="115"/>
      <c r="S381" s="116"/>
      <c r="T381" s="97"/>
      <c r="U381" s="97"/>
      <c r="V381" s="11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U381" s="45"/>
    </row>
    <row r="382" spans="1:47" ht="12" customHeight="1" x14ac:dyDescent="0.3">
      <c r="A382" s="89"/>
      <c r="B382" s="197"/>
      <c r="C382" s="89"/>
      <c r="D382" s="89"/>
      <c r="E382" s="112"/>
      <c r="F382" s="220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5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U382" s="45"/>
    </row>
    <row r="383" spans="1:47" ht="12" customHeight="1" x14ac:dyDescent="0.3">
      <c r="A383" s="89"/>
      <c r="B383" s="197"/>
      <c r="C383" s="89"/>
      <c r="D383" s="89"/>
      <c r="E383" s="112"/>
      <c r="F383" s="220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5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U383" s="45"/>
    </row>
    <row r="384" spans="1:47" ht="12" customHeight="1" x14ac:dyDescent="0.3">
      <c r="A384" s="89"/>
      <c r="B384" s="197"/>
      <c r="C384" s="89"/>
      <c r="D384" s="89"/>
      <c r="E384" s="112"/>
      <c r="F384" s="220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5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117"/>
      <c r="AG384" s="117"/>
      <c r="AH384" s="117"/>
      <c r="AI384" s="100"/>
      <c r="AJ384" s="100"/>
      <c r="AK384" s="100"/>
      <c r="AU384" s="45"/>
    </row>
    <row r="385" spans="1:47" ht="12" customHeight="1" x14ac:dyDescent="0.3">
      <c r="A385" s="89"/>
      <c r="B385" s="197"/>
      <c r="C385" s="89"/>
      <c r="D385" s="89"/>
      <c r="E385" s="112"/>
      <c r="F385" s="220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5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117"/>
      <c r="AG385" s="117"/>
      <c r="AH385" s="117"/>
      <c r="AI385" s="100"/>
      <c r="AJ385" s="100"/>
      <c r="AK385" s="100"/>
      <c r="AU385" s="45"/>
    </row>
    <row r="386" spans="1:47" ht="12" customHeight="1" x14ac:dyDescent="0.3">
      <c r="A386" s="89"/>
      <c r="B386" s="197"/>
      <c r="C386" s="89"/>
      <c r="D386" s="89"/>
      <c r="E386" s="112"/>
      <c r="F386" s="220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5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117"/>
      <c r="AG386" s="117"/>
      <c r="AH386" s="117"/>
      <c r="AI386" s="100"/>
      <c r="AJ386" s="100"/>
      <c r="AK386" s="100"/>
      <c r="AU386" s="45"/>
    </row>
    <row r="387" spans="1:47" ht="12" customHeight="1" x14ac:dyDescent="0.3">
      <c r="A387" s="89"/>
      <c r="B387" s="197"/>
      <c r="C387" s="89"/>
      <c r="D387" s="89"/>
      <c r="E387" s="112"/>
      <c r="F387" s="220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5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117"/>
      <c r="AG387" s="117"/>
      <c r="AH387" s="117"/>
      <c r="AI387" s="100"/>
      <c r="AJ387" s="100"/>
      <c r="AK387" s="100"/>
      <c r="AU387" s="45"/>
    </row>
    <row r="388" spans="1:47" ht="12" customHeight="1" x14ac:dyDescent="0.3">
      <c r="A388" s="89"/>
      <c r="B388" s="197"/>
      <c r="C388" s="89"/>
      <c r="D388" s="89"/>
      <c r="E388" s="112"/>
      <c r="F388" s="220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5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117"/>
      <c r="AG388" s="117"/>
      <c r="AH388" s="117"/>
      <c r="AI388" s="100"/>
      <c r="AJ388" s="100"/>
      <c r="AK388" s="100"/>
      <c r="AU388" s="45"/>
    </row>
    <row r="389" spans="1:47" ht="12" customHeight="1" x14ac:dyDescent="0.3">
      <c r="A389" s="89"/>
      <c r="B389" s="197"/>
      <c r="C389" s="89"/>
      <c r="D389" s="89"/>
      <c r="E389" s="112"/>
      <c r="F389" s="220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5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117"/>
      <c r="AG389" s="117"/>
      <c r="AH389" s="117"/>
      <c r="AI389" s="100"/>
      <c r="AJ389" s="100"/>
      <c r="AK389" s="100"/>
      <c r="AU389" s="45"/>
    </row>
    <row r="390" spans="1:47" ht="12" customHeight="1" x14ac:dyDescent="0.3">
      <c r="A390" s="89"/>
      <c r="B390" s="197"/>
      <c r="C390" s="89"/>
      <c r="D390" s="89"/>
      <c r="E390" s="112"/>
      <c r="F390" s="220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5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117"/>
      <c r="AG390" s="117"/>
      <c r="AH390" s="117"/>
      <c r="AI390" s="100"/>
      <c r="AJ390" s="100"/>
      <c r="AK390" s="100"/>
      <c r="AU390" s="45"/>
    </row>
    <row r="391" spans="1:47" ht="12" customHeight="1" x14ac:dyDescent="0.3">
      <c r="A391" s="89"/>
      <c r="B391" s="197"/>
      <c r="C391" s="89"/>
      <c r="D391" s="89"/>
      <c r="E391" s="112"/>
      <c r="F391" s="220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5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117"/>
      <c r="AG391" s="117"/>
      <c r="AH391" s="117"/>
      <c r="AI391" s="100"/>
      <c r="AJ391" s="100"/>
      <c r="AK391" s="100"/>
      <c r="AU391" s="45"/>
    </row>
    <row r="392" spans="1:47" ht="12" customHeight="1" x14ac:dyDescent="0.3">
      <c r="A392" s="89"/>
      <c r="B392" s="197"/>
      <c r="C392" s="89"/>
      <c r="D392" s="89"/>
      <c r="E392" s="112"/>
      <c r="F392" s="220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5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117"/>
      <c r="AG392" s="117"/>
      <c r="AH392" s="117"/>
      <c r="AI392" s="100"/>
      <c r="AJ392" s="100"/>
      <c r="AK392" s="100"/>
      <c r="AU392" s="45"/>
    </row>
    <row r="393" spans="1:47" ht="12" customHeight="1" x14ac:dyDescent="0.3">
      <c r="A393" s="89"/>
      <c r="B393" s="197"/>
      <c r="C393" s="89"/>
      <c r="D393" s="89"/>
      <c r="E393" s="112"/>
      <c r="F393" s="220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5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117"/>
      <c r="AG393" s="117"/>
      <c r="AH393" s="117"/>
      <c r="AI393" s="100"/>
      <c r="AJ393" s="100"/>
      <c r="AK393" s="100"/>
      <c r="AU393" s="45"/>
    </row>
    <row r="394" spans="1:47" ht="12" customHeight="1" x14ac:dyDescent="0.3">
      <c r="A394" s="89"/>
      <c r="B394" s="197"/>
      <c r="C394" s="89"/>
      <c r="D394" s="89"/>
      <c r="E394" s="112"/>
      <c r="F394" s="220"/>
      <c r="G394" s="113"/>
      <c r="H394" s="98"/>
      <c r="I394" s="92"/>
      <c r="J394" s="114"/>
      <c r="K394" s="89"/>
      <c r="L394" s="89"/>
      <c r="M394" s="89"/>
      <c r="N394" s="89"/>
      <c r="O394" s="91"/>
      <c r="P394" s="95"/>
      <c r="Q394" s="145"/>
      <c r="R394" s="115"/>
      <c r="S394" s="116"/>
      <c r="T394" s="97"/>
      <c r="U394" s="97"/>
      <c r="V394" s="98"/>
      <c r="W394" s="98"/>
      <c r="X394" s="98"/>
      <c r="Y394" s="98"/>
      <c r="Z394" s="89"/>
      <c r="AA394" s="97"/>
      <c r="AB394" s="89"/>
      <c r="AC394" s="120"/>
      <c r="AD394" s="89"/>
      <c r="AE394" s="89"/>
      <c r="AF394" s="117"/>
      <c r="AG394" s="117"/>
      <c r="AH394" s="117"/>
      <c r="AI394" s="100"/>
      <c r="AJ394" s="100"/>
      <c r="AK394" s="100"/>
      <c r="AU394" s="45"/>
    </row>
    <row r="395" spans="1:47" ht="12" customHeight="1" x14ac:dyDescent="0.3">
      <c r="A395" s="89"/>
      <c r="B395" s="197"/>
      <c r="C395" s="89"/>
      <c r="D395" s="89"/>
      <c r="E395" s="112"/>
      <c r="F395" s="220"/>
      <c r="G395" s="113"/>
      <c r="H395" s="98"/>
      <c r="I395" s="92"/>
      <c r="J395" s="114"/>
      <c r="K395" s="89"/>
      <c r="L395" s="89"/>
      <c r="M395" s="89"/>
      <c r="N395" s="89"/>
      <c r="O395" s="91"/>
      <c r="P395" s="95"/>
      <c r="Q395" s="145"/>
      <c r="R395" s="115"/>
      <c r="S395" s="116"/>
      <c r="T395" s="97"/>
      <c r="U395" s="97"/>
      <c r="V395" s="98"/>
      <c r="W395" s="98"/>
      <c r="X395" s="98"/>
      <c r="Y395" s="98"/>
      <c r="Z395" s="89"/>
      <c r="AA395" s="97"/>
      <c r="AB395" s="89"/>
      <c r="AC395" s="120"/>
      <c r="AD395" s="89"/>
      <c r="AE395" s="89"/>
      <c r="AF395" s="117"/>
      <c r="AG395" s="117"/>
      <c r="AH395" s="117"/>
      <c r="AI395" s="100"/>
      <c r="AJ395" s="100"/>
      <c r="AK395" s="100"/>
      <c r="AU395" s="45"/>
    </row>
    <row r="396" spans="1:47" ht="12" customHeight="1" x14ac:dyDescent="0.3">
      <c r="A396" s="125"/>
      <c r="B396" s="88"/>
      <c r="C396" s="89"/>
      <c r="D396" s="89"/>
      <c r="E396" s="112"/>
      <c r="F396" s="220"/>
      <c r="G396" s="92"/>
      <c r="H396" s="93"/>
      <c r="I396" s="92"/>
      <c r="J396" s="126"/>
      <c r="K396" s="89"/>
      <c r="L396" s="89"/>
      <c r="M396" s="89"/>
      <c r="N396" s="89"/>
      <c r="O396" s="94"/>
      <c r="P396" s="95"/>
      <c r="Q396" s="144"/>
      <c r="R396" s="96"/>
      <c r="S396" s="97"/>
      <c r="T396" s="97"/>
      <c r="U396" s="97"/>
      <c r="V396" s="93"/>
      <c r="W396" s="93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7"/>
      <c r="AI396" s="100"/>
      <c r="AJ396" s="100"/>
      <c r="AK396" s="128"/>
      <c r="AU396" s="45"/>
    </row>
    <row r="397" spans="1:47" ht="12" customHeight="1" x14ac:dyDescent="0.3">
      <c r="A397" s="125"/>
      <c r="B397" s="88"/>
      <c r="C397" s="89"/>
      <c r="D397" s="89"/>
      <c r="E397" s="112"/>
      <c r="F397" s="220"/>
      <c r="G397" s="92"/>
      <c r="H397" s="93"/>
      <c r="I397" s="92"/>
      <c r="J397" s="126"/>
      <c r="K397" s="89"/>
      <c r="L397" s="89"/>
      <c r="M397" s="89"/>
      <c r="N397" s="89"/>
      <c r="O397" s="94"/>
      <c r="P397" s="95"/>
      <c r="Q397" s="144"/>
      <c r="R397" s="96"/>
      <c r="S397" s="97"/>
      <c r="T397" s="97"/>
      <c r="U397" s="97"/>
      <c r="V397" s="93"/>
      <c r="W397" s="93"/>
      <c r="X397" s="93"/>
      <c r="Y397" s="98"/>
      <c r="Z397" s="89"/>
      <c r="AA397" s="97"/>
      <c r="AB397" s="89"/>
      <c r="AC397" s="120"/>
      <c r="AD397" s="89"/>
      <c r="AE397" s="89"/>
      <c r="AF397" s="99"/>
      <c r="AG397" s="99"/>
      <c r="AH397" s="127"/>
      <c r="AI397" s="100"/>
      <c r="AJ397" s="100"/>
      <c r="AK397" s="128"/>
      <c r="AU397" s="45"/>
    </row>
    <row r="398" spans="1:47" ht="12" customHeight="1" x14ac:dyDescent="0.3">
      <c r="A398" s="125"/>
      <c r="B398" s="88"/>
      <c r="C398" s="89"/>
      <c r="D398" s="89"/>
      <c r="E398" s="112"/>
      <c r="F398" s="220"/>
      <c r="G398" s="92"/>
      <c r="H398" s="93"/>
      <c r="I398" s="92"/>
      <c r="J398" s="126"/>
      <c r="K398" s="89"/>
      <c r="L398" s="89"/>
      <c r="M398" s="89"/>
      <c r="N398" s="89"/>
      <c r="O398" s="94"/>
      <c r="P398" s="95"/>
      <c r="Q398" s="144"/>
      <c r="R398" s="96"/>
      <c r="S398" s="97"/>
      <c r="T398" s="97"/>
      <c r="U398" s="97"/>
      <c r="V398" s="93"/>
      <c r="W398" s="89"/>
      <c r="X398" s="89"/>
      <c r="Y398" s="98"/>
      <c r="Z398" s="89"/>
      <c r="AA398" s="97"/>
      <c r="AB398" s="89"/>
      <c r="AC398" s="120"/>
      <c r="AD398" s="89"/>
      <c r="AE398" s="89"/>
      <c r="AF398" s="99"/>
      <c r="AG398" s="99"/>
      <c r="AH398" s="127"/>
      <c r="AI398" s="100"/>
      <c r="AJ398" s="100"/>
      <c r="AK398" s="128"/>
      <c r="AU398" s="45"/>
    </row>
    <row r="399" spans="1:47" ht="12" customHeight="1" x14ac:dyDescent="0.3">
      <c r="A399" s="125"/>
      <c r="B399" s="88"/>
      <c r="C399" s="89"/>
      <c r="D399" s="89"/>
      <c r="E399" s="112"/>
      <c r="F399" s="220"/>
      <c r="G399" s="92"/>
      <c r="H399" s="93"/>
      <c r="I399" s="92"/>
      <c r="J399" s="126"/>
      <c r="K399" s="89"/>
      <c r="L399" s="89"/>
      <c r="M399" s="89"/>
      <c r="N399" s="89"/>
      <c r="O399" s="94"/>
      <c r="P399" s="95"/>
      <c r="Q399" s="144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127"/>
      <c r="AG399" s="99"/>
      <c r="AH399" s="99"/>
      <c r="AI399" s="100"/>
      <c r="AJ399" s="100"/>
      <c r="AK399" s="128"/>
      <c r="AU399" s="45"/>
    </row>
    <row r="400" spans="1:47" ht="12" customHeight="1" x14ac:dyDescent="0.3">
      <c r="A400" s="125"/>
      <c r="B400" s="88"/>
      <c r="C400" s="89"/>
      <c r="D400" s="89"/>
      <c r="E400" s="112"/>
      <c r="F400" s="220"/>
      <c r="G400" s="92"/>
      <c r="H400" s="93"/>
      <c r="I400" s="92"/>
      <c r="J400" s="126"/>
      <c r="K400" s="89"/>
      <c r="L400" s="89"/>
      <c r="M400" s="89"/>
      <c r="N400" s="89"/>
      <c r="O400" s="94"/>
      <c r="P400" s="95"/>
      <c r="Q400" s="144"/>
      <c r="R400" s="96"/>
      <c r="S400" s="97"/>
      <c r="T400" s="97"/>
      <c r="U400" s="97"/>
      <c r="V400" s="93"/>
      <c r="W400" s="93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7"/>
      <c r="AI400" s="100"/>
      <c r="AJ400" s="100"/>
      <c r="AK400" s="128"/>
      <c r="AU400" s="45"/>
    </row>
    <row r="401" spans="1:47" ht="12" customHeight="1" x14ac:dyDescent="0.3">
      <c r="A401" s="125"/>
      <c r="B401" s="88"/>
      <c r="C401" s="89"/>
      <c r="D401" s="89"/>
      <c r="E401" s="112"/>
      <c r="F401" s="220"/>
      <c r="G401" s="92"/>
      <c r="H401" s="93"/>
      <c r="I401" s="92"/>
      <c r="J401" s="126"/>
      <c r="K401" s="89"/>
      <c r="L401" s="89"/>
      <c r="M401" s="89"/>
      <c r="N401" s="89"/>
      <c r="O401" s="94"/>
      <c r="P401" s="95"/>
      <c r="Q401" s="144"/>
      <c r="R401" s="96"/>
      <c r="S401" s="97"/>
      <c r="T401" s="97"/>
      <c r="U401" s="97"/>
      <c r="V401" s="93"/>
      <c r="W401" s="93"/>
      <c r="X401" s="93"/>
      <c r="Y401" s="98"/>
      <c r="Z401" s="89"/>
      <c r="AA401" s="97"/>
      <c r="AB401" s="89"/>
      <c r="AC401" s="120"/>
      <c r="AD401" s="89"/>
      <c r="AE401" s="89"/>
      <c r="AF401" s="99"/>
      <c r="AG401" s="99"/>
      <c r="AH401" s="127"/>
      <c r="AI401" s="100"/>
      <c r="AJ401" s="100"/>
      <c r="AK401" s="128"/>
      <c r="AU401" s="45"/>
    </row>
    <row r="402" spans="1:47" ht="12" customHeight="1" x14ac:dyDescent="0.3">
      <c r="A402" s="125"/>
      <c r="B402" s="88"/>
      <c r="C402" s="89"/>
      <c r="D402" s="89"/>
      <c r="E402" s="112"/>
      <c r="F402" s="220"/>
      <c r="G402" s="92"/>
      <c r="H402" s="93"/>
      <c r="I402" s="92"/>
      <c r="J402" s="126"/>
      <c r="K402" s="89"/>
      <c r="L402" s="89"/>
      <c r="M402" s="89"/>
      <c r="N402" s="89"/>
      <c r="O402" s="94"/>
      <c r="P402" s="95"/>
      <c r="Q402" s="144"/>
      <c r="R402" s="96"/>
      <c r="S402" s="97"/>
      <c r="T402" s="97"/>
      <c r="U402" s="97"/>
      <c r="V402" s="93"/>
      <c r="W402" s="89"/>
      <c r="X402" s="89"/>
      <c r="Y402" s="98"/>
      <c r="Z402" s="89"/>
      <c r="AA402" s="97"/>
      <c r="AB402" s="89"/>
      <c r="AC402" s="120"/>
      <c r="AD402" s="89"/>
      <c r="AE402" s="89"/>
      <c r="AF402" s="99"/>
      <c r="AG402" s="99"/>
      <c r="AH402" s="127"/>
      <c r="AI402" s="100"/>
      <c r="AJ402" s="100"/>
      <c r="AK402" s="128"/>
      <c r="AU402" s="45"/>
    </row>
    <row r="403" spans="1:47" ht="12" customHeight="1" x14ac:dyDescent="0.3">
      <c r="A403" s="125"/>
      <c r="B403" s="88"/>
      <c r="C403" s="89"/>
      <c r="D403" s="89"/>
      <c r="E403" s="112"/>
      <c r="F403" s="220"/>
      <c r="G403" s="92"/>
      <c r="H403" s="93"/>
      <c r="I403" s="92"/>
      <c r="J403" s="126"/>
      <c r="K403" s="89"/>
      <c r="L403" s="89"/>
      <c r="M403" s="89"/>
      <c r="N403" s="89"/>
      <c r="O403" s="94"/>
      <c r="P403" s="95"/>
      <c r="Q403" s="144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7"/>
      <c r="AI403" s="100"/>
      <c r="AJ403" s="100"/>
      <c r="AK403" s="128"/>
      <c r="AU403" s="45"/>
    </row>
    <row r="404" spans="1:47" ht="12" customHeight="1" x14ac:dyDescent="0.3">
      <c r="A404" s="125"/>
      <c r="B404" s="88"/>
      <c r="C404" s="89"/>
      <c r="D404" s="89"/>
      <c r="E404" s="112"/>
      <c r="F404" s="220"/>
      <c r="G404" s="92"/>
      <c r="H404" s="93"/>
      <c r="I404" s="92"/>
      <c r="J404" s="126"/>
      <c r="K404" s="89"/>
      <c r="L404" s="89"/>
      <c r="M404" s="89"/>
      <c r="N404" s="89"/>
      <c r="O404" s="94"/>
      <c r="P404" s="95"/>
      <c r="Q404" s="144"/>
      <c r="R404" s="96"/>
      <c r="S404" s="97"/>
      <c r="T404" s="97"/>
      <c r="U404" s="97"/>
      <c r="V404" s="93"/>
      <c r="W404" s="93"/>
      <c r="X404" s="93"/>
      <c r="Y404" s="98"/>
      <c r="Z404" s="89"/>
      <c r="AA404" s="97"/>
      <c r="AB404" s="89"/>
      <c r="AC404" s="120"/>
      <c r="AD404" s="89"/>
      <c r="AE404" s="89"/>
      <c r="AF404" s="99"/>
      <c r="AG404" s="99"/>
      <c r="AH404" s="127"/>
      <c r="AI404" s="100"/>
      <c r="AJ404" s="100"/>
      <c r="AK404" s="128"/>
      <c r="AU404" s="45"/>
    </row>
    <row r="405" spans="1:47" ht="12" customHeight="1" x14ac:dyDescent="0.3">
      <c r="A405" s="125"/>
      <c r="B405" s="88"/>
      <c r="C405" s="89"/>
      <c r="D405" s="89"/>
      <c r="E405" s="112"/>
      <c r="F405" s="220"/>
      <c r="G405" s="92"/>
      <c r="H405" s="93"/>
      <c r="I405" s="92"/>
      <c r="J405" s="126"/>
      <c r="K405" s="89"/>
      <c r="L405" s="89"/>
      <c r="M405" s="89"/>
      <c r="N405" s="89"/>
      <c r="O405" s="94"/>
      <c r="P405" s="95"/>
      <c r="Q405" s="144"/>
      <c r="R405" s="96"/>
      <c r="S405" s="97"/>
      <c r="T405" s="97"/>
      <c r="U405" s="97"/>
      <c r="V405" s="93"/>
      <c r="W405" s="93"/>
      <c r="X405" s="93"/>
      <c r="Y405" s="98"/>
      <c r="Z405" s="89"/>
      <c r="AA405" s="97"/>
      <c r="AB405" s="89"/>
      <c r="AC405" s="120"/>
      <c r="AD405" s="89"/>
      <c r="AE405" s="89"/>
      <c r="AF405" s="99"/>
      <c r="AG405" s="99"/>
      <c r="AH405" s="127"/>
      <c r="AI405" s="100"/>
      <c r="AJ405" s="100"/>
      <c r="AK405" s="128"/>
      <c r="AU405" s="45"/>
    </row>
    <row r="406" spans="1:47" ht="12" customHeight="1" x14ac:dyDescent="0.3">
      <c r="A406" s="125"/>
      <c r="B406" s="88"/>
      <c r="C406" s="89"/>
      <c r="D406" s="89"/>
      <c r="E406" s="112"/>
      <c r="F406" s="220"/>
      <c r="G406" s="92"/>
      <c r="H406" s="93"/>
      <c r="I406" s="92"/>
      <c r="J406" s="126"/>
      <c r="K406" s="89"/>
      <c r="L406" s="89"/>
      <c r="M406" s="89"/>
      <c r="N406" s="89"/>
      <c r="O406" s="94"/>
      <c r="P406" s="95"/>
      <c r="Q406" s="144"/>
      <c r="R406" s="96"/>
      <c r="S406" s="97"/>
      <c r="T406" s="97"/>
      <c r="U406" s="97"/>
      <c r="V406" s="93"/>
      <c r="W406" s="93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7"/>
      <c r="AI406" s="100"/>
      <c r="AJ406" s="100"/>
      <c r="AK406" s="128"/>
      <c r="AU406" s="45"/>
    </row>
    <row r="407" spans="1:47" ht="12" customHeight="1" x14ac:dyDescent="0.3">
      <c r="A407" s="125"/>
      <c r="B407" s="88"/>
      <c r="C407" s="89"/>
      <c r="D407" s="89"/>
      <c r="E407" s="112"/>
      <c r="F407" s="220"/>
      <c r="G407" s="92"/>
      <c r="H407" s="93"/>
      <c r="I407" s="92"/>
      <c r="J407" s="126"/>
      <c r="K407" s="89"/>
      <c r="L407" s="89"/>
      <c r="M407" s="89"/>
      <c r="N407" s="89"/>
      <c r="O407" s="94"/>
      <c r="P407" s="95"/>
      <c r="Q407" s="144"/>
      <c r="R407" s="96"/>
      <c r="S407" s="97"/>
      <c r="T407" s="97"/>
      <c r="U407" s="97"/>
      <c r="V407" s="93"/>
      <c r="W407" s="88"/>
      <c r="X407" s="93"/>
      <c r="Y407" s="98"/>
      <c r="Z407" s="89"/>
      <c r="AA407" s="97"/>
      <c r="AB407" s="89"/>
      <c r="AC407" s="120"/>
      <c r="AD407" s="89"/>
      <c r="AE407" s="89"/>
      <c r="AF407" s="99"/>
      <c r="AG407" s="99"/>
      <c r="AH407" s="127"/>
      <c r="AI407" s="100"/>
      <c r="AJ407" s="100"/>
      <c r="AK407" s="128"/>
      <c r="AU407" s="45"/>
    </row>
    <row r="408" spans="1:47" ht="12" customHeight="1" x14ac:dyDescent="0.3">
      <c r="A408" s="125"/>
      <c r="B408" s="88"/>
      <c r="C408" s="89"/>
      <c r="D408" s="89"/>
      <c r="E408" s="112"/>
      <c r="F408" s="220"/>
      <c r="G408" s="92"/>
      <c r="H408" s="93"/>
      <c r="I408" s="92"/>
      <c r="J408" s="126"/>
      <c r="K408" s="89"/>
      <c r="L408" s="89"/>
      <c r="M408" s="89"/>
      <c r="N408" s="89"/>
      <c r="O408" s="94"/>
      <c r="P408" s="95"/>
      <c r="Q408" s="144"/>
      <c r="R408" s="96"/>
      <c r="S408" s="97"/>
      <c r="T408" s="97"/>
      <c r="U408" s="97"/>
      <c r="V408" s="93"/>
      <c r="W408" s="124"/>
      <c r="X408" s="93"/>
      <c r="Y408" s="98"/>
      <c r="Z408" s="89"/>
      <c r="AA408" s="97"/>
      <c r="AB408" s="89"/>
      <c r="AC408" s="120"/>
      <c r="AD408" s="89"/>
      <c r="AE408" s="89"/>
      <c r="AF408" s="99"/>
      <c r="AG408" s="99"/>
      <c r="AH408" s="127"/>
      <c r="AI408" s="100"/>
      <c r="AJ408" s="100"/>
      <c r="AK408" s="128"/>
      <c r="AU408" s="45"/>
    </row>
    <row r="409" spans="1:47" ht="12" customHeight="1" x14ac:dyDescent="0.3">
      <c r="A409" s="125"/>
      <c r="B409" s="88"/>
      <c r="C409" s="89"/>
      <c r="D409" s="89"/>
      <c r="E409" s="112"/>
      <c r="F409" s="220"/>
      <c r="G409" s="92"/>
      <c r="H409" s="93"/>
      <c r="I409" s="92"/>
      <c r="J409" s="126"/>
      <c r="K409" s="89"/>
      <c r="L409" s="89"/>
      <c r="M409" s="89"/>
      <c r="N409" s="89"/>
      <c r="O409" s="94"/>
      <c r="P409" s="95"/>
      <c r="Q409" s="144"/>
      <c r="R409" s="96"/>
      <c r="S409" s="97"/>
      <c r="T409" s="97"/>
      <c r="U409" s="97"/>
      <c r="V409" s="93"/>
      <c r="W409" s="124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7"/>
      <c r="AI409" s="100"/>
      <c r="AJ409" s="100"/>
      <c r="AK409" s="128"/>
      <c r="AU409" s="45"/>
    </row>
    <row r="410" spans="1:47" ht="12" customHeight="1" x14ac:dyDescent="0.3">
      <c r="A410" s="125"/>
      <c r="B410" s="88"/>
      <c r="C410" s="89"/>
      <c r="D410" s="89"/>
      <c r="E410" s="112"/>
      <c r="F410" s="220"/>
      <c r="G410" s="92"/>
      <c r="H410" s="93"/>
      <c r="I410" s="92"/>
      <c r="J410" s="126"/>
      <c r="K410" s="89"/>
      <c r="L410" s="89"/>
      <c r="M410" s="89"/>
      <c r="N410" s="89"/>
      <c r="O410" s="94"/>
      <c r="P410" s="95"/>
      <c r="Q410" s="144"/>
      <c r="R410" s="96"/>
      <c r="S410" s="97"/>
      <c r="T410" s="97"/>
      <c r="U410" s="97"/>
      <c r="V410" s="88"/>
      <c r="W410" s="124"/>
      <c r="X410" s="93"/>
      <c r="Y410" s="98"/>
      <c r="Z410" s="89"/>
      <c r="AA410" s="97"/>
      <c r="AB410" s="89"/>
      <c r="AC410" s="120"/>
      <c r="AD410" s="89"/>
      <c r="AE410" s="89"/>
      <c r="AF410" s="99"/>
      <c r="AG410" s="99"/>
      <c r="AH410" s="127"/>
      <c r="AI410" s="100"/>
      <c r="AJ410" s="100"/>
      <c r="AK410" s="128"/>
      <c r="AU410" s="45"/>
    </row>
    <row r="411" spans="1:47" ht="12" customHeight="1" x14ac:dyDescent="0.3">
      <c r="A411" s="125"/>
      <c r="B411" s="88"/>
      <c r="C411" s="89"/>
      <c r="D411" s="89"/>
      <c r="E411" s="112"/>
      <c r="F411" s="220"/>
      <c r="G411" s="92"/>
      <c r="H411" s="93"/>
      <c r="I411" s="92"/>
      <c r="J411" s="126"/>
      <c r="K411" s="89"/>
      <c r="L411" s="89"/>
      <c r="M411" s="89"/>
      <c r="N411" s="89"/>
      <c r="O411" s="94"/>
      <c r="P411" s="95"/>
      <c r="Q411" s="144"/>
      <c r="R411" s="96"/>
      <c r="S411" s="97"/>
      <c r="T411" s="97"/>
      <c r="U411" s="97"/>
      <c r="V411" s="88"/>
      <c r="W411" s="124"/>
      <c r="X411" s="93"/>
      <c r="Y411" s="98"/>
      <c r="Z411" s="89"/>
      <c r="AA411" s="97"/>
      <c r="AB411" s="89"/>
      <c r="AC411" s="120"/>
      <c r="AD411" s="89"/>
      <c r="AE411" s="89"/>
      <c r="AF411" s="99"/>
      <c r="AG411" s="99"/>
      <c r="AH411" s="127"/>
      <c r="AI411" s="100"/>
      <c r="AJ411" s="100"/>
      <c r="AK411" s="128"/>
      <c r="AU411" s="45"/>
    </row>
    <row r="412" spans="1:47" ht="12" customHeight="1" x14ac:dyDescent="0.3">
      <c r="A412" s="125"/>
      <c r="B412" s="88"/>
      <c r="C412" s="89"/>
      <c r="D412" s="89"/>
      <c r="E412" s="112"/>
      <c r="F412" s="220"/>
      <c r="G412" s="92"/>
      <c r="H412" s="93"/>
      <c r="I412" s="92"/>
      <c r="J412" s="126"/>
      <c r="K412" s="89"/>
      <c r="L412" s="89"/>
      <c r="M412" s="89"/>
      <c r="N412" s="89"/>
      <c r="O412" s="94"/>
      <c r="P412" s="95"/>
      <c r="Q412" s="144"/>
      <c r="R412" s="96"/>
      <c r="S412" s="97"/>
      <c r="T412" s="97"/>
      <c r="U412" s="97"/>
      <c r="V412" s="88"/>
      <c r="W412" s="124"/>
      <c r="X412" s="93"/>
      <c r="Y412" s="98"/>
      <c r="Z412" s="89"/>
      <c r="AA412" s="97"/>
      <c r="AB412" s="89"/>
      <c r="AC412" s="120"/>
      <c r="AD412" s="89"/>
      <c r="AE412" s="89"/>
      <c r="AF412" s="99"/>
      <c r="AG412" s="99"/>
      <c r="AH412" s="127"/>
      <c r="AI412" s="100"/>
      <c r="AJ412" s="100"/>
      <c r="AK412" s="128"/>
      <c r="AU412" s="45"/>
    </row>
    <row r="413" spans="1:47" ht="12" customHeight="1" x14ac:dyDescent="0.3">
      <c r="A413" s="125"/>
      <c r="B413" s="88"/>
      <c r="C413" s="89"/>
      <c r="D413" s="89"/>
      <c r="E413" s="112"/>
      <c r="F413" s="220"/>
      <c r="G413" s="92"/>
      <c r="H413" s="93"/>
      <c r="I413" s="92"/>
      <c r="J413" s="126"/>
      <c r="K413" s="89"/>
      <c r="L413" s="89"/>
      <c r="M413" s="89"/>
      <c r="N413" s="89"/>
      <c r="O413" s="94"/>
      <c r="P413" s="95"/>
      <c r="Q413" s="144"/>
      <c r="R413" s="96"/>
      <c r="S413" s="97"/>
      <c r="T413" s="97"/>
      <c r="U413" s="97"/>
      <c r="V413" s="88"/>
      <c r="W413" s="124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7"/>
      <c r="AI413" s="100"/>
      <c r="AJ413" s="100"/>
      <c r="AK413" s="128"/>
      <c r="AU413" s="45"/>
    </row>
    <row r="414" spans="1:47" ht="12" customHeight="1" x14ac:dyDescent="0.3">
      <c r="A414" s="125"/>
      <c r="B414" s="88"/>
      <c r="C414" s="89"/>
      <c r="D414" s="89"/>
      <c r="E414" s="112"/>
      <c r="F414" s="220"/>
      <c r="G414" s="92"/>
      <c r="H414" s="93"/>
      <c r="I414" s="92"/>
      <c r="J414" s="126"/>
      <c r="K414" s="89"/>
      <c r="L414" s="89"/>
      <c r="M414" s="89"/>
      <c r="N414" s="89"/>
      <c r="O414" s="94"/>
      <c r="P414" s="95"/>
      <c r="Q414" s="144"/>
      <c r="R414" s="96"/>
      <c r="S414" s="97"/>
      <c r="T414" s="97"/>
      <c r="U414" s="97"/>
      <c r="V414" s="93"/>
      <c r="W414" s="88"/>
      <c r="X414" s="93"/>
      <c r="Y414" s="98"/>
      <c r="Z414" s="89"/>
      <c r="AA414" s="97"/>
      <c r="AB414" s="89"/>
      <c r="AC414" s="120"/>
      <c r="AD414" s="89"/>
      <c r="AE414" s="89"/>
      <c r="AF414" s="99"/>
      <c r="AG414" s="99"/>
      <c r="AH414" s="127"/>
      <c r="AI414" s="100"/>
      <c r="AJ414" s="100"/>
      <c r="AK414" s="128"/>
      <c r="AU414" s="45"/>
    </row>
    <row r="415" spans="1:47" ht="12" customHeight="1" x14ac:dyDescent="0.3">
      <c r="A415" s="125"/>
      <c r="B415" s="88"/>
      <c r="C415" s="89"/>
      <c r="D415" s="89"/>
      <c r="E415" s="112"/>
      <c r="F415" s="220"/>
      <c r="G415" s="92"/>
      <c r="H415" s="93"/>
      <c r="I415" s="92"/>
      <c r="J415" s="126"/>
      <c r="K415" s="89"/>
      <c r="L415" s="89"/>
      <c r="M415" s="89"/>
      <c r="N415" s="89"/>
      <c r="O415" s="94"/>
      <c r="P415" s="95"/>
      <c r="Q415" s="144"/>
      <c r="R415" s="96"/>
      <c r="S415" s="97"/>
      <c r="T415" s="97"/>
      <c r="U415" s="97"/>
      <c r="V415" s="93"/>
      <c r="W415" s="88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7"/>
      <c r="AI415" s="100"/>
      <c r="AJ415" s="100"/>
      <c r="AK415" s="128"/>
      <c r="AU415" s="45"/>
    </row>
    <row r="416" spans="1:47" ht="12" customHeight="1" x14ac:dyDescent="0.3">
      <c r="A416" s="125"/>
      <c r="B416" s="88"/>
      <c r="C416" s="89"/>
      <c r="D416" s="89"/>
      <c r="E416" s="112"/>
      <c r="F416" s="220"/>
      <c r="G416" s="92"/>
      <c r="H416" s="93"/>
      <c r="I416" s="92"/>
      <c r="J416" s="126"/>
      <c r="K416" s="89"/>
      <c r="L416" s="89"/>
      <c r="M416" s="89"/>
      <c r="N416" s="89"/>
      <c r="O416" s="94"/>
      <c r="P416" s="95"/>
      <c r="Q416" s="144"/>
      <c r="R416" s="96"/>
      <c r="S416" s="97"/>
      <c r="T416" s="97"/>
      <c r="U416" s="97"/>
      <c r="V416" s="93"/>
      <c r="W416" s="124"/>
      <c r="X416" s="93"/>
      <c r="Y416" s="88"/>
      <c r="Z416" s="89"/>
      <c r="AA416" s="97"/>
      <c r="AB416" s="89"/>
      <c r="AC416" s="120"/>
      <c r="AD416" s="89"/>
      <c r="AE416" s="89"/>
      <c r="AF416" s="99"/>
      <c r="AG416" s="99"/>
      <c r="AH416" s="127"/>
      <c r="AI416" s="100"/>
      <c r="AJ416" s="100"/>
      <c r="AK416" s="128"/>
      <c r="AU416" s="45"/>
    </row>
    <row r="417" spans="1:47" ht="12" customHeight="1" x14ac:dyDescent="0.3">
      <c r="A417" s="125"/>
      <c r="B417" s="88"/>
      <c r="C417" s="89"/>
      <c r="D417" s="89"/>
      <c r="E417" s="112"/>
      <c r="F417" s="220"/>
      <c r="G417" s="92"/>
      <c r="H417" s="93"/>
      <c r="I417" s="92"/>
      <c r="J417" s="126"/>
      <c r="K417" s="89"/>
      <c r="L417" s="89"/>
      <c r="M417" s="89"/>
      <c r="N417" s="89"/>
      <c r="O417" s="94"/>
      <c r="P417" s="95"/>
      <c r="Q417" s="144"/>
      <c r="R417" s="96"/>
      <c r="S417" s="97"/>
      <c r="T417" s="97"/>
      <c r="U417" s="97"/>
      <c r="V417" s="93"/>
      <c r="W417" s="124"/>
      <c r="X417" s="93"/>
      <c r="Y417" s="88"/>
      <c r="Z417" s="89"/>
      <c r="AA417" s="97"/>
      <c r="AB417" s="89"/>
      <c r="AC417" s="120"/>
      <c r="AD417" s="89"/>
      <c r="AE417" s="89"/>
      <c r="AF417" s="99"/>
      <c r="AG417" s="99"/>
      <c r="AH417" s="127"/>
      <c r="AI417" s="100"/>
      <c r="AJ417" s="100"/>
      <c r="AK417" s="128"/>
      <c r="AU417" s="45"/>
    </row>
    <row r="418" spans="1:47" ht="12" customHeight="1" x14ac:dyDescent="0.3">
      <c r="A418" s="125"/>
      <c r="B418" s="88"/>
      <c r="C418" s="89"/>
      <c r="D418" s="89"/>
      <c r="E418" s="112"/>
      <c r="F418" s="220"/>
      <c r="G418" s="92"/>
      <c r="H418" s="93"/>
      <c r="I418" s="92"/>
      <c r="J418" s="126"/>
      <c r="K418" s="89"/>
      <c r="L418" s="89"/>
      <c r="M418" s="89"/>
      <c r="N418" s="89"/>
      <c r="O418" s="94"/>
      <c r="P418" s="95"/>
      <c r="Q418" s="144"/>
      <c r="R418" s="96"/>
      <c r="S418" s="97"/>
      <c r="T418" s="97"/>
      <c r="U418" s="97"/>
      <c r="V418" s="93"/>
      <c r="W418" s="124"/>
      <c r="X418" s="93"/>
      <c r="Y418" s="88"/>
      <c r="Z418" s="89"/>
      <c r="AA418" s="97"/>
      <c r="AB418" s="89"/>
      <c r="AC418" s="120"/>
      <c r="AD418" s="89"/>
      <c r="AE418" s="89"/>
      <c r="AF418" s="99"/>
      <c r="AG418" s="99"/>
      <c r="AH418" s="127"/>
      <c r="AI418" s="100"/>
      <c r="AJ418" s="100"/>
      <c r="AK418" s="128"/>
      <c r="AU418" s="45"/>
    </row>
    <row r="419" spans="1:47" ht="12" customHeight="1" x14ac:dyDescent="0.3">
      <c r="A419" s="125"/>
      <c r="B419" s="88"/>
      <c r="C419" s="89"/>
      <c r="D419" s="89"/>
      <c r="E419" s="112"/>
      <c r="F419" s="220"/>
      <c r="G419" s="92"/>
      <c r="H419" s="93"/>
      <c r="I419" s="92"/>
      <c r="J419" s="126"/>
      <c r="K419" s="89"/>
      <c r="L419" s="89"/>
      <c r="M419" s="89"/>
      <c r="N419" s="89"/>
      <c r="O419" s="94"/>
      <c r="P419" s="95"/>
      <c r="Q419" s="144"/>
      <c r="R419" s="96"/>
      <c r="S419" s="97"/>
      <c r="T419" s="97"/>
      <c r="U419" s="97"/>
      <c r="V419" s="93"/>
      <c r="W419" s="124"/>
      <c r="X419" s="93"/>
      <c r="Y419" s="88"/>
      <c r="Z419" s="89"/>
      <c r="AA419" s="97"/>
      <c r="AB419" s="89"/>
      <c r="AC419" s="120"/>
      <c r="AD419" s="89"/>
      <c r="AE419" s="89"/>
      <c r="AF419" s="99"/>
      <c r="AG419" s="99"/>
      <c r="AH419" s="127"/>
      <c r="AI419" s="100"/>
      <c r="AJ419" s="100"/>
      <c r="AK419" s="128"/>
      <c r="AU419" s="45"/>
    </row>
    <row r="420" spans="1:47" ht="12" customHeight="1" x14ac:dyDescent="0.3">
      <c r="A420" s="125"/>
      <c r="B420" s="88"/>
      <c r="C420" s="89"/>
      <c r="D420" s="89"/>
      <c r="E420" s="112"/>
      <c r="F420" s="220"/>
      <c r="G420" s="92"/>
      <c r="H420" s="93"/>
      <c r="I420" s="92"/>
      <c r="J420" s="126"/>
      <c r="K420" s="89"/>
      <c r="L420" s="89"/>
      <c r="M420" s="89"/>
      <c r="N420" s="89"/>
      <c r="O420" s="94"/>
      <c r="P420" s="95"/>
      <c r="Q420" s="144"/>
      <c r="R420" s="96"/>
      <c r="S420" s="97"/>
      <c r="T420" s="97"/>
      <c r="U420" s="97"/>
      <c r="V420" s="93"/>
      <c r="W420" s="124"/>
      <c r="X420" s="93"/>
      <c r="Y420" s="88"/>
      <c r="Z420" s="89"/>
      <c r="AA420" s="97"/>
      <c r="AB420" s="89"/>
      <c r="AC420" s="120"/>
      <c r="AD420" s="89"/>
      <c r="AE420" s="89"/>
      <c r="AF420" s="99"/>
      <c r="AG420" s="99"/>
      <c r="AH420" s="127"/>
      <c r="AI420" s="100"/>
      <c r="AJ420" s="100"/>
      <c r="AK420" s="128"/>
      <c r="AU420" s="45"/>
    </row>
    <row r="421" spans="1:47" ht="12" customHeight="1" x14ac:dyDescent="0.3">
      <c r="A421" s="125"/>
      <c r="B421" s="88"/>
      <c r="C421" s="89"/>
      <c r="D421" s="89"/>
      <c r="E421" s="112"/>
      <c r="F421" s="220"/>
      <c r="G421" s="92"/>
      <c r="H421" s="93"/>
      <c r="I421" s="92"/>
      <c r="J421" s="126"/>
      <c r="K421" s="89"/>
      <c r="L421" s="89"/>
      <c r="M421" s="89"/>
      <c r="N421" s="89"/>
      <c r="O421" s="94"/>
      <c r="P421" s="95"/>
      <c r="Q421" s="144"/>
      <c r="R421" s="96"/>
      <c r="S421" s="97"/>
      <c r="T421" s="97"/>
      <c r="U421" s="97"/>
      <c r="V421" s="93"/>
      <c r="W421" s="124"/>
      <c r="X421" s="93"/>
      <c r="Y421" s="88"/>
      <c r="Z421" s="89"/>
      <c r="AA421" s="97"/>
      <c r="AB421" s="89"/>
      <c r="AC421" s="120"/>
      <c r="AD421" s="89"/>
      <c r="AE421" s="89"/>
      <c r="AF421" s="99"/>
      <c r="AG421" s="99"/>
      <c r="AH421" s="127"/>
      <c r="AI421" s="100"/>
      <c r="AJ421" s="100"/>
      <c r="AK421" s="128"/>
      <c r="AU421" s="45"/>
    </row>
    <row r="422" spans="1:47" ht="12" customHeight="1" x14ac:dyDescent="0.3">
      <c r="A422" s="125"/>
      <c r="B422" s="88"/>
      <c r="C422" s="89"/>
      <c r="D422" s="89"/>
      <c r="E422" s="112"/>
      <c r="F422" s="220"/>
      <c r="G422" s="92"/>
      <c r="H422" s="93"/>
      <c r="I422" s="92"/>
      <c r="J422" s="126"/>
      <c r="K422" s="89"/>
      <c r="L422" s="89"/>
      <c r="M422" s="89"/>
      <c r="N422" s="89"/>
      <c r="O422" s="94"/>
      <c r="P422" s="95"/>
      <c r="Q422" s="144"/>
      <c r="R422" s="96"/>
      <c r="S422" s="97"/>
      <c r="T422" s="97"/>
      <c r="U422" s="97"/>
      <c r="V422" s="88"/>
      <c r="W422" s="124"/>
      <c r="X422" s="93"/>
      <c r="Y422" s="88"/>
      <c r="Z422" s="89"/>
      <c r="AA422" s="97"/>
      <c r="AB422" s="89"/>
      <c r="AC422" s="120"/>
      <c r="AD422" s="89"/>
      <c r="AE422" s="89"/>
      <c r="AF422" s="99"/>
      <c r="AG422" s="99"/>
      <c r="AH422" s="127"/>
      <c r="AI422" s="100"/>
      <c r="AJ422" s="100"/>
      <c r="AK422" s="128"/>
      <c r="AU422" s="45"/>
    </row>
    <row r="423" spans="1:47" ht="12" customHeight="1" x14ac:dyDescent="0.3">
      <c r="A423" s="125"/>
      <c r="B423" s="88"/>
      <c r="C423" s="89"/>
      <c r="D423" s="89"/>
      <c r="E423" s="112"/>
      <c r="F423" s="220"/>
      <c r="G423" s="92"/>
      <c r="H423" s="93"/>
      <c r="I423" s="92"/>
      <c r="J423" s="126"/>
      <c r="K423" s="114"/>
      <c r="L423" s="89"/>
      <c r="M423" s="89"/>
      <c r="N423" s="89"/>
      <c r="O423" s="94"/>
      <c r="P423" s="95"/>
      <c r="Q423" s="144"/>
      <c r="R423" s="96"/>
      <c r="S423" s="97"/>
      <c r="T423" s="97"/>
      <c r="U423" s="97"/>
      <c r="V423" s="88"/>
      <c r="W423" s="124"/>
      <c r="X423" s="93"/>
      <c r="Y423" s="88"/>
      <c r="Z423" s="89"/>
      <c r="AA423" s="97"/>
      <c r="AB423" s="89"/>
      <c r="AC423" s="120"/>
      <c r="AD423" s="89"/>
      <c r="AE423" s="114"/>
      <c r="AF423" s="99"/>
      <c r="AG423" s="99"/>
      <c r="AH423" s="127"/>
      <c r="AI423" s="100"/>
      <c r="AJ423" s="100"/>
      <c r="AK423" s="128"/>
      <c r="AU423" s="45"/>
    </row>
    <row r="424" spans="1:47" ht="12" customHeight="1" x14ac:dyDescent="0.3">
      <c r="A424" s="125"/>
      <c r="B424" s="88"/>
      <c r="C424" s="89"/>
      <c r="D424" s="89"/>
      <c r="E424" s="112"/>
      <c r="F424" s="220"/>
      <c r="G424" s="92"/>
      <c r="H424" s="93"/>
      <c r="I424" s="92"/>
      <c r="J424" s="126"/>
      <c r="K424" s="114"/>
      <c r="L424" s="89"/>
      <c r="M424" s="89"/>
      <c r="N424" s="89"/>
      <c r="O424" s="94"/>
      <c r="P424" s="95"/>
      <c r="Q424" s="144"/>
      <c r="R424" s="96"/>
      <c r="S424" s="97"/>
      <c r="T424" s="97"/>
      <c r="U424" s="97"/>
      <c r="V424" s="88"/>
      <c r="W424" s="124"/>
      <c r="X424" s="93"/>
      <c r="Y424" s="88"/>
      <c r="Z424" s="89"/>
      <c r="AA424" s="97"/>
      <c r="AB424" s="89"/>
      <c r="AC424" s="120"/>
      <c r="AD424" s="89"/>
      <c r="AE424" s="89"/>
      <c r="AF424" s="99"/>
      <c r="AG424" s="99"/>
      <c r="AH424" s="127"/>
      <c r="AI424" s="100"/>
      <c r="AJ424" s="100"/>
      <c r="AK424" s="128"/>
      <c r="AU424" s="45"/>
    </row>
    <row r="425" spans="1:47" ht="12" customHeight="1" x14ac:dyDescent="0.3">
      <c r="A425" s="125"/>
      <c r="B425" s="88"/>
      <c r="C425" s="89"/>
      <c r="D425" s="89"/>
      <c r="E425" s="112"/>
      <c r="F425" s="220"/>
      <c r="G425" s="92"/>
      <c r="H425" s="93"/>
      <c r="I425" s="92"/>
      <c r="J425" s="126"/>
      <c r="K425" s="114"/>
      <c r="L425" s="89"/>
      <c r="M425" s="89"/>
      <c r="N425" s="89"/>
      <c r="O425" s="94"/>
      <c r="P425" s="95"/>
      <c r="Q425" s="144"/>
      <c r="R425" s="96"/>
      <c r="S425" s="97"/>
      <c r="T425" s="97"/>
      <c r="U425" s="97"/>
      <c r="V425" s="88"/>
      <c r="W425" s="124"/>
      <c r="X425" s="93"/>
      <c r="Y425" s="88"/>
      <c r="Z425" s="89"/>
      <c r="AA425" s="97"/>
      <c r="AB425" s="89"/>
      <c r="AC425" s="120"/>
      <c r="AD425" s="89"/>
      <c r="AE425" s="89"/>
      <c r="AF425" s="99"/>
      <c r="AG425" s="99"/>
      <c r="AH425" s="127"/>
      <c r="AI425" s="100"/>
      <c r="AJ425" s="100"/>
      <c r="AK425" s="128"/>
      <c r="AU425" s="45"/>
    </row>
    <row r="426" spans="1:47" ht="12" customHeight="1" x14ac:dyDescent="0.3">
      <c r="A426" s="125"/>
      <c r="B426" s="88"/>
      <c r="C426" s="89"/>
      <c r="D426" s="89"/>
      <c r="E426" s="112"/>
      <c r="F426" s="220"/>
      <c r="G426" s="92"/>
      <c r="H426" s="93"/>
      <c r="I426" s="92"/>
      <c r="J426" s="126"/>
      <c r="K426" s="114"/>
      <c r="L426" s="89"/>
      <c r="M426" s="89"/>
      <c r="N426" s="89"/>
      <c r="O426" s="94"/>
      <c r="P426" s="95"/>
      <c r="Q426" s="144"/>
      <c r="R426" s="96"/>
      <c r="S426" s="97"/>
      <c r="T426" s="97"/>
      <c r="U426" s="97"/>
      <c r="V426" s="88"/>
      <c r="W426" s="93"/>
      <c r="X426" s="93"/>
      <c r="Y426" s="88"/>
      <c r="Z426" s="89"/>
      <c r="AA426" s="97"/>
      <c r="AB426" s="89"/>
      <c r="AC426" s="120"/>
      <c r="AD426" s="89"/>
      <c r="AE426" s="89"/>
      <c r="AF426" s="99"/>
      <c r="AG426" s="99"/>
      <c r="AH426" s="127"/>
      <c r="AI426" s="100"/>
      <c r="AJ426" s="100"/>
      <c r="AK426" s="128"/>
      <c r="AU426" s="45"/>
    </row>
    <row r="427" spans="1:47" ht="12" customHeight="1" x14ac:dyDescent="0.3">
      <c r="A427" s="125"/>
      <c r="B427" s="88"/>
      <c r="C427" s="89"/>
      <c r="D427" s="89"/>
      <c r="E427" s="112"/>
      <c r="F427" s="220"/>
      <c r="G427" s="92"/>
      <c r="H427" s="93"/>
      <c r="I427" s="92"/>
      <c r="J427" s="126"/>
      <c r="K427" s="114"/>
      <c r="L427" s="89"/>
      <c r="M427" s="89"/>
      <c r="N427" s="89"/>
      <c r="O427" s="94"/>
      <c r="P427" s="95"/>
      <c r="Q427" s="144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7"/>
      <c r="AI427" s="100"/>
      <c r="AJ427" s="100"/>
      <c r="AK427" s="128"/>
      <c r="AU427" s="45"/>
    </row>
    <row r="428" spans="1:47" ht="12" customHeight="1" x14ac:dyDescent="0.3">
      <c r="A428" s="125"/>
      <c r="B428" s="93"/>
      <c r="C428" s="89"/>
      <c r="D428" s="89"/>
      <c r="E428" s="112"/>
      <c r="F428" s="220"/>
      <c r="G428" s="92"/>
      <c r="H428" s="93"/>
      <c r="I428" s="92"/>
      <c r="J428" s="126"/>
      <c r="K428" s="89"/>
      <c r="L428" s="89"/>
      <c r="M428" s="89"/>
      <c r="N428" s="89"/>
      <c r="O428" s="91"/>
      <c r="P428" s="95"/>
      <c r="Q428" s="144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7"/>
      <c r="AI428" s="100"/>
      <c r="AJ428" s="100"/>
      <c r="AK428" s="128"/>
      <c r="AU428" s="45"/>
    </row>
    <row r="429" spans="1:47" ht="12" customHeight="1" x14ac:dyDescent="0.3">
      <c r="A429" s="125"/>
      <c r="B429" s="93"/>
      <c r="C429" s="89"/>
      <c r="D429" s="89"/>
      <c r="E429" s="112"/>
      <c r="F429" s="220"/>
      <c r="G429" s="92"/>
      <c r="H429" s="93"/>
      <c r="I429" s="92"/>
      <c r="J429" s="126"/>
      <c r="K429" s="89"/>
      <c r="L429" s="89"/>
      <c r="M429" s="89"/>
      <c r="N429" s="89"/>
      <c r="O429" s="91"/>
      <c r="P429" s="95"/>
      <c r="Q429" s="144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7"/>
      <c r="AI429" s="100"/>
      <c r="AJ429" s="100"/>
      <c r="AK429" s="128"/>
      <c r="AU429" s="45"/>
    </row>
    <row r="430" spans="1:47" ht="12" customHeight="1" x14ac:dyDescent="0.3">
      <c r="A430" s="125"/>
      <c r="B430" s="93"/>
      <c r="C430" s="89"/>
      <c r="D430" s="89"/>
      <c r="E430" s="112"/>
      <c r="F430" s="220"/>
      <c r="G430" s="92"/>
      <c r="H430" s="93"/>
      <c r="I430" s="92"/>
      <c r="J430" s="126"/>
      <c r="K430" s="89"/>
      <c r="L430" s="89"/>
      <c r="M430" s="89"/>
      <c r="N430" s="89"/>
      <c r="O430" s="91"/>
      <c r="P430" s="95"/>
      <c r="Q430" s="144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7"/>
      <c r="AI430" s="100"/>
      <c r="AJ430" s="100"/>
      <c r="AK430" s="128"/>
      <c r="AU430" s="45"/>
    </row>
    <row r="431" spans="1:47" ht="12" customHeight="1" x14ac:dyDescent="0.3">
      <c r="A431" s="125"/>
      <c r="B431" s="93"/>
      <c r="C431" s="89"/>
      <c r="D431" s="89"/>
      <c r="E431" s="112"/>
      <c r="F431" s="220"/>
      <c r="G431" s="92"/>
      <c r="H431" s="93"/>
      <c r="I431" s="92"/>
      <c r="J431" s="126"/>
      <c r="K431" s="89"/>
      <c r="L431" s="89"/>
      <c r="M431" s="89"/>
      <c r="N431" s="89"/>
      <c r="O431" s="91"/>
      <c r="P431" s="95"/>
      <c r="Q431" s="144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7"/>
      <c r="AI431" s="100"/>
      <c r="AJ431" s="100"/>
      <c r="AK431" s="128"/>
      <c r="AU431" s="45"/>
    </row>
    <row r="432" spans="1:47" ht="12" customHeight="1" x14ac:dyDescent="0.3">
      <c r="A432" s="125"/>
      <c r="B432" s="93"/>
      <c r="C432" s="89"/>
      <c r="D432" s="89"/>
      <c r="E432" s="112"/>
      <c r="F432" s="220"/>
      <c r="G432" s="92"/>
      <c r="H432" s="93"/>
      <c r="I432" s="92"/>
      <c r="J432" s="126"/>
      <c r="K432" s="89"/>
      <c r="L432" s="89"/>
      <c r="M432" s="89"/>
      <c r="N432" s="89"/>
      <c r="O432" s="91"/>
      <c r="P432" s="95"/>
      <c r="Q432" s="144"/>
      <c r="R432" s="96"/>
      <c r="S432" s="97"/>
      <c r="T432" s="97"/>
      <c r="U432" s="97"/>
      <c r="V432" s="88"/>
      <c r="W432" s="93"/>
      <c r="X432" s="9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7"/>
      <c r="AI432" s="100"/>
      <c r="AJ432" s="100"/>
      <c r="AK432" s="128"/>
      <c r="AU432" s="45"/>
    </row>
    <row r="433" spans="1:47" ht="12" customHeight="1" x14ac:dyDescent="0.3">
      <c r="A433" s="125"/>
      <c r="B433" s="93"/>
      <c r="C433" s="89"/>
      <c r="D433" s="89"/>
      <c r="E433" s="112"/>
      <c r="F433" s="220"/>
      <c r="G433" s="92"/>
      <c r="H433" s="93"/>
      <c r="I433" s="92"/>
      <c r="J433" s="126"/>
      <c r="K433" s="89"/>
      <c r="L433" s="89"/>
      <c r="M433" s="89"/>
      <c r="N433" s="89"/>
      <c r="O433" s="91"/>
      <c r="P433" s="95"/>
      <c r="Q433" s="144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7"/>
      <c r="AI433" s="100"/>
      <c r="AJ433" s="100"/>
      <c r="AK433" s="128"/>
      <c r="AU433" s="45"/>
    </row>
    <row r="434" spans="1:47" ht="12" customHeight="1" x14ac:dyDescent="0.3">
      <c r="A434" s="125"/>
      <c r="B434" s="93"/>
      <c r="C434" s="89"/>
      <c r="D434" s="89"/>
      <c r="E434" s="112"/>
      <c r="F434" s="220"/>
      <c r="G434" s="92"/>
      <c r="H434" s="93"/>
      <c r="I434" s="92"/>
      <c r="J434" s="126"/>
      <c r="K434" s="89"/>
      <c r="L434" s="89"/>
      <c r="M434" s="89"/>
      <c r="N434" s="89"/>
      <c r="O434" s="91"/>
      <c r="P434" s="95"/>
      <c r="Q434" s="144"/>
      <c r="R434" s="96"/>
      <c r="S434" s="97"/>
      <c r="T434" s="97"/>
      <c r="U434" s="97"/>
      <c r="V434" s="88"/>
      <c r="W434" s="93"/>
      <c r="X434" s="12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7"/>
      <c r="AI434" s="100"/>
      <c r="AJ434" s="100"/>
      <c r="AK434" s="128"/>
      <c r="AU434" s="45"/>
    </row>
    <row r="435" spans="1:47" ht="12" customHeight="1" x14ac:dyDescent="0.3">
      <c r="A435" s="125"/>
      <c r="B435" s="93"/>
      <c r="C435" s="89"/>
      <c r="D435" s="89"/>
      <c r="E435" s="112"/>
      <c r="F435" s="220"/>
      <c r="G435" s="92"/>
      <c r="H435" s="93"/>
      <c r="I435" s="92"/>
      <c r="J435" s="126"/>
      <c r="K435" s="89"/>
      <c r="L435" s="89"/>
      <c r="M435" s="89"/>
      <c r="N435" s="89"/>
      <c r="O435" s="91"/>
      <c r="P435" s="95"/>
      <c r="Q435" s="144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7"/>
      <c r="AI435" s="100"/>
      <c r="AJ435" s="100"/>
      <c r="AK435" s="128"/>
      <c r="AU435" s="45"/>
    </row>
    <row r="436" spans="1:47" ht="12" customHeight="1" x14ac:dyDescent="0.3">
      <c r="A436" s="125"/>
      <c r="B436" s="93"/>
      <c r="C436" s="89"/>
      <c r="D436" s="89"/>
      <c r="E436" s="112"/>
      <c r="F436" s="220"/>
      <c r="G436" s="92"/>
      <c r="H436" s="93"/>
      <c r="I436" s="92"/>
      <c r="J436" s="126"/>
      <c r="K436" s="89"/>
      <c r="L436" s="89"/>
      <c r="M436" s="89"/>
      <c r="N436" s="89"/>
      <c r="O436" s="91"/>
      <c r="P436" s="95"/>
      <c r="Q436" s="144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7"/>
      <c r="AI436" s="100"/>
      <c r="AJ436" s="100"/>
      <c r="AK436" s="128"/>
      <c r="AU436" s="45"/>
    </row>
    <row r="437" spans="1:47" ht="12" customHeight="1" x14ac:dyDescent="0.3">
      <c r="A437" s="125"/>
      <c r="B437" s="93"/>
      <c r="C437" s="89"/>
      <c r="D437" s="89"/>
      <c r="E437" s="112"/>
      <c r="F437" s="220"/>
      <c r="G437" s="92"/>
      <c r="H437" s="93"/>
      <c r="I437" s="92"/>
      <c r="J437" s="126"/>
      <c r="K437" s="89"/>
      <c r="L437" s="89"/>
      <c r="M437" s="89"/>
      <c r="N437" s="89"/>
      <c r="O437" s="91"/>
      <c r="P437" s="95"/>
      <c r="Q437" s="144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7"/>
      <c r="AI437" s="100"/>
      <c r="AJ437" s="100"/>
      <c r="AK437" s="128"/>
      <c r="AU437" s="45"/>
    </row>
    <row r="438" spans="1:47" ht="12" customHeight="1" x14ac:dyDescent="0.3">
      <c r="A438" s="125"/>
      <c r="B438" s="93"/>
      <c r="C438" s="89"/>
      <c r="D438" s="89"/>
      <c r="E438" s="112"/>
      <c r="F438" s="220"/>
      <c r="G438" s="92"/>
      <c r="H438" s="93"/>
      <c r="I438" s="92"/>
      <c r="J438" s="126"/>
      <c r="K438" s="89"/>
      <c r="L438" s="89"/>
      <c r="M438" s="89"/>
      <c r="N438" s="89"/>
      <c r="O438" s="91"/>
      <c r="P438" s="95"/>
      <c r="Q438" s="144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7"/>
      <c r="AI438" s="100"/>
      <c r="AJ438" s="100"/>
      <c r="AK438" s="128"/>
      <c r="AU438" s="45"/>
    </row>
    <row r="439" spans="1:47" ht="12" customHeight="1" x14ac:dyDescent="0.3">
      <c r="A439" s="125"/>
      <c r="B439" s="93"/>
      <c r="C439" s="89"/>
      <c r="D439" s="89"/>
      <c r="E439" s="112"/>
      <c r="F439" s="220"/>
      <c r="G439" s="92"/>
      <c r="H439" s="93"/>
      <c r="I439" s="92"/>
      <c r="J439" s="126"/>
      <c r="K439" s="89"/>
      <c r="L439" s="89"/>
      <c r="M439" s="89"/>
      <c r="N439" s="89"/>
      <c r="O439" s="91"/>
      <c r="P439" s="95"/>
      <c r="Q439" s="144"/>
      <c r="R439" s="96"/>
      <c r="S439" s="97"/>
      <c r="T439" s="97"/>
      <c r="U439" s="97"/>
      <c r="V439" s="88"/>
      <c r="W439" s="93"/>
      <c r="X439" s="12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7"/>
      <c r="AI439" s="100"/>
      <c r="AJ439" s="100"/>
      <c r="AK439" s="128"/>
      <c r="AU439" s="45"/>
    </row>
    <row r="440" spans="1:47" ht="12" customHeight="1" x14ac:dyDescent="0.3">
      <c r="A440" s="125"/>
      <c r="B440" s="93"/>
      <c r="C440" s="89"/>
      <c r="D440" s="89"/>
      <c r="E440" s="112"/>
      <c r="F440" s="220"/>
      <c r="G440" s="92"/>
      <c r="H440" s="93"/>
      <c r="I440" s="92"/>
      <c r="J440" s="126"/>
      <c r="K440" s="89"/>
      <c r="L440" s="89"/>
      <c r="M440" s="89"/>
      <c r="N440" s="89"/>
      <c r="O440" s="91"/>
      <c r="P440" s="95"/>
      <c r="Q440" s="144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7"/>
      <c r="AI440" s="100"/>
      <c r="AJ440" s="100"/>
      <c r="AK440" s="128"/>
      <c r="AU440" s="45"/>
    </row>
    <row r="441" spans="1:47" ht="12" customHeight="1" x14ac:dyDescent="0.3">
      <c r="A441" s="125"/>
      <c r="B441" s="93"/>
      <c r="C441" s="89"/>
      <c r="D441" s="89"/>
      <c r="E441" s="112"/>
      <c r="F441" s="220"/>
      <c r="G441" s="92"/>
      <c r="H441" s="93"/>
      <c r="I441" s="92"/>
      <c r="J441" s="126"/>
      <c r="K441" s="89"/>
      <c r="L441" s="89"/>
      <c r="M441" s="89"/>
      <c r="N441" s="89"/>
      <c r="O441" s="91"/>
      <c r="P441" s="95"/>
      <c r="Q441" s="144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7"/>
      <c r="AI441" s="100"/>
      <c r="AJ441" s="100"/>
      <c r="AK441" s="128"/>
      <c r="AU441" s="45"/>
    </row>
    <row r="442" spans="1:47" ht="12" customHeight="1" x14ac:dyDescent="0.3">
      <c r="A442" s="125"/>
      <c r="B442" s="93"/>
      <c r="C442" s="89"/>
      <c r="D442" s="89"/>
      <c r="E442" s="112"/>
      <c r="F442" s="220"/>
      <c r="G442" s="92"/>
      <c r="H442" s="93"/>
      <c r="I442" s="92"/>
      <c r="J442" s="126"/>
      <c r="K442" s="89"/>
      <c r="L442" s="89"/>
      <c r="M442" s="89"/>
      <c r="N442" s="89"/>
      <c r="O442" s="91"/>
      <c r="P442" s="95"/>
      <c r="Q442" s="144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7"/>
      <c r="AI442" s="100"/>
      <c r="AJ442" s="100"/>
      <c r="AK442" s="128"/>
      <c r="AU442" s="45"/>
    </row>
    <row r="443" spans="1:47" ht="12" customHeight="1" x14ac:dyDescent="0.3">
      <c r="A443" s="125"/>
      <c r="B443" s="93"/>
      <c r="C443" s="89"/>
      <c r="D443" s="89"/>
      <c r="E443" s="112"/>
      <c r="F443" s="220"/>
      <c r="G443" s="92"/>
      <c r="H443" s="93"/>
      <c r="I443" s="92"/>
      <c r="J443" s="126"/>
      <c r="K443" s="89"/>
      <c r="L443" s="89"/>
      <c r="M443" s="89"/>
      <c r="N443" s="89"/>
      <c r="O443" s="91"/>
      <c r="P443" s="95"/>
      <c r="Q443" s="144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7"/>
      <c r="AI443" s="100"/>
      <c r="AJ443" s="100"/>
      <c r="AK443" s="128"/>
      <c r="AU443" s="45"/>
    </row>
    <row r="444" spans="1:47" ht="12" customHeight="1" x14ac:dyDescent="0.3">
      <c r="A444" s="125"/>
      <c r="B444" s="93"/>
      <c r="C444" s="89"/>
      <c r="D444" s="89"/>
      <c r="E444" s="112"/>
      <c r="F444" s="220"/>
      <c r="G444" s="92"/>
      <c r="H444" s="93"/>
      <c r="I444" s="92"/>
      <c r="J444" s="126"/>
      <c r="K444" s="89"/>
      <c r="L444" s="89"/>
      <c r="M444" s="89"/>
      <c r="N444" s="89"/>
      <c r="O444" s="91"/>
      <c r="P444" s="95"/>
      <c r="Q444" s="144"/>
      <c r="R444" s="96"/>
      <c r="S444" s="97"/>
      <c r="T444" s="97"/>
      <c r="U444" s="97"/>
      <c r="V444" s="88"/>
      <c r="W444" s="93"/>
      <c r="X444" s="12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7"/>
      <c r="AI444" s="100"/>
      <c r="AJ444" s="100"/>
      <c r="AK444" s="128"/>
      <c r="AU444" s="45"/>
    </row>
    <row r="445" spans="1:47" ht="12" customHeight="1" x14ac:dyDescent="0.3">
      <c r="A445" s="125"/>
      <c r="B445" s="93"/>
      <c r="C445" s="89"/>
      <c r="D445" s="89"/>
      <c r="E445" s="112"/>
      <c r="F445" s="220"/>
      <c r="G445" s="92"/>
      <c r="H445" s="93"/>
      <c r="I445" s="92"/>
      <c r="J445" s="126"/>
      <c r="K445" s="89"/>
      <c r="L445" s="89"/>
      <c r="M445" s="89"/>
      <c r="N445" s="89"/>
      <c r="O445" s="91"/>
      <c r="P445" s="95"/>
      <c r="Q445" s="144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7"/>
      <c r="AI445" s="100"/>
      <c r="AJ445" s="100"/>
      <c r="AK445" s="128"/>
      <c r="AU445" s="45"/>
    </row>
    <row r="446" spans="1:47" ht="12" customHeight="1" x14ac:dyDescent="0.3">
      <c r="A446" s="125"/>
      <c r="B446" s="93"/>
      <c r="C446" s="89"/>
      <c r="D446" s="89"/>
      <c r="E446" s="112"/>
      <c r="F446" s="220"/>
      <c r="G446" s="92"/>
      <c r="H446" s="93"/>
      <c r="I446" s="92"/>
      <c r="J446" s="126"/>
      <c r="K446" s="89"/>
      <c r="L446" s="89"/>
      <c r="M446" s="89"/>
      <c r="N446" s="89"/>
      <c r="O446" s="91"/>
      <c r="P446" s="95"/>
      <c r="Q446" s="144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7"/>
      <c r="AI446" s="100"/>
      <c r="AJ446" s="100"/>
      <c r="AK446" s="128"/>
      <c r="AU446" s="45"/>
    </row>
    <row r="447" spans="1:47" ht="12" customHeight="1" x14ac:dyDescent="0.3">
      <c r="A447" s="125"/>
      <c r="B447" s="93"/>
      <c r="C447" s="89"/>
      <c r="D447" s="89"/>
      <c r="E447" s="112"/>
      <c r="F447" s="220"/>
      <c r="G447" s="92"/>
      <c r="H447" s="93"/>
      <c r="I447" s="92"/>
      <c r="J447" s="126"/>
      <c r="K447" s="89"/>
      <c r="L447" s="89"/>
      <c r="M447" s="89"/>
      <c r="N447" s="89"/>
      <c r="O447" s="91"/>
      <c r="P447" s="95"/>
      <c r="Q447" s="144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7"/>
      <c r="AI447" s="100"/>
      <c r="AJ447" s="100"/>
      <c r="AK447" s="128"/>
      <c r="AU447" s="45"/>
    </row>
    <row r="448" spans="1:47" ht="12" customHeight="1" x14ac:dyDescent="0.3">
      <c r="A448" s="125"/>
      <c r="B448" s="93"/>
      <c r="C448" s="89"/>
      <c r="D448" s="89"/>
      <c r="E448" s="112"/>
      <c r="F448" s="220"/>
      <c r="G448" s="92"/>
      <c r="H448" s="93"/>
      <c r="I448" s="92"/>
      <c r="J448" s="126"/>
      <c r="K448" s="89"/>
      <c r="L448" s="89"/>
      <c r="M448" s="89"/>
      <c r="N448" s="89"/>
      <c r="O448" s="91"/>
      <c r="P448" s="95"/>
      <c r="Q448" s="144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7"/>
      <c r="AI448" s="100"/>
      <c r="AJ448" s="100"/>
      <c r="AK448" s="128"/>
      <c r="AU448" s="45"/>
    </row>
    <row r="449" spans="1:47" ht="12" customHeight="1" x14ac:dyDescent="0.3">
      <c r="A449" s="125"/>
      <c r="B449" s="93"/>
      <c r="C449" s="89"/>
      <c r="D449" s="89"/>
      <c r="E449" s="112"/>
      <c r="F449" s="220"/>
      <c r="G449" s="92"/>
      <c r="H449" s="93"/>
      <c r="I449" s="92"/>
      <c r="J449" s="126"/>
      <c r="K449" s="89"/>
      <c r="L449" s="89"/>
      <c r="M449" s="89"/>
      <c r="N449" s="89"/>
      <c r="O449" s="91"/>
      <c r="P449" s="95"/>
      <c r="Q449" s="144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99"/>
      <c r="AG449" s="99"/>
      <c r="AH449" s="127"/>
      <c r="AI449" s="100"/>
      <c r="AJ449" s="100"/>
      <c r="AK449" s="128"/>
      <c r="AU449" s="45"/>
    </row>
    <row r="450" spans="1:47" ht="12" customHeight="1" x14ac:dyDescent="0.3">
      <c r="A450" s="125"/>
      <c r="B450" s="93"/>
      <c r="C450" s="89"/>
      <c r="D450" s="89"/>
      <c r="E450" s="112"/>
      <c r="F450" s="220"/>
      <c r="G450" s="92"/>
      <c r="H450" s="93"/>
      <c r="I450" s="92"/>
      <c r="J450" s="126"/>
      <c r="K450" s="89"/>
      <c r="L450" s="89"/>
      <c r="M450" s="89"/>
      <c r="N450" s="89"/>
      <c r="O450" s="91"/>
      <c r="P450" s="95"/>
      <c r="Q450" s="144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99"/>
      <c r="AG450" s="99"/>
      <c r="AH450" s="127"/>
      <c r="AI450" s="100"/>
      <c r="AJ450" s="100"/>
      <c r="AK450" s="128"/>
      <c r="AU450" s="45"/>
    </row>
    <row r="451" spans="1:47" ht="12" customHeight="1" x14ac:dyDescent="0.3">
      <c r="A451" s="125"/>
      <c r="B451" s="93"/>
      <c r="C451" s="89"/>
      <c r="D451" s="89"/>
      <c r="E451" s="112"/>
      <c r="F451" s="220"/>
      <c r="G451" s="92"/>
      <c r="H451" s="93"/>
      <c r="I451" s="92"/>
      <c r="J451" s="126"/>
      <c r="K451" s="89"/>
      <c r="L451" s="89"/>
      <c r="M451" s="89"/>
      <c r="N451" s="89"/>
      <c r="O451" s="91"/>
      <c r="P451" s="95"/>
      <c r="Q451" s="144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99"/>
      <c r="AG451" s="99"/>
      <c r="AH451" s="127"/>
      <c r="AI451" s="100"/>
      <c r="AJ451" s="100"/>
      <c r="AK451" s="128"/>
      <c r="AU451" s="45"/>
    </row>
    <row r="452" spans="1:47" ht="12" customHeight="1" x14ac:dyDescent="0.3">
      <c r="A452" s="125"/>
      <c r="B452" s="93"/>
      <c r="C452" s="89"/>
      <c r="D452" s="89"/>
      <c r="E452" s="112"/>
      <c r="F452" s="220"/>
      <c r="G452" s="92"/>
      <c r="H452" s="93"/>
      <c r="I452" s="92"/>
      <c r="J452" s="126"/>
      <c r="K452" s="89"/>
      <c r="L452" s="89"/>
      <c r="M452" s="89"/>
      <c r="N452" s="89"/>
      <c r="O452" s="91"/>
      <c r="P452" s="95"/>
      <c r="Q452" s="144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99"/>
      <c r="AG452" s="99"/>
      <c r="AH452" s="127"/>
      <c r="AI452" s="100"/>
      <c r="AJ452" s="100"/>
      <c r="AK452" s="128"/>
      <c r="AU452" s="45"/>
    </row>
    <row r="453" spans="1:47" ht="12" customHeight="1" x14ac:dyDescent="0.3">
      <c r="A453" s="125"/>
      <c r="B453" s="93"/>
      <c r="C453" s="89"/>
      <c r="D453" s="89"/>
      <c r="E453" s="112"/>
      <c r="F453" s="220"/>
      <c r="G453" s="92"/>
      <c r="H453" s="93"/>
      <c r="I453" s="92"/>
      <c r="J453" s="126"/>
      <c r="K453" s="89"/>
      <c r="L453" s="89"/>
      <c r="M453" s="89"/>
      <c r="N453" s="89"/>
      <c r="O453" s="91"/>
      <c r="P453" s="95"/>
      <c r="Q453" s="144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99"/>
      <c r="AG453" s="99"/>
      <c r="AH453" s="127"/>
      <c r="AI453" s="100"/>
      <c r="AJ453" s="100"/>
      <c r="AK453" s="128"/>
      <c r="AU453" s="45"/>
    </row>
    <row r="454" spans="1:47" ht="12" customHeight="1" x14ac:dyDescent="0.3">
      <c r="A454" s="125"/>
      <c r="B454" s="93"/>
      <c r="C454" s="89"/>
      <c r="D454" s="89"/>
      <c r="E454" s="112"/>
      <c r="F454" s="220"/>
      <c r="G454" s="92"/>
      <c r="H454" s="93"/>
      <c r="I454" s="92"/>
      <c r="J454" s="126"/>
      <c r="K454" s="89"/>
      <c r="L454" s="89"/>
      <c r="M454" s="89"/>
      <c r="N454" s="89"/>
      <c r="O454" s="91"/>
      <c r="P454" s="95"/>
      <c r="Q454" s="144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99"/>
      <c r="AG454" s="99"/>
      <c r="AH454" s="127"/>
      <c r="AI454" s="100"/>
      <c r="AJ454" s="100"/>
      <c r="AK454" s="128"/>
      <c r="AU454" s="45"/>
    </row>
    <row r="455" spans="1:47" ht="12" customHeight="1" x14ac:dyDescent="0.3">
      <c r="A455" s="125"/>
      <c r="B455" s="93"/>
      <c r="C455" s="89"/>
      <c r="D455" s="89"/>
      <c r="E455" s="112"/>
      <c r="F455" s="220"/>
      <c r="G455" s="92"/>
      <c r="H455" s="93"/>
      <c r="I455" s="92"/>
      <c r="J455" s="126"/>
      <c r="K455" s="89"/>
      <c r="L455" s="89"/>
      <c r="M455" s="89"/>
      <c r="N455" s="89"/>
      <c r="O455" s="91"/>
      <c r="P455" s="95"/>
      <c r="Q455" s="144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99"/>
      <c r="AG455" s="99"/>
      <c r="AH455" s="127"/>
      <c r="AI455" s="100"/>
      <c r="AJ455" s="100"/>
      <c r="AK455" s="128"/>
      <c r="AU455" s="45"/>
    </row>
    <row r="456" spans="1:47" ht="12" customHeight="1" x14ac:dyDescent="0.3">
      <c r="A456" s="125"/>
      <c r="B456" s="93"/>
      <c r="C456" s="89"/>
      <c r="D456" s="89"/>
      <c r="E456" s="112"/>
      <c r="F456" s="220"/>
      <c r="G456" s="92"/>
      <c r="H456" s="93"/>
      <c r="I456" s="92"/>
      <c r="J456" s="126"/>
      <c r="K456" s="89"/>
      <c r="L456" s="89"/>
      <c r="M456" s="89"/>
      <c r="N456" s="89"/>
      <c r="O456" s="91"/>
      <c r="P456" s="95"/>
      <c r="Q456" s="144"/>
      <c r="R456" s="96"/>
      <c r="S456" s="97"/>
      <c r="T456" s="97"/>
      <c r="U456" s="97"/>
      <c r="V456" s="88"/>
      <c r="W456" s="93"/>
      <c r="X456" s="93"/>
      <c r="Y456" s="98"/>
      <c r="Z456" s="89"/>
      <c r="AA456" s="97"/>
      <c r="AB456" s="89"/>
      <c r="AC456" s="120"/>
      <c r="AD456" s="89"/>
      <c r="AE456" s="89"/>
      <c r="AF456" s="99"/>
      <c r="AG456" s="99"/>
      <c r="AH456" s="127"/>
      <c r="AI456" s="100"/>
      <c r="AJ456" s="100"/>
      <c r="AK456" s="128"/>
      <c r="AU456" s="45"/>
    </row>
    <row r="457" spans="1:47" ht="12" customHeight="1" x14ac:dyDescent="0.3">
      <c r="A457" s="125"/>
      <c r="B457" s="93"/>
      <c r="C457" s="89"/>
      <c r="D457" s="89"/>
      <c r="E457" s="112"/>
      <c r="F457" s="220"/>
      <c r="G457" s="92"/>
      <c r="H457" s="93"/>
      <c r="I457" s="92"/>
      <c r="J457" s="126"/>
      <c r="K457" s="89"/>
      <c r="L457" s="89"/>
      <c r="M457" s="89"/>
      <c r="N457" s="89"/>
      <c r="O457" s="91"/>
      <c r="P457" s="95"/>
      <c r="Q457" s="144"/>
      <c r="R457" s="96"/>
      <c r="S457" s="97"/>
      <c r="T457" s="97"/>
      <c r="U457" s="97"/>
      <c r="V457" s="88"/>
      <c r="W457" s="93"/>
      <c r="X457" s="93"/>
      <c r="Y457" s="98"/>
      <c r="Z457" s="89"/>
      <c r="AA457" s="97"/>
      <c r="AB457" s="89"/>
      <c r="AC457" s="120"/>
      <c r="AD457" s="89"/>
      <c r="AE457" s="89"/>
      <c r="AF457" s="99"/>
      <c r="AG457" s="99"/>
      <c r="AH457" s="127"/>
      <c r="AI457" s="100"/>
      <c r="AJ457" s="100"/>
      <c r="AK457" s="128"/>
      <c r="AU457" s="45"/>
    </row>
    <row r="458" spans="1:47" ht="12" customHeight="1" x14ac:dyDescent="0.3">
      <c r="A458" s="125"/>
      <c r="B458" s="93"/>
      <c r="C458" s="89"/>
      <c r="D458" s="89"/>
      <c r="E458" s="112"/>
      <c r="F458" s="220"/>
      <c r="G458" s="92"/>
      <c r="H458" s="93"/>
      <c r="I458" s="92"/>
      <c r="J458" s="126"/>
      <c r="K458" s="89"/>
      <c r="L458" s="89"/>
      <c r="M458" s="89"/>
      <c r="N458" s="89"/>
      <c r="O458" s="91"/>
      <c r="P458" s="95"/>
      <c r="Q458" s="144"/>
      <c r="R458" s="96"/>
      <c r="S458" s="97"/>
      <c r="T458" s="97"/>
      <c r="U458" s="97"/>
      <c r="V458" s="88"/>
      <c r="W458" s="93"/>
      <c r="X458" s="123"/>
      <c r="Y458" s="98"/>
      <c r="Z458" s="89"/>
      <c r="AA458" s="97"/>
      <c r="AB458" s="89"/>
      <c r="AC458" s="120"/>
      <c r="AD458" s="89"/>
      <c r="AE458" s="89"/>
      <c r="AF458" s="99"/>
      <c r="AG458" s="99"/>
      <c r="AH458" s="127"/>
      <c r="AI458" s="100"/>
      <c r="AJ458" s="100"/>
      <c r="AK458" s="128"/>
      <c r="AU458" s="45"/>
    </row>
    <row r="459" spans="1:47" ht="12" customHeight="1" x14ac:dyDescent="0.3">
      <c r="A459" s="125"/>
      <c r="B459" s="93"/>
      <c r="C459" s="89"/>
      <c r="D459" s="89"/>
      <c r="E459" s="112"/>
      <c r="F459" s="220"/>
      <c r="G459" s="92"/>
      <c r="H459" s="93"/>
      <c r="I459" s="92"/>
      <c r="J459" s="126"/>
      <c r="K459" s="89"/>
      <c r="L459" s="89"/>
      <c r="M459" s="89"/>
      <c r="N459" s="89"/>
      <c r="O459" s="91"/>
      <c r="P459" s="95"/>
      <c r="Q459" s="144"/>
      <c r="R459" s="96"/>
      <c r="S459" s="97"/>
      <c r="T459" s="97"/>
      <c r="U459" s="97"/>
      <c r="V459" s="88"/>
      <c r="W459" s="93"/>
      <c r="X459" s="93"/>
      <c r="Y459" s="98"/>
      <c r="Z459" s="89"/>
      <c r="AA459" s="97"/>
      <c r="AB459" s="89"/>
      <c r="AC459" s="120"/>
      <c r="AD459" s="89"/>
      <c r="AE459" s="89"/>
      <c r="AF459" s="99"/>
      <c r="AG459" s="99"/>
      <c r="AH459" s="127"/>
      <c r="AI459" s="100"/>
      <c r="AJ459" s="100"/>
      <c r="AK459" s="128"/>
      <c r="AU459" s="45"/>
    </row>
    <row r="460" spans="1:47" ht="12" customHeight="1" x14ac:dyDescent="0.3">
      <c r="A460" s="125"/>
      <c r="B460" s="93"/>
      <c r="C460" s="89"/>
      <c r="D460" s="89"/>
      <c r="E460" s="112"/>
      <c r="F460" s="220"/>
      <c r="G460" s="92"/>
      <c r="H460" s="93"/>
      <c r="I460" s="92"/>
      <c r="J460" s="126"/>
      <c r="K460" s="89"/>
      <c r="L460" s="89"/>
      <c r="M460" s="89"/>
      <c r="N460" s="89"/>
      <c r="O460" s="91"/>
      <c r="P460" s="95"/>
      <c r="Q460" s="144"/>
      <c r="R460" s="96"/>
      <c r="S460" s="97"/>
      <c r="T460" s="97"/>
      <c r="U460" s="97"/>
      <c r="V460" s="88"/>
      <c r="W460" s="93"/>
      <c r="X460" s="93"/>
      <c r="Y460" s="98"/>
      <c r="Z460" s="89"/>
      <c r="AA460" s="97"/>
      <c r="AB460" s="89"/>
      <c r="AC460" s="120"/>
      <c r="AD460" s="89"/>
      <c r="AE460" s="89"/>
      <c r="AF460" s="99"/>
      <c r="AG460" s="99"/>
      <c r="AH460" s="127"/>
      <c r="AI460" s="100"/>
      <c r="AJ460" s="100"/>
      <c r="AK460" s="128"/>
      <c r="AU460" s="45"/>
    </row>
    <row r="461" spans="1:47" ht="12" customHeight="1" x14ac:dyDescent="0.3">
      <c r="A461" s="125"/>
      <c r="B461" s="93"/>
      <c r="C461" s="89"/>
      <c r="D461" s="89"/>
      <c r="E461" s="112"/>
      <c r="F461" s="220"/>
      <c r="G461" s="92"/>
      <c r="H461" s="93"/>
      <c r="I461" s="92"/>
      <c r="J461" s="126"/>
      <c r="K461" s="89"/>
      <c r="L461" s="89"/>
      <c r="M461" s="89"/>
      <c r="N461" s="89"/>
      <c r="O461" s="91"/>
      <c r="P461" s="95"/>
      <c r="Q461" s="144"/>
      <c r="R461" s="96"/>
      <c r="S461" s="97"/>
      <c r="T461" s="97"/>
      <c r="U461" s="97"/>
      <c r="V461" s="93"/>
      <c r="W461" s="93"/>
      <c r="X461" s="93"/>
      <c r="Y461" s="98"/>
      <c r="Z461" s="89"/>
      <c r="AA461" s="97"/>
      <c r="AB461" s="89"/>
      <c r="AC461" s="120"/>
      <c r="AD461" s="89"/>
      <c r="AE461" s="89"/>
      <c r="AF461" s="95"/>
      <c r="AG461" s="99"/>
      <c r="AH461" s="95"/>
      <c r="AI461" s="100"/>
      <c r="AJ461" s="100"/>
      <c r="AK461" s="128"/>
      <c r="AU461" s="45"/>
    </row>
    <row r="462" spans="1:47" ht="12" customHeight="1" x14ac:dyDescent="0.3">
      <c r="A462" s="125"/>
      <c r="B462" s="93"/>
      <c r="C462" s="89"/>
      <c r="D462" s="89"/>
      <c r="E462" s="112"/>
      <c r="F462" s="220"/>
      <c r="G462" s="92"/>
      <c r="H462" s="93"/>
      <c r="I462" s="92"/>
      <c r="J462" s="126"/>
      <c r="K462" s="89"/>
      <c r="L462" s="89"/>
      <c r="M462" s="89"/>
      <c r="N462" s="89"/>
      <c r="O462" s="91"/>
      <c r="P462" s="95"/>
      <c r="Q462" s="144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8"/>
      <c r="AU462" s="45"/>
    </row>
    <row r="463" spans="1:47" ht="12" customHeight="1" x14ac:dyDescent="0.3">
      <c r="A463" s="125"/>
      <c r="B463" s="93"/>
      <c r="C463" s="89"/>
      <c r="D463" s="89"/>
      <c r="E463" s="112"/>
      <c r="F463" s="220"/>
      <c r="G463" s="92"/>
      <c r="H463" s="93"/>
      <c r="I463" s="92"/>
      <c r="J463" s="126"/>
      <c r="K463" s="89"/>
      <c r="L463" s="89"/>
      <c r="M463" s="89"/>
      <c r="N463" s="89"/>
      <c r="O463" s="91"/>
      <c r="P463" s="95"/>
      <c r="Q463" s="144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95"/>
      <c r="AG463" s="99"/>
      <c r="AH463" s="95"/>
      <c r="AI463" s="100"/>
      <c r="AJ463" s="100"/>
      <c r="AK463" s="128"/>
      <c r="AU463" s="45"/>
    </row>
    <row r="464" spans="1:47" ht="12" customHeight="1" x14ac:dyDescent="0.3">
      <c r="A464" s="125"/>
      <c r="B464" s="93"/>
      <c r="C464" s="89"/>
      <c r="D464" s="89"/>
      <c r="E464" s="112"/>
      <c r="F464" s="220"/>
      <c r="G464" s="92"/>
      <c r="H464" s="93"/>
      <c r="I464" s="92"/>
      <c r="J464" s="126"/>
      <c r="K464" s="89"/>
      <c r="L464" s="89"/>
      <c r="M464" s="89"/>
      <c r="N464" s="89"/>
      <c r="O464" s="91"/>
      <c r="P464" s="95"/>
      <c r="Q464" s="144"/>
      <c r="R464" s="96"/>
      <c r="S464" s="97"/>
      <c r="T464" s="97"/>
      <c r="U464" s="97"/>
      <c r="V464" s="93"/>
      <c r="W464" s="123"/>
      <c r="X464" s="123"/>
      <c r="Y464" s="98"/>
      <c r="Z464" s="89"/>
      <c r="AA464" s="97"/>
      <c r="AB464" s="89"/>
      <c r="AC464" s="120"/>
      <c r="AD464" s="89"/>
      <c r="AE464" s="89"/>
      <c r="AF464" s="95"/>
      <c r="AG464" s="95"/>
      <c r="AH464" s="95"/>
      <c r="AI464" s="100"/>
      <c r="AJ464" s="100"/>
      <c r="AK464" s="128"/>
      <c r="AU464" s="45"/>
    </row>
    <row r="465" spans="1:47" ht="12" customHeight="1" x14ac:dyDescent="0.3">
      <c r="A465" s="125"/>
      <c r="B465" s="93"/>
      <c r="C465" s="89"/>
      <c r="D465" s="89"/>
      <c r="E465" s="112"/>
      <c r="F465" s="220"/>
      <c r="G465" s="92"/>
      <c r="H465" s="93"/>
      <c r="I465" s="92"/>
      <c r="J465" s="126"/>
      <c r="K465" s="89"/>
      <c r="L465" s="89"/>
      <c r="M465" s="89"/>
      <c r="N465" s="89"/>
      <c r="O465" s="91"/>
      <c r="P465" s="95"/>
      <c r="Q465" s="144"/>
      <c r="R465" s="96"/>
      <c r="S465" s="97"/>
      <c r="T465" s="97"/>
      <c r="U465" s="97"/>
      <c r="V465" s="93"/>
      <c r="W465" s="123"/>
      <c r="X465" s="123"/>
      <c r="Y465" s="98"/>
      <c r="Z465" s="89"/>
      <c r="AA465" s="97"/>
      <c r="AB465" s="89"/>
      <c r="AC465" s="120"/>
      <c r="AD465" s="89"/>
      <c r="AE465" s="89"/>
      <c r="AF465" s="95"/>
      <c r="AG465" s="99"/>
      <c r="AH465" s="95"/>
      <c r="AI465" s="100"/>
      <c r="AJ465" s="100"/>
      <c r="AK465" s="128"/>
      <c r="AU465" s="45"/>
    </row>
    <row r="466" spans="1:47" ht="12" customHeight="1" x14ac:dyDescent="0.3">
      <c r="A466" s="125"/>
      <c r="B466" s="93"/>
      <c r="C466" s="89"/>
      <c r="D466" s="89"/>
      <c r="E466" s="112"/>
      <c r="F466" s="220"/>
      <c r="G466" s="92"/>
      <c r="H466" s="93"/>
      <c r="I466" s="92"/>
      <c r="J466" s="126"/>
      <c r="K466" s="89"/>
      <c r="L466" s="89"/>
      <c r="M466" s="89"/>
      <c r="N466" s="89"/>
      <c r="O466" s="91"/>
      <c r="P466" s="95"/>
      <c r="Q466" s="144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5"/>
      <c r="AH466" s="127"/>
      <c r="AI466" s="100"/>
      <c r="AJ466" s="100"/>
      <c r="AK466" s="128"/>
      <c r="AU466" s="45"/>
    </row>
    <row r="467" spans="1:47" ht="12" customHeight="1" x14ac:dyDescent="0.3">
      <c r="A467" s="125"/>
      <c r="B467" s="93"/>
      <c r="C467" s="89"/>
      <c r="D467" s="89"/>
      <c r="E467" s="112"/>
      <c r="F467" s="220"/>
      <c r="G467" s="92"/>
      <c r="H467" s="93"/>
      <c r="I467" s="92"/>
      <c r="J467" s="126"/>
      <c r="K467" s="89"/>
      <c r="L467" s="89"/>
      <c r="M467" s="89"/>
      <c r="N467" s="89"/>
      <c r="O467" s="91"/>
      <c r="P467" s="95"/>
      <c r="Q467" s="144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95"/>
      <c r="AG467" s="99"/>
      <c r="AH467" s="95"/>
      <c r="AI467" s="100"/>
      <c r="AJ467" s="100"/>
      <c r="AK467" s="128"/>
      <c r="AU467" s="45"/>
    </row>
    <row r="468" spans="1:47" ht="12" customHeight="1" x14ac:dyDescent="0.3">
      <c r="A468" s="125"/>
      <c r="B468" s="93"/>
      <c r="C468" s="89"/>
      <c r="D468" s="89"/>
      <c r="E468" s="112"/>
      <c r="F468" s="220"/>
      <c r="G468" s="92"/>
      <c r="H468" s="93"/>
      <c r="I468" s="92"/>
      <c r="J468" s="126"/>
      <c r="K468" s="89"/>
      <c r="L468" s="89"/>
      <c r="M468" s="89"/>
      <c r="N468" s="89"/>
      <c r="O468" s="91"/>
      <c r="P468" s="95"/>
      <c r="Q468" s="144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28"/>
      <c r="AU468" s="45"/>
    </row>
    <row r="469" spans="1:47" ht="12" customHeight="1" x14ac:dyDescent="0.3">
      <c r="A469" s="125"/>
      <c r="B469" s="93"/>
      <c r="C469" s="89"/>
      <c r="D469" s="89"/>
      <c r="E469" s="112"/>
      <c r="F469" s="220"/>
      <c r="G469" s="92"/>
      <c r="H469" s="93"/>
      <c r="I469" s="92"/>
      <c r="J469" s="126"/>
      <c r="K469" s="89"/>
      <c r="L469" s="89"/>
      <c r="M469" s="89"/>
      <c r="N469" s="89"/>
      <c r="O469" s="91"/>
      <c r="P469" s="95"/>
      <c r="Q469" s="144"/>
      <c r="R469" s="96"/>
      <c r="S469" s="97"/>
      <c r="T469" s="97"/>
      <c r="U469" s="97"/>
      <c r="V469" s="93"/>
      <c r="W469" s="93"/>
      <c r="X469" s="93"/>
      <c r="Y469" s="98"/>
      <c r="Z469" s="89"/>
      <c r="AA469" s="97"/>
      <c r="AB469" s="89"/>
      <c r="AC469" s="120"/>
      <c r="AD469" s="89"/>
      <c r="AE469" s="89"/>
      <c r="AF469" s="95"/>
      <c r="AG469" s="95"/>
      <c r="AH469" s="127"/>
      <c r="AI469" s="100"/>
      <c r="AJ469" s="100"/>
      <c r="AK469" s="128"/>
      <c r="AU469" s="45"/>
    </row>
    <row r="470" spans="1:47" ht="12" customHeight="1" x14ac:dyDescent="0.3">
      <c r="A470" s="125"/>
      <c r="B470" s="93"/>
      <c r="C470" s="89"/>
      <c r="D470" s="89"/>
      <c r="E470" s="112"/>
      <c r="F470" s="220"/>
      <c r="G470" s="92"/>
      <c r="H470" s="93"/>
      <c r="I470" s="92"/>
      <c r="J470" s="126"/>
      <c r="K470" s="89"/>
      <c r="L470" s="89"/>
      <c r="M470" s="89"/>
      <c r="N470" s="89"/>
      <c r="O470" s="91"/>
      <c r="P470" s="95"/>
      <c r="Q470" s="144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95"/>
      <c r="AG470" s="95"/>
      <c r="AH470" s="95"/>
      <c r="AI470" s="100"/>
      <c r="AJ470" s="100"/>
      <c r="AK470" s="128"/>
      <c r="AU470" s="45"/>
    </row>
    <row r="471" spans="1:47" ht="12" customHeight="1" x14ac:dyDescent="0.3">
      <c r="A471" s="125"/>
      <c r="B471" s="93"/>
      <c r="C471" s="89"/>
      <c r="D471" s="89"/>
      <c r="E471" s="112"/>
      <c r="F471" s="220"/>
      <c r="G471" s="92"/>
      <c r="H471" s="93"/>
      <c r="I471" s="92"/>
      <c r="J471" s="126"/>
      <c r="K471" s="89"/>
      <c r="L471" s="89"/>
      <c r="M471" s="89"/>
      <c r="N471" s="89"/>
      <c r="O471" s="91"/>
      <c r="P471" s="95"/>
      <c r="Q471" s="144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8"/>
      <c r="AU471" s="45"/>
    </row>
    <row r="472" spans="1:47" ht="12" customHeight="1" x14ac:dyDescent="0.3">
      <c r="A472" s="125"/>
      <c r="B472" s="93"/>
      <c r="C472" s="89"/>
      <c r="D472" s="89"/>
      <c r="E472" s="112"/>
      <c r="F472" s="220"/>
      <c r="G472" s="92"/>
      <c r="H472" s="93"/>
      <c r="I472" s="92"/>
      <c r="J472" s="126"/>
      <c r="K472" s="89"/>
      <c r="L472" s="89"/>
      <c r="M472" s="89"/>
      <c r="N472" s="89"/>
      <c r="O472" s="91"/>
      <c r="P472" s="95"/>
      <c r="Q472" s="144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8"/>
      <c r="AU472" s="45"/>
    </row>
    <row r="473" spans="1:47" ht="12" customHeight="1" x14ac:dyDescent="0.3">
      <c r="A473" s="125"/>
      <c r="B473" s="93"/>
      <c r="C473" s="89"/>
      <c r="D473" s="89"/>
      <c r="E473" s="112"/>
      <c r="F473" s="220"/>
      <c r="G473" s="92"/>
      <c r="H473" s="93"/>
      <c r="I473" s="92"/>
      <c r="J473" s="126"/>
      <c r="K473" s="89"/>
      <c r="L473" s="89"/>
      <c r="M473" s="89"/>
      <c r="N473" s="89"/>
      <c r="O473" s="91"/>
      <c r="P473" s="95"/>
      <c r="Q473" s="144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28"/>
      <c r="AU473" s="45"/>
    </row>
    <row r="474" spans="1:47" ht="12" customHeight="1" x14ac:dyDescent="0.3">
      <c r="A474" s="125"/>
      <c r="B474" s="93"/>
      <c r="C474" s="89"/>
      <c r="D474" s="89"/>
      <c r="E474" s="112"/>
      <c r="F474" s="220"/>
      <c r="G474" s="92"/>
      <c r="H474" s="93"/>
      <c r="I474" s="92"/>
      <c r="J474" s="126"/>
      <c r="K474" s="89"/>
      <c r="L474" s="89"/>
      <c r="M474" s="89"/>
      <c r="N474" s="89"/>
      <c r="O474" s="91"/>
      <c r="P474" s="95"/>
      <c r="Q474" s="144"/>
      <c r="R474" s="96"/>
      <c r="S474" s="97"/>
      <c r="T474" s="97"/>
      <c r="U474" s="97"/>
      <c r="V474" s="93"/>
      <c r="W474" s="93"/>
      <c r="X474" s="93"/>
      <c r="Y474" s="98"/>
      <c r="Z474" s="89"/>
      <c r="AA474" s="97"/>
      <c r="AB474" s="89"/>
      <c r="AC474" s="120"/>
      <c r="AD474" s="89"/>
      <c r="AE474" s="89"/>
      <c r="AF474" s="95"/>
      <c r="AG474" s="99"/>
      <c r="AH474" s="95"/>
      <c r="AI474" s="100"/>
      <c r="AJ474" s="100"/>
      <c r="AK474" s="128"/>
      <c r="AU474" s="45"/>
    </row>
    <row r="475" spans="1:47" ht="12" customHeight="1" x14ac:dyDescent="0.3">
      <c r="A475" s="125"/>
      <c r="B475" s="93"/>
      <c r="C475" s="89"/>
      <c r="D475" s="89"/>
      <c r="E475" s="112"/>
      <c r="F475" s="220"/>
      <c r="G475" s="92"/>
      <c r="H475" s="93"/>
      <c r="I475" s="92"/>
      <c r="J475" s="126"/>
      <c r="K475" s="89"/>
      <c r="L475" s="89"/>
      <c r="M475" s="89"/>
      <c r="N475" s="89"/>
      <c r="O475" s="91"/>
      <c r="P475" s="95"/>
      <c r="Q475" s="144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28"/>
      <c r="AU475" s="45"/>
    </row>
    <row r="476" spans="1:47" ht="12" customHeight="1" x14ac:dyDescent="0.3">
      <c r="A476" s="125"/>
      <c r="B476" s="93"/>
      <c r="C476" s="89"/>
      <c r="D476" s="89"/>
      <c r="E476" s="112"/>
      <c r="F476" s="220"/>
      <c r="G476" s="92"/>
      <c r="H476" s="93"/>
      <c r="I476" s="92"/>
      <c r="J476" s="126"/>
      <c r="K476" s="89"/>
      <c r="L476" s="89"/>
      <c r="M476" s="89"/>
      <c r="N476" s="89"/>
      <c r="O476" s="91"/>
      <c r="P476" s="95"/>
      <c r="Q476" s="144"/>
      <c r="R476" s="96"/>
      <c r="S476" s="97"/>
      <c r="T476" s="97"/>
      <c r="U476" s="97"/>
      <c r="V476" s="93"/>
      <c r="W476" s="93"/>
      <c r="X476" s="93"/>
      <c r="Y476" s="98"/>
      <c r="Z476" s="89"/>
      <c r="AA476" s="97"/>
      <c r="AB476" s="89"/>
      <c r="AC476" s="120"/>
      <c r="AD476" s="89"/>
      <c r="AE476" s="89"/>
      <c r="AF476" s="95"/>
      <c r="AG476" s="99"/>
      <c r="AH476" s="95"/>
      <c r="AI476" s="100"/>
      <c r="AJ476" s="100"/>
      <c r="AK476" s="128"/>
      <c r="AU476" s="45"/>
    </row>
    <row r="477" spans="1:47" ht="12" customHeight="1" x14ac:dyDescent="0.3">
      <c r="A477" s="125"/>
      <c r="B477" s="93"/>
      <c r="C477" s="89"/>
      <c r="D477" s="89"/>
      <c r="E477" s="112"/>
      <c r="F477" s="220"/>
      <c r="G477" s="92"/>
      <c r="H477" s="93"/>
      <c r="I477" s="92"/>
      <c r="J477" s="126"/>
      <c r="K477" s="89"/>
      <c r="L477" s="89"/>
      <c r="M477" s="89"/>
      <c r="N477" s="89"/>
      <c r="O477" s="91"/>
      <c r="P477" s="95"/>
      <c r="Q477" s="144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28"/>
      <c r="AU477" s="45"/>
    </row>
    <row r="478" spans="1:47" ht="12" customHeight="1" x14ac:dyDescent="0.3">
      <c r="A478" s="125"/>
      <c r="B478" s="93"/>
      <c r="C478" s="89"/>
      <c r="D478" s="89"/>
      <c r="E478" s="112"/>
      <c r="F478" s="220"/>
      <c r="G478" s="92"/>
      <c r="H478" s="93"/>
      <c r="I478" s="92"/>
      <c r="J478" s="126"/>
      <c r="K478" s="89"/>
      <c r="L478" s="89"/>
      <c r="M478" s="89"/>
      <c r="N478" s="89"/>
      <c r="O478" s="91"/>
      <c r="P478" s="95"/>
      <c r="Q478" s="144"/>
      <c r="R478" s="96"/>
      <c r="S478" s="97"/>
      <c r="T478" s="97"/>
      <c r="U478" s="97"/>
      <c r="V478" s="93"/>
      <c r="W478" s="93"/>
      <c r="X478" s="93"/>
      <c r="Y478" s="98"/>
      <c r="Z478" s="89"/>
      <c r="AA478" s="97"/>
      <c r="AB478" s="89"/>
      <c r="AC478" s="120"/>
      <c r="AD478" s="89"/>
      <c r="AE478" s="89"/>
      <c r="AF478" s="95"/>
      <c r="AG478" s="99"/>
      <c r="AH478" s="95"/>
      <c r="AI478" s="100"/>
      <c r="AJ478" s="100"/>
      <c r="AK478" s="128"/>
      <c r="AU478" s="45"/>
    </row>
    <row r="479" spans="1:47" ht="12" customHeight="1" x14ac:dyDescent="0.3">
      <c r="A479" s="125"/>
      <c r="B479" s="93"/>
      <c r="C479" s="89"/>
      <c r="D479" s="89"/>
      <c r="E479" s="112"/>
      <c r="F479" s="220"/>
      <c r="G479" s="92"/>
      <c r="H479" s="93"/>
      <c r="I479" s="92"/>
      <c r="J479" s="126"/>
      <c r="K479" s="89"/>
      <c r="L479" s="89"/>
      <c r="M479" s="89"/>
      <c r="N479" s="89"/>
      <c r="O479" s="91"/>
      <c r="P479" s="95"/>
      <c r="Q479" s="144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28"/>
      <c r="AU479" s="45"/>
    </row>
    <row r="480" spans="1:47" ht="12" customHeight="1" x14ac:dyDescent="0.3">
      <c r="A480" s="125"/>
      <c r="B480" s="93"/>
      <c r="C480" s="89"/>
      <c r="D480" s="89"/>
      <c r="E480" s="112"/>
      <c r="F480" s="220"/>
      <c r="G480" s="92"/>
      <c r="H480" s="93"/>
      <c r="I480" s="92"/>
      <c r="J480" s="126"/>
      <c r="K480" s="89"/>
      <c r="L480" s="89"/>
      <c r="M480" s="89"/>
      <c r="N480" s="89"/>
      <c r="O480" s="91"/>
      <c r="P480" s="95"/>
      <c r="Q480" s="144"/>
      <c r="R480" s="96"/>
      <c r="S480" s="97"/>
      <c r="T480" s="97"/>
      <c r="U480" s="97"/>
      <c r="V480" s="93"/>
      <c r="W480" s="93"/>
      <c r="X480" s="93"/>
      <c r="Y480" s="98"/>
      <c r="Z480" s="89"/>
      <c r="AA480" s="97"/>
      <c r="AB480" s="89"/>
      <c r="AC480" s="120"/>
      <c r="AD480" s="89"/>
      <c r="AE480" s="89"/>
      <c r="AF480" s="95"/>
      <c r="AG480" s="99"/>
      <c r="AH480" s="95"/>
      <c r="AI480" s="100"/>
      <c r="AJ480" s="100"/>
      <c r="AK480" s="128"/>
      <c r="AU480" s="45"/>
    </row>
    <row r="481" spans="1:47" ht="12" customHeight="1" x14ac:dyDescent="0.3">
      <c r="A481" s="125"/>
      <c r="B481" s="93"/>
      <c r="C481" s="89"/>
      <c r="D481" s="89"/>
      <c r="E481" s="112"/>
      <c r="F481" s="220"/>
      <c r="G481" s="92"/>
      <c r="H481" s="93"/>
      <c r="I481" s="92"/>
      <c r="J481" s="126"/>
      <c r="K481" s="89"/>
      <c r="L481" s="89"/>
      <c r="M481" s="89"/>
      <c r="N481" s="89"/>
      <c r="O481" s="91"/>
      <c r="P481" s="95"/>
      <c r="Q481" s="144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28"/>
      <c r="AU481" s="45"/>
    </row>
    <row r="482" spans="1:47" ht="12" customHeight="1" x14ac:dyDescent="0.3">
      <c r="A482" s="129"/>
      <c r="B482" s="130"/>
      <c r="C482" s="131"/>
      <c r="D482" s="131"/>
      <c r="E482" s="132"/>
      <c r="F482" s="221"/>
      <c r="G482" s="134"/>
      <c r="H482" s="130"/>
      <c r="I482" s="134"/>
      <c r="J482" s="135"/>
      <c r="K482" s="131"/>
      <c r="L482" s="131"/>
      <c r="M482" s="131"/>
      <c r="N482" s="131"/>
      <c r="O482" s="133"/>
      <c r="P482" s="136"/>
      <c r="Q482" s="146"/>
      <c r="R482" s="137"/>
      <c r="S482" s="138"/>
      <c r="T482" s="138"/>
      <c r="U482" s="138"/>
      <c r="V482" s="130"/>
      <c r="W482" s="139"/>
      <c r="X482" s="131"/>
      <c r="Y482" s="140"/>
      <c r="Z482" s="131"/>
      <c r="AA482" s="138"/>
      <c r="AB482" s="131"/>
      <c r="AC482" s="190"/>
      <c r="AD482" s="131"/>
      <c r="AE482" s="131"/>
      <c r="AF482" s="136"/>
      <c r="AG482" s="136"/>
      <c r="AH482" s="136"/>
      <c r="AI482" s="141"/>
      <c r="AJ482" s="141"/>
      <c r="AK482" s="142"/>
      <c r="AU482" s="45"/>
    </row>
    <row r="483" spans="1:47" ht="12" customHeight="1" x14ac:dyDescent="0.3">
      <c r="A483" s="129"/>
      <c r="B483" s="93"/>
      <c r="C483" s="131"/>
      <c r="D483" s="131"/>
      <c r="E483" s="112"/>
      <c r="F483" s="220"/>
      <c r="G483" s="92"/>
      <c r="H483" s="93"/>
      <c r="I483" s="92"/>
      <c r="J483" s="135"/>
      <c r="K483" s="89"/>
      <c r="L483" s="89"/>
      <c r="M483" s="89"/>
      <c r="N483" s="89"/>
      <c r="O483" s="91"/>
      <c r="P483" s="95"/>
      <c r="Q483" s="144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95"/>
      <c r="AG483" s="95"/>
      <c r="AH483" s="95"/>
      <c r="AI483" s="100"/>
      <c r="AJ483" s="100"/>
      <c r="AK483" s="128"/>
      <c r="AU483" s="45"/>
    </row>
    <row r="484" spans="1:47" ht="12" customHeight="1" x14ac:dyDescent="0.3">
      <c r="A484" s="129"/>
      <c r="B484" s="93"/>
      <c r="C484" s="131"/>
      <c r="D484" s="131"/>
      <c r="E484" s="112"/>
      <c r="F484" s="220"/>
      <c r="G484" s="92"/>
      <c r="H484" s="93"/>
      <c r="I484" s="92"/>
      <c r="J484" s="135"/>
      <c r="K484" s="89"/>
      <c r="L484" s="89"/>
      <c r="M484" s="89"/>
      <c r="N484" s="89"/>
      <c r="O484" s="91"/>
      <c r="P484" s="95"/>
      <c r="Q484" s="144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95"/>
      <c r="AG484" s="95"/>
      <c r="AH484" s="95"/>
      <c r="AI484" s="100"/>
      <c r="AJ484" s="100"/>
      <c r="AK484" s="128"/>
      <c r="AU484" s="45"/>
    </row>
    <row r="485" spans="1:47" ht="12" customHeight="1" x14ac:dyDescent="0.3">
      <c r="A485" s="129"/>
      <c r="B485" s="93"/>
      <c r="C485" s="131"/>
      <c r="D485" s="131"/>
      <c r="E485" s="112"/>
      <c r="F485" s="220"/>
      <c r="G485" s="92"/>
      <c r="H485" s="93"/>
      <c r="I485" s="92"/>
      <c r="J485" s="135"/>
      <c r="K485" s="89"/>
      <c r="L485" s="89"/>
      <c r="M485" s="89"/>
      <c r="N485" s="89"/>
      <c r="O485" s="91"/>
      <c r="P485" s="95"/>
      <c r="Q485" s="144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95"/>
      <c r="AG485" s="95"/>
      <c r="AH485" s="95"/>
      <c r="AI485" s="100"/>
      <c r="AJ485" s="100"/>
      <c r="AK485" s="128"/>
      <c r="AU485" s="45"/>
    </row>
    <row r="486" spans="1:47" ht="12" customHeight="1" x14ac:dyDescent="0.3">
      <c r="A486" s="129"/>
      <c r="B486" s="93"/>
      <c r="C486" s="131"/>
      <c r="D486" s="131"/>
      <c r="E486" s="112"/>
      <c r="F486" s="220"/>
      <c r="G486" s="92"/>
      <c r="H486" s="93"/>
      <c r="I486" s="92"/>
      <c r="J486" s="135"/>
      <c r="K486" s="89"/>
      <c r="L486" s="89"/>
      <c r="M486" s="89"/>
      <c r="N486" s="89"/>
      <c r="O486" s="91"/>
      <c r="P486" s="95"/>
      <c r="Q486" s="144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95"/>
      <c r="AG486" s="95"/>
      <c r="AH486" s="95"/>
      <c r="AI486" s="100"/>
      <c r="AJ486" s="100"/>
      <c r="AK486" s="128"/>
      <c r="AU486" s="45"/>
    </row>
    <row r="487" spans="1:47" ht="12" customHeight="1" x14ac:dyDescent="0.3">
      <c r="A487" s="129"/>
      <c r="B487" s="93"/>
      <c r="C487" s="131"/>
      <c r="D487" s="131"/>
      <c r="E487" s="112"/>
      <c r="F487" s="220"/>
      <c r="G487" s="92"/>
      <c r="H487" s="93"/>
      <c r="I487" s="92"/>
      <c r="J487" s="135"/>
      <c r="K487" s="89"/>
      <c r="L487" s="89"/>
      <c r="M487" s="89"/>
      <c r="N487" s="89"/>
      <c r="O487" s="91"/>
      <c r="P487" s="95"/>
      <c r="Q487" s="144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95"/>
      <c r="AG487" s="95"/>
      <c r="AH487" s="95"/>
      <c r="AI487" s="100"/>
      <c r="AJ487" s="100"/>
      <c r="AK487" s="128"/>
      <c r="AU487" s="45"/>
    </row>
    <row r="488" spans="1:47" ht="12" customHeight="1" x14ac:dyDescent="0.3">
      <c r="A488" s="129"/>
      <c r="B488" s="93"/>
      <c r="C488" s="131"/>
      <c r="D488" s="131"/>
      <c r="E488" s="112"/>
      <c r="F488" s="220"/>
      <c r="G488" s="92"/>
      <c r="H488" s="93"/>
      <c r="I488" s="92"/>
      <c r="J488" s="135"/>
      <c r="K488" s="89"/>
      <c r="L488" s="89"/>
      <c r="M488" s="89"/>
      <c r="N488" s="89"/>
      <c r="O488" s="91"/>
      <c r="P488" s="95"/>
      <c r="Q488" s="144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95"/>
      <c r="AG488" s="95"/>
      <c r="AH488" s="95"/>
      <c r="AI488" s="100"/>
      <c r="AJ488" s="100"/>
      <c r="AK488" s="128"/>
      <c r="AU488" s="45"/>
    </row>
    <row r="489" spans="1:47" ht="12" customHeight="1" x14ac:dyDescent="0.3">
      <c r="A489" s="129"/>
      <c r="B489" s="93"/>
      <c r="C489" s="131"/>
      <c r="D489" s="131"/>
      <c r="E489" s="112"/>
      <c r="F489" s="220"/>
      <c r="G489" s="92"/>
      <c r="H489" s="93"/>
      <c r="I489" s="92"/>
      <c r="J489" s="135"/>
      <c r="K489" s="89"/>
      <c r="L489" s="89"/>
      <c r="M489" s="89"/>
      <c r="N489" s="89"/>
      <c r="O489" s="91"/>
      <c r="P489" s="95"/>
      <c r="Q489" s="144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95"/>
      <c r="AG489" s="95"/>
      <c r="AH489" s="95"/>
      <c r="AI489" s="100"/>
      <c r="AJ489" s="100"/>
      <c r="AK489" s="128"/>
      <c r="AU489" s="45"/>
    </row>
    <row r="490" spans="1:47" ht="12" customHeight="1" x14ac:dyDescent="0.3">
      <c r="A490" s="129"/>
      <c r="B490" s="93"/>
      <c r="C490" s="131"/>
      <c r="D490" s="131"/>
      <c r="E490" s="112"/>
      <c r="F490" s="220"/>
      <c r="G490" s="92"/>
      <c r="H490" s="93"/>
      <c r="I490" s="92"/>
      <c r="J490" s="135"/>
      <c r="K490" s="89"/>
      <c r="L490" s="89"/>
      <c r="M490" s="89"/>
      <c r="N490" s="89"/>
      <c r="O490" s="91"/>
      <c r="P490" s="95"/>
      <c r="Q490" s="144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95"/>
      <c r="AG490" s="95"/>
      <c r="AH490" s="95"/>
      <c r="AI490" s="100"/>
      <c r="AJ490" s="100"/>
      <c r="AK490" s="128"/>
      <c r="AU490" s="45"/>
    </row>
    <row r="491" spans="1:47" ht="12" customHeight="1" x14ac:dyDescent="0.3">
      <c r="A491" s="129"/>
      <c r="B491" s="93"/>
      <c r="C491" s="131"/>
      <c r="D491" s="131"/>
      <c r="E491" s="112"/>
      <c r="F491" s="220"/>
      <c r="G491" s="92"/>
      <c r="H491" s="93"/>
      <c r="I491" s="92"/>
      <c r="J491" s="135"/>
      <c r="K491" s="89"/>
      <c r="L491" s="89"/>
      <c r="M491" s="89"/>
      <c r="N491" s="89"/>
      <c r="O491" s="91"/>
      <c r="P491" s="95"/>
      <c r="Q491" s="144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95"/>
      <c r="AG491" s="95"/>
      <c r="AH491" s="95"/>
      <c r="AI491" s="100"/>
      <c r="AJ491" s="100"/>
      <c r="AK491" s="128"/>
      <c r="AU491" s="45"/>
    </row>
    <row r="492" spans="1:47" ht="12" customHeight="1" x14ac:dyDescent="0.3">
      <c r="A492" s="129"/>
      <c r="B492" s="93"/>
      <c r="C492" s="131"/>
      <c r="D492" s="131"/>
      <c r="E492" s="112"/>
      <c r="F492" s="220"/>
      <c r="G492" s="92"/>
      <c r="H492" s="93"/>
      <c r="I492" s="92"/>
      <c r="J492" s="135"/>
      <c r="K492" s="89"/>
      <c r="L492" s="89"/>
      <c r="M492" s="89"/>
      <c r="N492" s="89"/>
      <c r="O492" s="91"/>
      <c r="P492" s="95"/>
      <c r="Q492" s="144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95"/>
      <c r="AG492" s="95"/>
      <c r="AH492" s="95"/>
      <c r="AI492" s="100"/>
      <c r="AJ492" s="100"/>
      <c r="AK492" s="128"/>
      <c r="AU492" s="45"/>
    </row>
    <row r="493" spans="1:47" ht="12" customHeight="1" x14ac:dyDescent="0.3">
      <c r="A493" s="129"/>
      <c r="B493" s="93"/>
      <c r="C493" s="131"/>
      <c r="D493" s="131"/>
      <c r="E493" s="112"/>
      <c r="F493" s="220"/>
      <c r="G493" s="92"/>
      <c r="H493" s="93"/>
      <c r="I493" s="92"/>
      <c r="J493" s="135"/>
      <c r="K493" s="89"/>
      <c r="L493" s="89"/>
      <c r="M493" s="89"/>
      <c r="N493" s="89"/>
      <c r="O493" s="91"/>
      <c r="P493" s="95"/>
      <c r="Q493" s="144"/>
      <c r="R493" s="96"/>
      <c r="S493" s="97"/>
      <c r="T493" s="97"/>
      <c r="U493" s="97"/>
      <c r="V493" s="93"/>
      <c r="W493" s="123"/>
      <c r="X493" s="89"/>
      <c r="Y493" s="98"/>
      <c r="Z493" s="89"/>
      <c r="AA493" s="97"/>
      <c r="AB493" s="89"/>
      <c r="AC493" s="120"/>
      <c r="AD493" s="89"/>
      <c r="AE493" s="89"/>
      <c r="AF493" s="95"/>
      <c r="AG493" s="95"/>
      <c r="AH493" s="95"/>
      <c r="AI493" s="100"/>
      <c r="AJ493" s="100"/>
      <c r="AK493" s="128"/>
      <c r="AU493" s="45"/>
    </row>
    <row r="494" spans="1:47" ht="12" customHeight="1" x14ac:dyDescent="0.3">
      <c r="A494" s="129"/>
      <c r="B494" s="93"/>
      <c r="C494" s="131"/>
      <c r="D494" s="131"/>
      <c r="E494" s="112"/>
      <c r="F494" s="220"/>
      <c r="G494" s="92"/>
      <c r="H494" s="93"/>
      <c r="I494" s="92"/>
      <c r="J494" s="135"/>
      <c r="K494" s="89"/>
      <c r="L494" s="89"/>
      <c r="M494" s="89"/>
      <c r="N494" s="89"/>
      <c r="O494" s="91"/>
      <c r="P494" s="95"/>
      <c r="Q494" s="144"/>
      <c r="R494" s="96"/>
      <c r="S494" s="97"/>
      <c r="T494" s="97"/>
      <c r="U494" s="97"/>
      <c r="V494" s="93"/>
      <c r="W494" s="123"/>
      <c r="X494" s="89"/>
      <c r="Y494" s="98"/>
      <c r="Z494" s="89"/>
      <c r="AA494" s="97"/>
      <c r="AB494" s="89"/>
      <c r="AC494" s="120"/>
      <c r="AD494" s="89"/>
      <c r="AE494" s="89"/>
      <c r="AF494" s="95"/>
      <c r="AG494" s="95"/>
      <c r="AH494" s="95"/>
      <c r="AI494" s="100"/>
      <c r="AJ494" s="100"/>
      <c r="AK494" s="128"/>
      <c r="AU494" s="45"/>
    </row>
    <row r="495" spans="1:47" ht="12" customHeight="1" x14ac:dyDescent="0.3">
      <c r="A495" s="129"/>
      <c r="B495" s="93"/>
      <c r="C495" s="131"/>
      <c r="D495" s="131"/>
      <c r="E495" s="132"/>
      <c r="F495" s="221"/>
      <c r="G495" s="134"/>
      <c r="H495" s="130"/>
      <c r="I495" s="134"/>
      <c r="J495" s="135"/>
      <c r="K495" s="131"/>
      <c r="L495" s="131"/>
      <c r="M495" s="131"/>
      <c r="N495" s="131"/>
      <c r="O495" s="133"/>
      <c r="P495" s="136"/>
      <c r="Q495" s="144"/>
      <c r="R495" s="137"/>
      <c r="S495" s="138"/>
      <c r="T495" s="97"/>
      <c r="U495" s="97"/>
      <c r="V495" s="130"/>
      <c r="W495" s="139"/>
      <c r="X495" s="131"/>
      <c r="Y495" s="140"/>
      <c r="Z495" s="131"/>
      <c r="AA495" s="138"/>
      <c r="AB495" s="131"/>
      <c r="AC495" s="190"/>
      <c r="AD495" s="131"/>
      <c r="AE495" s="131"/>
      <c r="AF495" s="136"/>
      <c r="AG495" s="136"/>
      <c r="AH495" s="136"/>
      <c r="AI495" s="141"/>
      <c r="AJ495" s="141"/>
      <c r="AK495" s="142"/>
      <c r="AU495" s="45"/>
    </row>
    <row r="496" spans="1:47" ht="12" customHeight="1" x14ac:dyDescent="0.3">
      <c r="A496" s="87"/>
      <c r="B496" s="88"/>
      <c r="C496" s="91"/>
      <c r="D496" s="89"/>
      <c r="E496" s="112"/>
      <c r="F496" s="220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4"/>
      <c r="R496" s="96"/>
      <c r="S496" s="97"/>
      <c r="T496" s="97"/>
      <c r="U496" s="97"/>
      <c r="V496" s="93"/>
      <c r="W496" s="124"/>
      <c r="X496" s="89"/>
      <c r="Y496" s="98"/>
      <c r="Z496" s="89"/>
      <c r="AA496" s="97"/>
      <c r="AB496" s="91"/>
      <c r="AC496" s="120"/>
      <c r="AD496" s="89"/>
      <c r="AE496" s="89"/>
      <c r="AF496" s="99"/>
      <c r="AG496" s="99"/>
      <c r="AH496" s="99"/>
      <c r="AI496" s="100"/>
      <c r="AJ496" s="100"/>
      <c r="AK496" s="100"/>
      <c r="AU496" s="45"/>
    </row>
    <row r="497" spans="1:47" ht="12" customHeight="1" x14ac:dyDescent="0.3">
      <c r="A497" s="87"/>
      <c r="B497" s="88"/>
      <c r="C497" s="91"/>
      <c r="D497" s="89"/>
      <c r="E497" s="112"/>
      <c r="F497" s="220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4"/>
      <c r="R497" s="96"/>
      <c r="S497" s="97"/>
      <c r="T497" s="97"/>
      <c r="U497" s="97"/>
      <c r="V497" s="93"/>
      <c r="W497" s="124"/>
      <c r="X497" s="93"/>
      <c r="Y497" s="98"/>
      <c r="Z497" s="89"/>
      <c r="AA497" s="97"/>
      <c r="AB497" s="91"/>
      <c r="AC497" s="120"/>
      <c r="AD497" s="89"/>
      <c r="AE497" s="89"/>
      <c r="AF497" s="99"/>
      <c r="AG497" s="99"/>
      <c r="AH497" s="99"/>
      <c r="AI497" s="100"/>
      <c r="AJ497" s="100"/>
      <c r="AK497" s="100"/>
      <c r="AU497" s="45"/>
    </row>
    <row r="498" spans="1:47" ht="12" customHeight="1" x14ac:dyDescent="0.3">
      <c r="A498" s="87"/>
      <c r="B498" s="88"/>
      <c r="C498" s="91"/>
      <c r="D498" s="89"/>
      <c r="E498" s="112"/>
      <c r="F498" s="220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4"/>
      <c r="R498" s="96"/>
      <c r="S498" s="97"/>
      <c r="T498" s="97"/>
      <c r="U498" s="97"/>
      <c r="V498" s="93"/>
      <c r="W498" s="124"/>
      <c r="X498" s="89"/>
      <c r="Y498" s="98"/>
      <c r="Z498" s="89"/>
      <c r="AA498" s="97"/>
      <c r="AB498" s="91"/>
      <c r="AC498" s="120"/>
      <c r="AD498" s="89"/>
      <c r="AE498" s="89"/>
      <c r="AF498" s="99"/>
      <c r="AG498" s="99"/>
      <c r="AH498" s="99"/>
      <c r="AI498" s="100"/>
      <c r="AJ498" s="100"/>
      <c r="AK498" s="100"/>
      <c r="AU498" s="45"/>
    </row>
    <row r="499" spans="1:47" ht="12" customHeight="1" x14ac:dyDescent="0.3">
      <c r="A499" s="87"/>
      <c r="B499" s="88"/>
      <c r="C499" s="91"/>
      <c r="D499" s="89"/>
      <c r="E499" s="112"/>
      <c r="F499" s="220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4"/>
      <c r="R499" s="96"/>
      <c r="S499" s="97"/>
      <c r="T499" s="97"/>
      <c r="U499" s="97"/>
      <c r="V499" s="93"/>
      <c r="W499" s="124"/>
      <c r="X499" s="89"/>
      <c r="Y499" s="98"/>
      <c r="Z499" s="89"/>
      <c r="AA499" s="97"/>
      <c r="AB499" s="91"/>
      <c r="AC499" s="120"/>
      <c r="AD499" s="89"/>
      <c r="AE499" s="89"/>
      <c r="AF499" s="99"/>
      <c r="AG499" s="99"/>
      <c r="AH499" s="99"/>
      <c r="AI499" s="100"/>
      <c r="AJ499" s="100"/>
      <c r="AK499" s="100"/>
      <c r="AU499" s="45"/>
    </row>
    <row r="500" spans="1:47" ht="12" customHeight="1" x14ac:dyDescent="0.3">
      <c r="A500" s="87"/>
      <c r="B500" s="88"/>
      <c r="C500" s="91"/>
      <c r="D500" s="89"/>
      <c r="E500" s="112"/>
      <c r="F500" s="220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4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 x14ac:dyDescent="0.3">
      <c r="A501" s="87"/>
      <c r="B501" s="88"/>
      <c r="C501" s="91"/>
      <c r="D501" s="89"/>
      <c r="E501" s="112"/>
      <c r="F501" s="220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4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 x14ac:dyDescent="0.3">
      <c r="A502" s="87"/>
      <c r="B502" s="88"/>
      <c r="C502" s="91"/>
      <c r="D502" s="89"/>
      <c r="E502" s="112"/>
      <c r="F502" s="220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4"/>
      <c r="R502" s="96"/>
      <c r="S502" s="97"/>
      <c r="T502" s="97"/>
      <c r="U502" s="97"/>
      <c r="V502" s="93"/>
      <c r="W502" s="89"/>
      <c r="X502" s="89"/>
      <c r="Y502" s="89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 x14ac:dyDescent="0.3">
      <c r="A503" s="87"/>
      <c r="B503" s="88"/>
      <c r="C503" s="91"/>
      <c r="D503" s="89"/>
      <c r="E503" s="112"/>
      <c r="F503" s="220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4"/>
      <c r="R503" s="96"/>
      <c r="S503" s="97"/>
      <c r="T503" s="97"/>
      <c r="U503" s="97"/>
      <c r="V503" s="93"/>
      <c r="W503" s="89"/>
      <c r="X503" s="89"/>
      <c r="Y503" s="89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 x14ac:dyDescent="0.3">
      <c r="A504" s="87"/>
      <c r="B504" s="88"/>
      <c r="C504" s="91"/>
      <c r="D504" s="89"/>
      <c r="E504" s="112"/>
      <c r="F504" s="220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4"/>
      <c r="R504" s="96"/>
      <c r="S504" s="97"/>
      <c r="T504" s="97"/>
      <c r="U504" s="97"/>
      <c r="V504" s="93"/>
      <c r="W504" s="89"/>
      <c r="X504" s="89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U504" s="45"/>
    </row>
    <row r="505" spans="1:47" ht="12" customHeight="1" x14ac:dyDescent="0.3">
      <c r="A505" s="87"/>
      <c r="B505" s="88"/>
      <c r="C505" s="91"/>
      <c r="D505" s="89"/>
      <c r="E505" s="112"/>
      <c r="F505" s="220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4"/>
      <c r="R505" s="96"/>
      <c r="S505" s="97"/>
      <c r="T505" s="97"/>
      <c r="U505" s="97"/>
      <c r="V505" s="93"/>
      <c r="W505" s="124"/>
      <c r="X505" s="93"/>
      <c r="Y505" s="98"/>
      <c r="Z505" s="89"/>
      <c r="AA505" s="97"/>
      <c r="AB505" s="91"/>
      <c r="AC505" s="120"/>
      <c r="AD505" s="89"/>
      <c r="AE505" s="89"/>
      <c r="AF505" s="99"/>
      <c r="AG505" s="99"/>
      <c r="AH505" s="99"/>
      <c r="AI505" s="100"/>
      <c r="AJ505" s="100"/>
      <c r="AK505" s="100"/>
      <c r="AU505" s="45"/>
    </row>
    <row r="506" spans="1:47" ht="12" customHeight="1" x14ac:dyDescent="0.3">
      <c r="A506" s="87"/>
      <c r="B506" s="88"/>
      <c r="C506" s="91"/>
      <c r="D506" s="89"/>
      <c r="E506" s="112"/>
      <c r="F506" s="220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4"/>
      <c r="R506" s="96"/>
      <c r="S506" s="97"/>
      <c r="T506" s="97"/>
      <c r="U506" s="97"/>
      <c r="V506" s="93"/>
      <c r="W506" s="124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 x14ac:dyDescent="0.3">
      <c r="A507" s="87"/>
      <c r="B507" s="88"/>
      <c r="C507" s="91"/>
      <c r="D507" s="89"/>
      <c r="E507" s="112"/>
      <c r="F507" s="220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4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 x14ac:dyDescent="0.3">
      <c r="A508" s="87"/>
      <c r="B508" s="88"/>
      <c r="C508" s="91"/>
      <c r="D508" s="89"/>
      <c r="E508" s="112"/>
      <c r="F508" s="220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4"/>
      <c r="R508" s="96"/>
      <c r="S508" s="97"/>
      <c r="T508" s="97"/>
      <c r="U508" s="97"/>
      <c r="V508" s="93"/>
      <c r="W508" s="89"/>
      <c r="X508" s="89"/>
      <c r="Y508" s="89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 x14ac:dyDescent="0.3">
      <c r="A509" s="87"/>
      <c r="B509" s="88"/>
      <c r="C509" s="91"/>
      <c r="D509" s="89"/>
      <c r="E509" s="112"/>
      <c r="F509" s="220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4"/>
      <c r="R509" s="96"/>
      <c r="S509" s="97"/>
      <c r="T509" s="97"/>
      <c r="U509" s="97"/>
      <c r="V509" s="93"/>
      <c r="W509" s="89"/>
      <c r="X509" s="89"/>
      <c r="Y509" s="89"/>
      <c r="Z509" s="89"/>
      <c r="AA509" s="97"/>
      <c r="AB509" s="91"/>
      <c r="AC509" s="120"/>
      <c r="AD509" s="89"/>
      <c r="AE509" s="89"/>
      <c r="AF509" s="99"/>
      <c r="AG509" s="95"/>
      <c r="AH509" s="99"/>
      <c r="AI509" s="100"/>
      <c r="AJ509" s="100"/>
      <c r="AK509" s="100"/>
      <c r="AU509" s="45"/>
    </row>
    <row r="510" spans="1:47" ht="12" customHeight="1" x14ac:dyDescent="0.3">
      <c r="A510" s="87"/>
      <c r="B510" s="88"/>
      <c r="C510" s="91"/>
      <c r="D510" s="89"/>
      <c r="E510" s="112"/>
      <c r="F510" s="220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4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99"/>
      <c r="AG510" s="95"/>
      <c r="AH510" s="99"/>
      <c r="AI510" s="100"/>
      <c r="AJ510" s="100"/>
      <c r="AK510" s="100"/>
      <c r="AU510" s="45"/>
    </row>
    <row r="511" spans="1:47" ht="12" customHeight="1" x14ac:dyDescent="0.3">
      <c r="A511" s="87"/>
      <c r="B511" s="88"/>
      <c r="C511" s="91"/>
      <c r="D511" s="89"/>
      <c r="E511" s="112"/>
      <c r="F511" s="220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4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99"/>
      <c r="AG511" s="95"/>
      <c r="AH511" s="99"/>
      <c r="AI511" s="100"/>
      <c r="AJ511" s="100"/>
      <c r="AK511" s="100"/>
      <c r="AU511" s="45"/>
    </row>
    <row r="512" spans="1:47" ht="12" customHeight="1" x14ac:dyDescent="0.3">
      <c r="A512" s="87"/>
      <c r="B512" s="88"/>
      <c r="C512" s="91"/>
      <c r="D512" s="89"/>
      <c r="E512" s="112"/>
      <c r="F512" s="220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4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99"/>
      <c r="AG512" s="95"/>
      <c r="AH512" s="99"/>
      <c r="AI512" s="100"/>
      <c r="AJ512" s="100"/>
      <c r="AK512" s="100"/>
      <c r="AU512" s="45"/>
    </row>
    <row r="513" spans="1:47" ht="12" customHeight="1" x14ac:dyDescent="0.3">
      <c r="A513" s="87"/>
      <c r="B513" s="88"/>
      <c r="C513" s="91"/>
      <c r="D513" s="89"/>
      <c r="E513" s="112"/>
      <c r="F513" s="220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4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99"/>
      <c r="AG513" s="95"/>
      <c r="AH513" s="99"/>
      <c r="AI513" s="100"/>
      <c r="AJ513" s="100"/>
      <c r="AK513" s="100"/>
      <c r="AU513" s="45"/>
    </row>
    <row r="514" spans="1:47" ht="12" customHeight="1" x14ac:dyDescent="0.3">
      <c r="A514" s="87"/>
      <c r="B514" s="88"/>
      <c r="C514" s="91"/>
      <c r="D514" s="89"/>
      <c r="E514" s="112"/>
      <c r="F514" s="220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4"/>
      <c r="R514" s="96"/>
      <c r="S514" s="97"/>
      <c r="T514" s="97"/>
      <c r="U514" s="97"/>
      <c r="V514" s="93"/>
      <c r="W514" s="89"/>
      <c r="X514" s="89"/>
      <c r="Y514" s="98"/>
      <c r="Z514" s="89"/>
      <c r="AA514" s="97"/>
      <c r="AB514" s="91"/>
      <c r="AC514" s="120"/>
      <c r="AD514" s="89"/>
      <c r="AE514" s="89"/>
      <c r="AF514" s="99"/>
      <c r="AG514" s="95"/>
      <c r="AH514" s="99"/>
      <c r="AI514" s="100"/>
      <c r="AJ514" s="100"/>
      <c r="AK514" s="100"/>
      <c r="AU514" s="45"/>
    </row>
    <row r="515" spans="1:47" ht="12" customHeight="1" x14ac:dyDescent="0.3">
      <c r="A515" s="87"/>
      <c r="B515" s="88"/>
      <c r="C515" s="91"/>
      <c r="D515" s="89"/>
      <c r="E515" s="112"/>
      <c r="F515" s="220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4"/>
      <c r="R515" s="96"/>
      <c r="S515" s="97"/>
      <c r="T515" s="97"/>
      <c r="U515" s="97"/>
      <c r="V515" s="93"/>
      <c r="W515" s="89"/>
      <c r="X515" s="89"/>
      <c r="Y515" s="98"/>
      <c r="Z515" s="89"/>
      <c r="AA515" s="97"/>
      <c r="AB515" s="91"/>
      <c r="AC515" s="120"/>
      <c r="AD515" s="89"/>
      <c r="AE515" s="89"/>
      <c r="AF515" s="99"/>
      <c r="AG515" s="95"/>
      <c r="AH515" s="99"/>
      <c r="AI515" s="100"/>
      <c r="AJ515" s="100"/>
      <c r="AK515" s="100"/>
      <c r="AU515" s="45"/>
    </row>
    <row r="516" spans="1:47" ht="12" customHeight="1" x14ac:dyDescent="0.3">
      <c r="A516" s="87"/>
      <c r="B516" s="88"/>
      <c r="C516" s="91"/>
      <c r="D516" s="89"/>
      <c r="E516" s="112"/>
      <c r="F516" s="220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4"/>
      <c r="R516" s="96"/>
      <c r="S516" s="97"/>
      <c r="T516" s="97"/>
      <c r="U516" s="97"/>
      <c r="V516" s="93"/>
      <c r="W516" s="124"/>
      <c r="X516" s="123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 x14ac:dyDescent="0.3">
      <c r="A517" s="87"/>
      <c r="B517" s="88"/>
      <c r="C517" s="91"/>
      <c r="D517" s="89"/>
      <c r="E517" s="112"/>
      <c r="F517" s="220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4"/>
      <c r="R517" s="96"/>
      <c r="S517" s="97"/>
      <c r="T517" s="97"/>
      <c r="U517" s="97"/>
      <c r="V517" s="88"/>
      <c r="W517" s="124"/>
      <c r="X517" s="123"/>
      <c r="Y517" s="98"/>
      <c r="Z517" s="89"/>
      <c r="AA517" s="97"/>
      <c r="AB517" s="91"/>
      <c r="AC517" s="120"/>
      <c r="AD517" s="89"/>
      <c r="AE517" s="89"/>
      <c r="AF517" s="99"/>
      <c r="AG517" s="95"/>
      <c r="AH517" s="99"/>
      <c r="AI517" s="100"/>
      <c r="AJ517" s="100"/>
      <c r="AK517" s="100"/>
      <c r="AU517" s="45"/>
    </row>
    <row r="518" spans="1:47" ht="12" customHeight="1" x14ac:dyDescent="0.3">
      <c r="A518" s="87"/>
      <c r="B518" s="88"/>
      <c r="C518" s="91"/>
      <c r="D518" s="89"/>
      <c r="E518" s="112"/>
      <c r="F518" s="220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4"/>
      <c r="R518" s="96"/>
      <c r="S518" s="97"/>
      <c r="T518" s="97"/>
      <c r="U518" s="97"/>
      <c r="V518" s="88"/>
      <c r="W518" s="124"/>
      <c r="X518" s="123"/>
      <c r="Y518" s="98"/>
      <c r="Z518" s="89"/>
      <c r="AA518" s="97"/>
      <c r="AB518" s="91"/>
      <c r="AC518" s="120"/>
      <c r="AD518" s="89"/>
      <c r="AE518" s="89"/>
      <c r="AF518" s="99"/>
      <c r="AG518" s="95"/>
      <c r="AH518" s="99"/>
      <c r="AI518" s="100"/>
      <c r="AJ518" s="100"/>
      <c r="AK518" s="100"/>
      <c r="AU518" s="45"/>
    </row>
    <row r="519" spans="1:47" ht="12" customHeight="1" x14ac:dyDescent="0.3">
      <c r="A519" s="87"/>
      <c r="B519" s="88"/>
      <c r="C519" s="91"/>
      <c r="D519" s="89"/>
      <c r="E519" s="112"/>
      <c r="F519" s="220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4"/>
      <c r="R519" s="96"/>
      <c r="S519" s="97"/>
      <c r="T519" s="97"/>
      <c r="U519" s="97"/>
      <c r="V519" s="88"/>
      <c r="W519" s="124"/>
      <c r="X519" s="123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 x14ac:dyDescent="0.3">
      <c r="A520" s="87"/>
      <c r="B520" s="88"/>
      <c r="C520" s="91"/>
      <c r="D520" s="89"/>
      <c r="E520" s="112"/>
      <c r="F520" s="220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4"/>
      <c r="R520" s="96"/>
      <c r="S520" s="97"/>
      <c r="T520" s="97"/>
      <c r="U520" s="97"/>
      <c r="V520" s="93"/>
      <c r="W520" s="124"/>
      <c r="X520" s="93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U520" s="45"/>
    </row>
    <row r="521" spans="1:47" ht="12" customHeight="1" x14ac:dyDescent="0.3">
      <c r="A521" s="87"/>
      <c r="B521" s="88"/>
      <c r="C521" s="91"/>
      <c r="D521" s="89"/>
      <c r="E521" s="112"/>
      <c r="F521" s="220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4"/>
      <c r="R521" s="96"/>
      <c r="S521" s="97"/>
      <c r="T521" s="97"/>
      <c r="U521" s="97"/>
      <c r="V521" s="93"/>
      <c r="W521" s="124"/>
      <c r="X521" s="93"/>
      <c r="Y521" s="98"/>
      <c r="Z521" s="89"/>
      <c r="AA521" s="97"/>
      <c r="AB521" s="91"/>
      <c r="AC521" s="120"/>
      <c r="AD521" s="89"/>
      <c r="AE521" s="89"/>
      <c r="AF521" s="99"/>
      <c r="AG521" s="99"/>
      <c r="AH521" s="99"/>
      <c r="AI521" s="100"/>
      <c r="AJ521" s="100"/>
      <c r="AK521" s="100"/>
      <c r="AU521" s="45"/>
    </row>
    <row r="522" spans="1:47" ht="12" customHeight="1" x14ac:dyDescent="0.3">
      <c r="A522" s="87"/>
      <c r="B522" s="88"/>
      <c r="C522" s="91"/>
      <c r="D522" s="89"/>
      <c r="E522" s="112"/>
      <c r="F522" s="220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4"/>
      <c r="R522" s="96"/>
      <c r="S522" s="97"/>
      <c r="T522" s="97"/>
      <c r="U522" s="97"/>
      <c r="V522" s="93"/>
      <c r="W522" s="124"/>
      <c r="X522" s="93"/>
      <c r="Y522" s="98"/>
      <c r="Z522" s="89"/>
      <c r="AA522" s="97"/>
      <c r="AB522" s="91"/>
      <c r="AC522" s="120"/>
      <c r="AD522" s="89"/>
      <c r="AE522" s="89"/>
      <c r="AF522" s="99"/>
      <c r="AG522" s="99"/>
      <c r="AH522" s="99"/>
      <c r="AI522" s="100"/>
      <c r="AJ522" s="100"/>
      <c r="AK522" s="100"/>
      <c r="AU522" s="45"/>
    </row>
    <row r="523" spans="1:47" ht="12" customHeight="1" x14ac:dyDescent="0.3">
      <c r="A523" s="87"/>
      <c r="B523" s="88"/>
      <c r="C523" s="91"/>
      <c r="D523" s="89"/>
      <c r="E523" s="112"/>
      <c r="F523" s="220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4"/>
      <c r="R523" s="96"/>
      <c r="S523" s="97"/>
      <c r="T523" s="97"/>
      <c r="U523" s="97"/>
      <c r="V523" s="88"/>
      <c r="W523" s="124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 x14ac:dyDescent="0.3">
      <c r="A524" s="87"/>
      <c r="B524" s="88"/>
      <c r="C524" s="91"/>
      <c r="D524" s="89"/>
      <c r="E524" s="112"/>
      <c r="F524" s="220"/>
      <c r="G524" s="92"/>
      <c r="H524" s="93"/>
      <c r="I524" s="92"/>
      <c r="J524" s="89"/>
      <c r="K524" s="89"/>
      <c r="L524" s="89"/>
      <c r="M524" s="89"/>
      <c r="N524" s="89"/>
      <c r="O524" s="94"/>
      <c r="P524" s="95"/>
      <c r="Q524" s="144"/>
      <c r="R524" s="96"/>
      <c r="S524" s="97"/>
      <c r="T524" s="97"/>
      <c r="U524" s="97"/>
      <c r="V524" s="88"/>
      <c r="W524" s="124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 x14ac:dyDescent="0.3">
      <c r="A525" s="87"/>
      <c r="B525" s="88"/>
      <c r="C525" s="91"/>
      <c r="D525" s="89"/>
      <c r="E525" s="112"/>
      <c r="F525" s="220"/>
      <c r="G525" s="92"/>
      <c r="H525" s="93"/>
      <c r="I525" s="92"/>
      <c r="J525" s="89"/>
      <c r="K525" s="89"/>
      <c r="L525" s="89"/>
      <c r="M525" s="89"/>
      <c r="N525" s="89"/>
      <c r="O525" s="94"/>
      <c r="P525" s="95"/>
      <c r="Q525" s="144"/>
      <c r="R525" s="96"/>
      <c r="S525" s="97"/>
      <c r="T525" s="97"/>
      <c r="U525" s="97"/>
      <c r="V525" s="88"/>
      <c r="W525" s="124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 x14ac:dyDescent="0.3">
      <c r="A526" s="87"/>
      <c r="B526" s="88"/>
      <c r="C526" s="91"/>
      <c r="D526" s="89"/>
      <c r="E526" s="112"/>
      <c r="F526" s="220"/>
      <c r="G526" s="92"/>
      <c r="H526" s="93"/>
      <c r="I526" s="92"/>
      <c r="J526" s="89"/>
      <c r="K526" s="114"/>
      <c r="L526" s="89"/>
      <c r="M526" s="89"/>
      <c r="N526" s="89"/>
      <c r="O526" s="94"/>
      <c r="P526" s="95"/>
      <c r="Q526" s="144"/>
      <c r="R526" s="96"/>
      <c r="S526" s="97"/>
      <c r="T526" s="97"/>
      <c r="U526" s="97"/>
      <c r="V526" s="88"/>
      <c r="W526" s="124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 x14ac:dyDescent="0.3">
      <c r="A527" s="87"/>
      <c r="B527" s="88"/>
      <c r="C527" s="91"/>
      <c r="D527" s="89"/>
      <c r="E527" s="112"/>
      <c r="F527" s="220"/>
      <c r="G527" s="92"/>
      <c r="H527" s="93"/>
      <c r="I527" s="92"/>
      <c r="J527" s="89"/>
      <c r="K527" s="114"/>
      <c r="L527" s="89"/>
      <c r="M527" s="89"/>
      <c r="N527" s="89"/>
      <c r="O527" s="94"/>
      <c r="P527" s="95"/>
      <c r="Q527" s="144"/>
      <c r="R527" s="96"/>
      <c r="S527" s="97"/>
      <c r="T527" s="97"/>
      <c r="U527" s="97"/>
      <c r="V527" s="88"/>
      <c r="W527" s="124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U527" s="45"/>
    </row>
    <row r="528" spans="1:47" ht="12" customHeight="1" x14ac:dyDescent="0.3">
      <c r="A528" s="87"/>
      <c r="B528" s="93"/>
      <c r="C528" s="91"/>
      <c r="D528" s="89"/>
      <c r="E528" s="112"/>
      <c r="F528" s="220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4"/>
      <c r="R528" s="97"/>
      <c r="S528" s="97"/>
      <c r="T528" s="97"/>
      <c r="U528" s="97"/>
      <c r="V528" s="93"/>
      <c r="W528" s="89"/>
      <c r="X528" s="89"/>
      <c r="Y528" s="98"/>
      <c r="Z528" s="89"/>
      <c r="AA528" s="97"/>
      <c r="AB528" s="91"/>
      <c r="AC528" s="120"/>
      <c r="AD528" s="89"/>
      <c r="AE528" s="89"/>
      <c r="AF528" s="99"/>
      <c r="AG528" s="95"/>
      <c r="AH528" s="99"/>
      <c r="AI528" s="100"/>
      <c r="AJ528" s="100"/>
      <c r="AK528" s="100"/>
      <c r="AU528" s="45"/>
    </row>
    <row r="529" spans="1:47" ht="12" customHeight="1" x14ac:dyDescent="0.3">
      <c r="A529" s="87"/>
      <c r="B529" s="93"/>
      <c r="C529" s="91"/>
      <c r="D529" s="89"/>
      <c r="E529" s="112"/>
      <c r="F529" s="220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4"/>
      <c r="R529" s="97"/>
      <c r="S529" s="97"/>
      <c r="T529" s="97"/>
      <c r="U529" s="97"/>
      <c r="V529" s="93"/>
      <c r="W529" s="89"/>
      <c r="X529" s="89"/>
      <c r="Y529" s="98"/>
      <c r="Z529" s="89"/>
      <c r="AA529" s="97"/>
      <c r="AB529" s="91"/>
      <c r="AC529" s="120"/>
      <c r="AD529" s="89"/>
      <c r="AE529" s="89"/>
      <c r="AF529" s="99"/>
      <c r="AG529" s="99"/>
      <c r="AH529" s="99"/>
      <c r="AI529" s="100"/>
      <c r="AJ529" s="100"/>
      <c r="AK529" s="100"/>
      <c r="AU529" s="45"/>
    </row>
    <row r="530" spans="1:47" ht="12" customHeight="1" x14ac:dyDescent="0.3">
      <c r="A530" s="87"/>
      <c r="B530" s="93"/>
      <c r="C530" s="91"/>
      <c r="D530" s="89"/>
      <c r="E530" s="112"/>
      <c r="F530" s="220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4"/>
      <c r="R530" s="97"/>
      <c r="S530" s="97"/>
      <c r="T530" s="97"/>
      <c r="U530" s="97"/>
      <c r="V530" s="93"/>
      <c r="W530" s="93"/>
      <c r="X530" s="93"/>
      <c r="Y530" s="98"/>
      <c r="Z530" s="89"/>
      <c r="AA530" s="97"/>
      <c r="AB530" s="91"/>
      <c r="AC530" s="120"/>
      <c r="AD530" s="89"/>
      <c r="AE530" s="89"/>
      <c r="AF530" s="99"/>
      <c r="AG530" s="99"/>
      <c r="AH530" s="99"/>
      <c r="AI530" s="100"/>
      <c r="AJ530" s="100"/>
      <c r="AK530" s="100"/>
      <c r="AU530" s="45"/>
    </row>
    <row r="531" spans="1:47" ht="12" customHeight="1" x14ac:dyDescent="0.3">
      <c r="A531" s="87"/>
      <c r="B531" s="93"/>
      <c r="C531" s="91"/>
      <c r="D531" s="89"/>
      <c r="E531" s="112"/>
      <c r="F531" s="220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4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9"/>
      <c r="AG531" s="95"/>
      <c r="AH531" s="99"/>
      <c r="AI531" s="100"/>
      <c r="AJ531" s="100"/>
      <c r="AK531" s="100"/>
      <c r="AU531" s="45"/>
    </row>
    <row r="532" spans="1:47" ht="12" customHeight="1" x14ac:dyDescent="0.3">
      <c r="A532" s="87"/>
      <c r="B532" s="93"/>
      <c r="C532" s="91"/>
      <c r="D532" s="89"/>
      <c r="E532" s="112"/>
      <c r="F532" s="220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4"/>
      <c r="R532" s="96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9"/>
      <c r="AG532" s="95"/>
      <c r="AH532" s="99"/>
      <c r="AI532" s="100"/>
      <c r="AJ532" s="100"/>
      <c r="AK532" s="100"/>
      <c r="AU532" s="45"/>
    </row>
    <row r="533" spans="1:47" ht="12" customHeight="1" x14ac:dyDescent="0.3">
      <c r="A533" s="87"/>
      <c r="B533" s="93"/>
      <c r="C533" s="91"/>
      <c r="D533" s="89"/>
      <c r="E533" s="112"/>
      <c r="F533" s="220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4"/>
      <c r="R533" s="96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9"/>
      <c r="AG533" s="95"/>
      <c r="AH533" s="99"/>
      <c r="AI533" s="100"/>
      <c r="AJ533" s="100"/>
      <c r="AK533" s="100"/>
      <c r="AU533" s="45"/>
    </row>
    <row r="534" spans="1:47" ht="12" customHeight="1" x14ac:dyDescent="0.3">
      <c r="A534" s="87"/>
      <c r="B534" s="93"/>
      <c r="C534" s="91"/>
      <c r="D534" s="89"/>
      <c r="E534" s="112"/>
      <c r="F534" s="220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4"/>
      <c r="R534" s="97"/>
      <c r="S534" s="97"/>
      <c r="T534" s="97"/>
      <c r="U534" s="97"/>
      <c r="V534" s="93"/>
      <c r="W534" s="123"/>
      <c r="X534" s="89"/>
      <c r="Y534" s="98"/>
      <c r="Z534" s="89"/>
      <c r="AA534" s="97"/>
      <c r="AB534" s="91"/>
      <c r="AC534" s="120"/>
      <c r="AD534" s="89"/>
      <c r="AE534" s="89"/>
      <c r="AF534" s="99"/>
      <c r="AG534" s="95"/>
      <c r="AH534" s="99"/>
      <c r="AI534" s="100"/>
      <c r="AJ534" s="100"/>
      <c r="AK534" s="100"/>
      <c r="AU534" s="45"/>
    </row>
    <row r="535" spans="1:47" ht="12" customHeight="1" x14ac:dyDescent="0.3">
      <c r="A535" s="87"/>
      <c r="B535" s="93"/>
      <c r="C535" s="91"/>
      <c r="D535" s="89"/>
      <c r="E535" s="112"/>
      <c r="F535" s="220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4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99"/>
      <c r="AG535" s="99"/>
      <c r="AH535" s="99"/>
      <c r="AI535" s="100"/>
      <c r="AJ535" s="100"/>
      <c r="AK535" s="100"/>
      <c r="AU535" s="45"/>
    </row>
    <row r="536" spans="1:47" ht="12" customHeight="1" x14ac:dyDescent="0.3">
      <c r="A536" s="87"/>
      <c r="B536" s="93"/>
      <c r="C536" s="91"/>
      <c r="D536" s="89"/>
      <c r="E536" s="112"/>
      <c r="F536" s="220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4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99"/>
      <c r="AG536" s="99"/>
      <c r="AH536" s="99"/>
      <c r="AI536" s="100"/>
      <c r="AJ536" s="100"/>
      <c r="AK536" s="100"/>
      <c r="AU536" s="45"/>
    </row>
    <row r="537" spans="1:47" ht="12" customHeight="1" x14ac:dyDescent="0.3">
      <c r="A537" s="87"/>
      <c r="B537" s="93"/>
      <c r="C537" s="91"/>
      <c r="D537" s="89"/>
      <c r="E537" s="112"/>
      <c r="F537" s="220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4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99"/>
      <c r="AG537" s="99"/>
      <c r="AH537" s="99"/>
      <c r="AI537" s="100"/>
      <c r="AJ537" s="100"/>
      <c r="AK537" s="100"/>
      <c r="AU537" s="45"/>
    </row>
    <row r="538" spans="1:47" ht="12" customHeight="1" x14ac:dyDescent="0.3">
      <c r="A538" s="87"/>
      <c r="B538" s="93"/>
      <c r="C538" s="91"/>
      <c r="D538" s="89"/>
      <c r="E538" s="112"/>
      <c r="F538" s="220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4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9"/>
      <c r="AG538" s="99"/>
      <c r="AH538" s="99"/>
      <c r="AI538" s="100"/>
      <c r="AJ538" s="100"/>
      <c r="AK538" s="100"/>
      <c r="AU538" s="45"/>
    </row>
    <row r="539" spans="1:47" ht="12" customHeight="1" x14ac:dyDescent="0.3">
      <c r="A539" s="87"/>
      <c r="B539" s="93"/>
      <c r="C539" s="91"/>
      <c r="D539" s="89"/>
      <c r="E539" s="112"/>
      <c r="F539" s="220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4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9"/>
      <c r="AG539" s="99"/>
      <c r="AH539" s="99"/>
      <c r="AI539" s="100"/>
      <c r="AJ539" s="100"/>
      <c r="AK539" s="100"/>
      <c r="AU539" s="45"/>
    </row>
    <row r="540" spans="1:47" ht="12" customHeight="1" x14ac:dyDescent="0.3">
      <c r="A540" s="87"/>
      <c r="B540" s="93"/>
      <c r="C540" s="91"/>
      <c r="D540" s="89"/>
      <c r="E540" s="112"/>
      <c r="F540" s="220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4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9"/>
      <c r="AG540" s="99"/>
      <c r="AH540" s="99"/>
      <c r="AI540" s="100"/>
      <c r="AJ540" s="100"/>
      <c r="AK540" s="100"/>
      <c r="AU540" s="45"/>
    </row>
    <row r="541" spans="1:47" ht="12" customHeight="1" x14ac:dyDescent="0.3">
      <c r="A541" s="87"/>
      <c r="B541" s="93"/>
      <c r="C541" s="91"/>
      <c r="D541" s="89"/>
      <c r="E541" s="112"/>
      <c r="F541" s="220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4"/>
      <c r="R541" s="97"/>
      <c r="S541" s="97"/>
      <c r="T541" s="97"/>
      <c r="U541" s="97"/>
      <c r="V541" s="93"/>
      <c r="W541" s="9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 x14ac:dyDescent="0.3">
      <c r="A542" s="87"/>
      <c r="B542" s="93"/>
      <c r="C542" s="91"/>
      <c r="D542" s="89"/>
      <c r="E542" s="112"/>
      <c r="F542" s="220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4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 x14ac:dyDescent="0.3">
      <c r="A543" s="87"/>
      <c r="B543" s="93"/>
      <c r="C543" s="91"/>
      <c r="D543" s="89"/>
      <c r="E543" s="112"/>
      <c r="F543" s="220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4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 x14ac:dyDescent="0.3">
      <c r="A544" s="87"/>
      <c r="B544" s="93"/>
      <c r="C544" s="91"/>
      <c r="D544" s="89"/>
      <c r="E544" s="112"/>
      <c r="F544" s="220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4"/>
      <c r="R544" s="97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U544" s="45"/>
    </row>
    <row r="545" spans="1:47" ht="12" customHeight="1" x14ac:dyDescent="0.3">
      <c r="A545" s="87"/>
      <c r="B545" s="93"/>
      <c r="C545" s="91"/>
      <c r="D545" s="89"/>
      <c r="E545" s="112"/>
      <c r="F545" s="220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4"/>
      <c r="R545" s="97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9"/>
      <c r="AH545" s="95"/>
      <c r="AI545" s="100"/>
      <c r="AJ545" s="100"/>
      <c r="AK545" s="100"/>
      <c r="AU545" s="45"/>
    </row>
    <row r="546" spans="1:47" ht="12" customHeight="1" x14ac:dyDescent="0.3">
      <c r="A546" s="87"/>
      <c r="B546" s="93"/>
      <c r="C546" s="91"/>
      <c r="D546" s="89"/>
      <c r="E546" s="112"/>
      <c r="F546" s="220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4"/>
      <c r="R546" s="97"/>
      <c r="S546" s="97"/>
      <c r="T546" s="97"/>
      <c r="U546" s="97"/>
      <c r="V546" s="93"/>
      <c r="W546" s="93"/>
      <c r="X546" s="123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 x14ac:dyDescent="0.3">
      <c r="A547" s="87"/>
      <c r="B547" s="93"/>
      <c r="C547" s="91"/>
      <c r="D547" s="89"/>
      <c r="E547" s="112"/>
      <c r="F547" s="220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4"/>
      <c r="R547" s="97"/>
      <c r="S547" s="97"/>
      <c r="T547" s="97"/>
      <c r="U547" s="97"/>
      <c r="V547" s="93"/>
      <c r="W547" s="93"/>
      <c r="X547" s="123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 x14ac:dyDescent="0.3">
      <c r="A548" s="87"/>
      <c r="B548" s="93"/>
      <c r="C548" s="91"/>
      <c r="D548" s="89"/>
      <c r="E548" s="112"/>
      <c r="F548" s="220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4"/>
      <c r="R548" s="96"/>
      <c r="S548" s="97"/>
      <c r="T548" s="97"/>
      <c r="U548" s="97"/>
      <c r="V548" s="93"/>
      <c r="W548" s="93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 x14ac:dyDescent="0.3">
      <c r="A549" s="87"/>
      <c r="B549" s="93"/>
      <c r="C549" s="91"/>
      <c r="D549" s="89"/>
      <c r="E549" s="112"/>
      <c r="F549" s="220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4"/>
      <c r="R549" s="96"/>
      <c r="S549" s="97"/>
      <c r="T549" s="97"/>
      <c r="U549" s="97"/>
      <c r="V549" s="93"/>
      <c r="W549" s="93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U549" s="45"/>
    </row>
    <row r="550" spans="1:47" ht="12" customHeight="1" x14ac:dyDescent="0.3">
      <c r="A550" s="87"/>
      <c r="B550" s="93"/>
      <c r="C550" s="91"/>
      <c r="D550" s="89"/>
      <c r="E550" s="112"/>
      <c r="F550" s="220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4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95"/>
      <c r="AG550" s="95"/>
      <c r="AH550" s="99"/>
      <c r="AI550" s="100"/>
      <c r="AJ550" s="100"/>
      <c r="AK550" s="100"/>
      <c r="AU550" s="45"/>
    </row>
    <row r="551" spans="1:47" ht="12" customHeight="1" x14ac:dyDescent="0.3">
      <c r="A551" s="87"/>
      <c r="B551" s="93"/>
      <c r="C551" s="91"/>
      <c r="D551" s="89"/>
      <c r="E551" s="112"/>
      <c r="F551" s="220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4"/>
      <c r="R551" s="97"/>
      <c r="S551" s="97"/>
      <c r="T551" s="97"/>
      <c r="U551" s="97"/>
      <c r="V551" s="93"/>
      <c r="W551" s="93"/>
      <c r="X551" s="93"/>
      <c r="Y551" s="98"/>
      <c r="Z551" s="89"/>
      <c r="AA551" s="97"/>
      <c r="AB551" s="91"/>
      <c r="AC551" s="120"/>
      <c r="AD551" s="89"/>
      <c r="AE551" s="89"/>
      <c r="AF551" s="95"/>
      <c r="AG551" s="95"/>
      <c r="AH551" s="99"/>
      <c r="AI551" s="100"/>
      <c r="AJ551" s="100"/>
      <c r="AK551" s="100"/>
      <c r="AU551" s="45"/>
    </row>
    <row r="552" spans="1:47" ht="12" customHeight="1" x14ac:dyDescent="0.3">
      <c r="A552" s="87"/>
      <c r="B552" s="93"/>
      <c r="C552" s="91"/>
      <c r="D552" s="89"/>
      <c r="E552" s="112"/>
      <c r="F552" s="220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4"/>
      <c r="R552" s="97"/>
      <c r="S552" s="97"/>
      <c r="T552" s="97"/>
      <c r="U552" s="97"/>
      <c r="V552" s="93"/>
      <c r="W552" s="93"/>
      <c r="X552" s="93"/>
      <c r="Y552" s="98"/>
      <c r="Z552" s="89"/>
      <c r="AA552" s="97"/>
      <c r="AB552" s="91"/>
      <c r="AC552" s="120"/>
      <c r="AD552" s="89"/>
      <c r="AE552" s="89"/>
      <c r="AF552" s="95"/>
      <c r="AG552" s="95"/>
      <c r="AH552" s="99"/>
      <c r="AI552" s="100"/>
      <c r="AJ552" s="100"/>
      <c r="AK552" s="100"/>
      <c r="AU552" s="45"/>
    </row>
    <row r="553" spans="1:47" ht="12" customHeight="1" x14ac:dyDescent="0.3">
      <c r="A553" s="87"/>
      <c r="B553" s="93"/>
      <c r="C553" s="91"/>
      <c r="D553" s="89"/>
      <c r="E553" s="112"/>
      <c r="F553" s="220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4"/>
      <c r="R553" s="97"/>
      <c r="S553" s="97"/>
      <c r="T553" s="97"/>
      <c r="U553" s="97"/>
      <c r="V553" s="93"/>
      <c r="W553" s="123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 x14ac:dyDescent="0.3">
      <c r="A554" s="87"/>
      <c r="B554" s="93"/>
      <c r="C554" s="91"/>
      <c r="D554" s="89"/>
      <c r="E554" s="112"/>
      <c r="F554" s="220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4"/>
      <c r="R554" s="97"/>
      <c r="S554" s="97"/>
      <c r="T554" s="97"/>
      <c r="U554" s="97"/>
      <c r="V554" s="93"/>
      <c r="W554" s="93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 x14ac:dyDescent="0.3">
      <c r="A555" s="87"/>
      <c r="B555" s="93"/>
      <c r="C555" s="91"/>
      <c r="D555" s="89"/>
      <c r="E555" s="112"/>
      <c r="F555" s="220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4"/>
      <c r="R555" s="97"/>
      <c r="S555" s="97"/>
      <c r="T555" s="97"/>
      <c r="U555" s="97"/>
      <c r="V555" s="93"/>
      <c r="W555" s="123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 x14ac:dyDescent="0.3">
      <c r="A556" s="87"/>
      <c r="B556" s="93"/>
      <c r="C556" s="91"/>
      <c r="D556" s="89"/>
      <c r="E556" s="112"/>
      <c r="F556" s="220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4"/>
      <c r="R556" s="96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 x14ac:dyDescent="0.3">
      <c r="A557" s="87"/>
      <c r="B557" s="93"/>
      <c r="C557" s="91"/>
      <c r="D557" s="89"/>
      <c r="E557" s="112"/>
      <c r="F557" s="220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4"/>
      <c r="R557" s="96"/>
      <c r="S557" s="97"/>
      <c r="T557" s="97"/>
      <c r="U557" s="97"/>
      <c r="V557" s="93"/>
      <c r="W557" s="89"/>
      <c r="X557" s="89"/>
      <c r="Y557" s="98"/>
      <c r="Z557" s="89"/>
      <c r="AA557" s="97"/>
      <c r="AB557" s="91"/>
      <c r="AC557" s="120"/>
      <c r="AD557" s="89"/>
      <c r="AE557" s="89"/>
      <c r="AF557" s="95"/>
      <c r="AG557" s="95"/>
      <c r="AH557" s="95"/>
      <c r="AI557" s="100"/>
      <c r="AJ557" s="100"/>
      <c r="AK557" s="100"/>
      <c r="AU557" s="45"/>
    </row>
    <row r="558" spans="1:47" ht="12" customHeight="1" x14ac:dyDescent="0.3">
      <c r="A558" s="87"/>
      <c r="B558" s="93"/>
      <c r="C558" s="91"/>
      <c r="D558" s="89"/>
      <c r="E558" s="112"/>
      <c r="F558" s="220"/>
      <c r="G558" s="92"/>
      <c r="H558" s="93"/>
      <c r="I558" s="92"/>
      <c r="J558" s="89"/>
      <c r="K558" s="89"/>
      <c r="L558" s="89"/>
      <c r="M558" s="89"/>
      <c r="N558" s="89"/>
      <c r="O558" s="91"/>
      <c r="P558" s="95"/>
      <c r="Q558" s="144"/>
      <c r="R558" s="97"/>
      <c r="S558" s="97"/>
      <c r="T558" s="97"/>
      <c r="U558" s="97"/>
      <c r="V558" s="93"/>
      <c r="W558" s="93"/>
      <c r="X558" s="89"/>
      <c r="Y558" s="98"/>
      <c r="Z558" s="89"/>
      <c r="AA558" s="97"/>
      <c r="AB558" s="91"/>
      <c r="AC558" s="120"/>
      <c r="AD558" s="89"/>
      <c r="AE558" s="89"/>
      <c r="AF558" s="95"/>
      <c r="AG558" s="95"/>
      <c r="AH558" s="95"/>
      <c r="AI558" s="100"/>
      <c r="AJ558" s="100"/>
      <c r="AK558" s="100"/>
      <c r="AU558" s="45"/>
    </row>
    <row r="559" spans="1:47" ht="12" customHeight="1" x14ac:dyDescent="0.3">
      <c r="A559" s="87"/>
      <c r="B559" s="93"/>
      <c r="C559" s="91"/>
      <c r="D559" s="89"/>
      <c r="E559" s="112"/>
      <c r="F559" s="220"/>
      <c r="G559" s="92"/>
      <c r="H559" s="93"/>
      <c r="I559" s="92"/>
      <c r="J559" s="89"/>
      <c r="K559" s="89"/>
      <c r="L559" s="89"/>
      <c r="M559" s="89"/>
      <c r="N559" s="89"/>
      <c r="O559" s="91"/>
      <c r="P559" s="95"/>
      <c r="Q559" s="144"/>
      <c r="R559" s="97"/>
      <c r="S559" s="97"/>
      <c r="T559" s="97"/>
      <c r="U559" s="97"/>
      <c r="V559" s="93"/>
      <c r="W559" s="93"/>
      <c r="X559" s="89"/>
      <c r="Y559" s="98"/>
      <c r="Z559" s="89"/>
      <c r="AA559" s="97"/>
      <c r="AB559" s="91"/>
      <c r="AC559" s="120"/>
      <c r="AD559" s="89"/>
      <c r="AE559" s="89"/>
      <c r="AF559" s="95"/>
      <c r="AG559" s="95"/>
      <c r="AH559" s="95"/>
      <c r="AI559" s="100"/>
      <c r="AJ559" s="100"/>
      <c r="AK559" s="100"/>
      <c r="AU559" s="45"/>
    </row>
    <row r="560" spans="1:47" ht="12" customHeight="1" x14ac:dyDescent="0.3">
      <c r="A560" s="87"/>
      <c r="B560" s="93"/>
      <c r="C560" s="91"/>
      <c r="D560" s="89"/>
      <c r="E560" s="112"/>
      <c r="F560" s="220"/>
      <c r="G560" s="92"/>
      <c r="H560" s="93"/>
      <c r="I560" s="92"/>
      <c r="J560" s="89"/>
      <c r="K560" s="89"/>
      <c r="L560" s="89"/>
      <c r="M560" s="89"/>
      <c r="N560" s="89"/>
      <c r="O560" s="91"/>
      <c r="P560" s="143"/>
      <c r="Q560" s="144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95"/>
      <c r="AG560" s="95"/>
      <c r="AH560" s="95"/>
      <c r="AI560" s="100"/>
      <c r="AJ560" s="100"/>
      <c r="AK560" s="100"/>
      <c r="AU560" s="45"/>
    </row>
    <row r="561" spans="1:47" ht="12" customHeight="1" x14ac:dyDescent="0.3">
      <c r="A561" s="87"/>
      <c r="B561" s="93"/>
      <c r="C561" s="91"/>
      <c r="D561" s="89"/>
      <c r="E561" s="112"/>
      <c r="F561" s="220"/>
      <c r="G561" s="92"/>
      <c r="H561" s="93"/>
      <c r="I561" s="92"/>
      <c r="J561" s="89"/>
      <c r="K561" s="89"/>
      <c r="L561" s="89"/>
      <c r="M561" s="89"/>
      <c r="N561" s="89"/>
      <c r="O561" s="91"/>
      <c r="P561" s="143"/>
      <c r="Q561" s="144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95"/>
      <c r="AG561" s="95"/>
      <c r="AH561" s="95"/>
      <c r="AI561" s="100"/>
      <c r="AJ561" s="100"/>
      <c r="AK561" s="100"/>
      <c r="AU561" s="45"/>
    </row>
    <row r="562" spans="1:47" ht="12" customHeight="1" x14ac:dyDescent="0.3">
      <c r="A562" s="87"/>
      <c r="B562" s="93"/>
      <c r="C562" s="91"/>
      <c r="D562" s="89"/>
      <c r="E562" s="112"/>
      <c r="F562" s="220"/>
      <c r="G562" s="92"/>
      <c r="H562" s="93"/>
      <c r="I562" s="92"/>
      <c r="J562" s="89"/>
      <c r="K562" s="89"/>
      <c r="L562" s="89"/>
      <c r="M562" s="89"/>
      <c r="N562" s="89"/>
      <c r="O562" s="91"/>
      <c r="P562" s="143"/>
      <c r="Q562" s="144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95"/>
      <c r="AG562" s="95"/>
      <c r="AH562" s="95"/>
      <c r="AI562" s="100"/>
      <c r="AJ562" s="100"/>
      <c r="AK562" s="100"/>
      <c r="AU562" s="45"/>
    </row>
    <row r="563" spans="1:47" ht="12" customHeight="1" x14ac:dyDescent="0.3">
      <c r="A563" s="87"/>
      <c r="B563" s="93"/>
      <c r="C563" s="91"/>
      <c r="D563" s="89"/>
      <c r="E563" s="112"/>
      <c r="F563" s="220"/>
      <c r="G563" s="92"/>
      <c r="H563" s="93"/>
      <c r="I563" s="92"/>
      <c r="J563" s="89"/>
      <c r="K563" s="89"/>
      <c r="L563" s="89"/>
      <c r="M563" s="89"/>
      <c r="N563" s="89"/>
      <c r="O563" s="91"/>
      <c r="P563" s="143"/>
      <c r="Q563" s="144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95"/>
      <c r="AG563" s="95"/>
      <c r="AH563" s="95"/>
      <c r="AI563" s="100"/>
      <c r="AJ563" s="100"/>
      <c r="AK563" s="100"/>
      <c r="AU563" s="45"/>
    </row>
    <row r="564" spans="1:47" ht="12" customHeight="1" x14ac:dyDescent="0.3">
      <c r="A564" s="87"/>
      <c r="B564" s="93"/>
      <c r="C564" s="91"/>
      <c r="D564" s="89"/>
      <c r="E564" s="112"/>
      <c r="F564" s="220"/>
      <c r="G564" s="92"/>
      <c r="H564" s="93"/>
      <c r="I564" s="92"/>
      <c r="J564" s="89"/>
      <c r="K564" s="89"/>
      <c r="L564" s="89"/>
      <c r="M564" s="89"/>
      <c r="N564" s="89"/>
      <c r="O564" s="91"/>
      <c r="P564" s="143"/>
      <c r="Q564" s="144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95"/>
      <c r="AG564" s="95"/>
      <c r="AH564" s="95"/>
      <c r="AI564" s="100"/>
      <c r="AJ564" s="100"/>
      <c r="AK564" s="100"/>
      <c r="AU564" s="45"/>
    </row>
    <row r="565" spans="1:47" ht="12" customHeight="1" x14ac:dyDescent="0.3">
      <c r="A565" s="87"/>
      <c r="B565" s="93"/>
      <c r="C565" s="91"/>
      <c r="D565" s="89"/>
      <c r="E565" s="112"/>
      <c r="F565" s="220"/>
      <c r="G565" s="92"/>
      <c r="H565" s="93"/>
      <c r="I565" s="92"/>
      <c r="J565" s="89"/>
      <c r="K565" s="89"/>
      <c r="L565" s="89"/>
      <c r="M565" s="89"/>
      <c r="N565" s="89"/>
      <c r="O565" s="91"/>
      <c r="P565" s="143"/>
      <c r="Q565" s="144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95"/>
      <c r="AG565" s="95"/>
      <c r="AH565" s="95"/>
      <c r="AI565" s="100"/>
      <c r="AJ565" s="100"/>
      <c r="AK565" s="100"/>
      <c r="AU565" s="45"/>
    </row>
    <row r="566" spans="1:47" ht="12" customHeight="1" x14ac:dyDescent="0.3">
      <c r="A566" s="87"/>
      <c r="B566" s="93"/>
      <c r="C566" s="91"/>
      <c r="D566" s="89"/>
      <c r="E566" s="112"/>
      <c r="F566" s="220"/>
      <c r="G566" s="92"/>
      <c r="H566" s="93"/>
      <c r="I566" s="92"/>
      <c r="J566" s="89"/>
      <c r="K566" s="89"/>
      <c r="L566" s="89"/>
      <c r="M566" s="89"/>
      <c r="N566" s="89"/>
      <c r="O566" s="91"/>
      <c r="P566" s="143"/>
      <c r="Q566" s="144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95"/>
      <c r="AG566" s="95"/>
      <c r="AH566" s="95"/>
      <c r="AI566" s="100"/>
      <c r="AJ566" s="100"/>
      <c r="AK566" s="100"/>
      <c r="AU566" s="45"/>
    </row>
    <row r="567" spans="1:47" ht="12" customHeight="1" x14ac:dyDescent="0.3">
      <c r="A567" s="87"/>
      <c r="B567" s="93"/>
      <c r="C567" s="91"/>
      <c r="D567" s="89"/>
      <c r="E567" s="112"/>
      <c r="F567" s="220"/>
      <c r="G567" s="92"/>
      <c r="H567" s="93"/>
      <c r="I567" s="92"/>
      <c r="J567" s="89"/>
      <c r="K567" s="89"/>
      <c r="L567" s="89"/>
      <c r="M567" s="89"/>
      <c r="N567" s="89"/>
      <c r="O567" s="91"/>
      <c r="P567" s="143"/>
      <c r="Q567" s="144"/>
      <c r="R567" s="97"/>
      <c r="S567" s="97"/>
      <c r="T567" s="97"/>
      <c r="U567" s="97"/>
      <c r="V567" s="93"/>
      <c r="W567" s="89"/>
      <c r="X567" s="89"/>
      <c r="Y567" s="98"/>
      <c r="Z567" s="89"/>
      <c r="AA567" s="97"/>
      <c r="AB567" s="91"/>
      <c r="AC567" s="120"/>
      <c r="AD567" s="89"/>
      <c r="AE567" s="89"/>
      <c r="AF567" s="95"/>
      <c r="AG567" s="95"/>
      <c r="AH567" s="95"/>
      <c r="AI567" s="100"/>
      <c r="AJ567" s="100"/>
      <c r="AK567" s="100"/>
      <c r="AU567" s="45"/>
    </row>
    <row r="568" spans="1:47" ht="12" customHeight="1" x14ac:dyDescent="0.3">
      <c r="A568" s="87"/>
      <c r="B568" s="93"/>
      <c r="C568" s="91"/>
      <c r="D568" s="89"/>
      <c r="E568" s="112"/>
      <c r="F568" s="220"/>
      <c r="G568" s="92"/>
      <c r="H568" s="93"/>
      <c r="I568" s="92"/>
      <c r="J568" s="89"/>
      <c r="K568" s="89"/>
      <c r="L568" s="89"/>
      <c r="M568" s="89"/>
      <c r="N568" s="89"/>
      <c r="O568" s="91"/>
      <c r="P568" s="143"/>
      <c r="Q568" s="144"/>
      <c r="R568" s="97"/>
      <c r="S568" s="97"/>
      <c r="T568" s="97"/>
      <c r="U568" s="97"/>
      <c r="V568" s="93"/>
      <c r="W568" s="89"/>
      <c r="X568" s="89"/>
      <c r="Y568" s="98"/>
      <c r="Z568" s="89"/>
      <c r="AA568" s="97"/>
      <c r="AB568" s="91"/>
      <c r="AC568" s="120"/>
      <c r="AD568" s="89"/>
      <c r="AE568" s="89"/>
      <c r="AF568" s="95"/>
      <c r="AG568" s="95"/>
      <c r="AH568" s="95"/>
      <c r="AI568" s="100"/>
      <c r="AJ568" s="100"/>
      <c r="AK568" s="100"/>
      <c r="AU568" s="45"/>
    </row>
    <row r="569" spans="1:47" ht="12" customHeight="1" x14ac:dyDescent="0.3">
      <c r="AU569" s="45"/>
    </row>
    <row r="570" spans="1:47" ht="12" customHeight="1" x14ac:dyDescent="0.3">
      <c r="AU570" s="45"/>
    </row>
    <row r="571" spans="1:47" ht="12" customHeight="1" x14ac:dyDescent="0.3">
      <c r="AU571" s="45"/>
    </row>
    <row r="572" spans="1:47" ht="12" customHeight="1" x14ac:dyDescent="0.3">
      <c r="AU572" s="45"/>
    </row>
    <row r="573" spans="1:47" ht="12" customHeight="1" x14ac:dyDescent="0.3">
      <c r="AU573" s="45"/>
    </row>
    <row r="574" spans="1:47" ht="12" customHeight="1" x14ac:dyDescent="0.3">
      <c r="AU574" s="45"/>
    </row>
    <row r="575" spans="1:47" ht="12" customHeight="1" x14ac:dyDescent="0.3">
      <c r="AU575" s="45"/>
    </row>
    <row r="576" spans="1:47" ht="12" customHeight="1" x14ac:dyDescent="0.3">
      <c r="AU576" s="45"/>
    </row>
    <row r="577" spans="47:47" ht="12" customHeight="1" x14ac:dyDescent="0.3">
      <c r="AU577" s="45"/>
    </row>
    <row r="578" spans="47:47" ht="12" customHeight="1" x14ac:dyDescent="0.3">
      <c r="AU578" s="45"/>
    </row>
    <row r="579" spans="47:47" ht="12" customHeight="1" x14ac:dyDescent="0.3">
      <c r="AU579" s="45"/>
    </row>
    <row r="580" spans="47:47" ht="12" customHeight="1" x14ac:dyDescent="0.3">
      <c r="AU580" s="45"/>
    </row>
    <row r="581" spans="47:47" ht="12" customHeight="1" x14ac:dyDescent="0.3">
      <c r="AU581" s="45"/>
    </row>
    <row r="582" spans="47:47" ht="12" customHeight="1" x14ac:dyDescent="0.3">
      <c r="AU582" s="45"/>
    </row>
    <row r="583" spans="47:47" ht="12" customHeight="1" x14ac:dyDescent="0.3">
      <c r="AU583" s="45"/>
    </row>
    <row r="584" spans="47:47" ht="12" customHeight="1" x14ac:dyDescent="0.3">
      <c r="AU584" s="45"/>
    </row>
    <row r="585" spans="47:47" ht="12" customHeight="1" x14ac:dyDescent="0.3">
      <c r="AU585" s="45"/>
    </row>
    <row r="586" spans="47:47" ht="12" customHeight="1" x14ac:dyDescent="0.3">
      <c r="AU586" s="45"/>
    </row>
    <row r="587" spans="47:47" ht="12" customHeight="1" x14ac:dyDescent="0.3">
      <c r="AU587" s="45"/>
    </row>
    <row r="588" spans="47:47" ht="12" customHeight="1" x14ac:dyDescent="0.3">
      <c r="AU588" s="45"/>
    </row>
    <row r="589" spans="47:47" ht="12" customHeight="1" x14ac:dyDescent="0.3">
      <c r="AU589" s="45"/>
    </row>
    <row r="590" spans="47:47" ht="12" customHeight="1" x14ac:dyDescent="0.3">
      <c r="AU590" s="45"/>
    </row>
    <row r="591" spans="47:47" ht="12" customHeight="1" x14ac:dyDescent="0.3">
      <c r="AU591" s="45"/>
    </row>
    <row r="592" spans="47:47" ht="12" customHeight="1" x14ac:dyDescent="0.3">
      <c r="AU592" s="45"/>
    </row>
    <row r="593" spans="47:47" ht="12" customHeight="1" x14ac:dyDescent="0.3">
      <c r="AU593" s="45"/>
    </row>
    <row r="594" spans="47:47" ht="12" customHeight="1" x14ac:dyDescent="0.3">
      <c r="AU594" s="45"/>
    </row>
    <row r="595" spans="47:47" ht="12" customHeight="1" x14ac:dyDescent="0.3">
      <c r="AU595" s="45"/>
    </row>
    <row r="596" spans="47:47" ht="12" customHeight="1" x14ac:dyDescent="0.3">
      <c r="AU596" s="45"/>
    </row>
    <row r="597" spans="47:47" ht="12" customHeight="1" x14ac:dyDescent="0.3">
      <c r="AU597" s="45"/>
    </row>
    <row r="598" spans="47:47" ht="12" customHeight="1" x14ac:dyDescent="0.3">
      <c r="AU598" s="45"/>
    </row>
    <row r="599" spans="47:47" ht="12" customHeight="1" x14ac:dyDescent="0.3">
      <c r="AU599" s="45"/>
    </row>
    <row r="600" spans="47:47" ht="12" customHeight="1" x14ac:dyDescent="0.3">
      <c r="AU600" s="45"/>
    </row>
    <row r="601" spans="47:47" ht="12" customHeight="1" x14ac:dyDescent="0.3">
      <c r="AU601" s="45"/>
    </row>
    <row r="602" spans="47:47" ht="12" customHeight="1" x14ac:dyDescent="0.3">
      <c r="AU602" s="45"/>
    </row>
    <row r="603" spans="47:47" ht="12" customHeight="1" x14ac:dyDescent="0.3">
      <c r="AU603" s="45"/>
    </row>
    <row r="604" spans="47:47" ht="12" customHeight="1" x14ac:dyDescent="0.3">
      <c r="AU604" s="45"/>
    </row>
    <row r="605" spans="47:47" ht="12" customHeight="1" x14ac:dyDescent="0.3">
      <c r="AU605" s="45"/>
    </row>
    <row r="606" spans="47:47" ht="12" customHeight="1" x14ac:dyDescent="0.3">
      <c r="AU606" s="45"/>
    </row>
    <row r="607" spans="47:47" ht="12" customHeight="1" x14ac:dyDescent="0.3">
      <c r="AU607" s="45"/>
    </row>
    <row r="608" spans="47:47" ht="12" customHeight="1" x14ac:dyDescent="0.3">
      <c r="AU608" s="45"/>
    </row>
    <row r="609" spans="47:47" ht="12" customHeight="1" x14ac:dyDescent="0.3">
      <c r="AU609" s="45"/>
    </row>
    <row r="610" spans="47:47" ht="12" customHeight="1" x14ac:dyDescent="0.3">
      <c r="AU610" s="45"/>
    </row>
    <row r="611" spans="47:47" ht="12" customHeight="1" x14ac:dyDescent="0.3">
      <c r="AU611" s="45"/>
    </row>
    <row r="612" spans="47:47" ht="12" customHeight="1" x14ac:dyDescent="0.3">
      <c r="AU612" s="45"/>
    </row>
    <row r="613" spans="47:47" ht="12" customHeight="1" x14ac:dyDescent="0.3">
      <c r="AU613" s="45"/>
    </row>
    <row r="614" spans="47:47" ht="12" customHeight="1" x14ac:dyDescent="0.3">
      <c r="AU614" s="45"/>
    </row>
    <row r="615" spans="47:47" ht="12" customHeight="1" x14ac:dyDescent="0.3">
      <c r="AU615" s="45"/>
    </row>
    <row r="616" spans="47:47" ht="12" customHeight="1" x14ac:dyDescent="0.3">
      <c r="AU616" s="45"/>
    </row>
    <row r="617" spans="47:47" ht="12" customHeight="1" x14ac:dyDescent="0.3">
      <c r="AU617" s="45"/>
    </row>
    <row r="618" spans="47:47" ht="12" customHeight="1" x14ac:dyDescent="0.3">
      <c r="AU618" s="45"/>
    </row>
    <row r="619" spans="47:47" ht="12" customHeight="1" x14ac:dyDescent="0.3">
      <c r="AU619" s="45"/>
    </row>
    <row r="620" spans="47:47" ht="12" customHeight="1" x14ac:dyDescent="0.3">
      <c r="AU620" s="45"/>
    </row>
    <row r="621" spans="47:47" ht="12" customHeight="1" x14ac:dyDescent="0.3">
      <c r="AU621" s="45"/>
    </row>
    <row r="622" spans="47:47" ht="12" customHeight="1" x14ac:dyDescent="0.3">
      <c r="AU622" s="45"/>
    </row>
    <row r="623" spans="47:47" ht="12" customHeight="1" x14ac:dyDescent="0.3">
      <c r="AU623" s="45"/>
    </row>
    <row r="624" spans="47:47" ht="12" customHeight="1" x14ac:dyDescent="0.3">
      <c r="AU624" s="45"/>
    </row>
    <row r="625" spans="47:47" ht="12" customHeight="1" x14ac:dyDescent="0.3">
      <c r="AU625" s="45"/>
    </row>
    <row r="626" spans="47:47" ht="12" customHeight="1" x14ac:dyDescent="0.3">
      <c r="AU626" s="45"/>
    </row>
    <row r="627" spans="47:47" ht="12" customHeight="1" x14ac:dyDescent="0.3">
      <c r="AU627" s="45"/>
    </row>
    <row r="628" spans="47:47" ht="12" customHeight="1" x14ac:dyDescent="0.3">
      <c r="AU628" s="45"/>
    </row>
    <row r="629" spans="47:47" ht="12" customHeight="1" x14ac:dyDescent="0.3">
      <c r="AU629" s="45"/>
    </row>
    <row r="630" spans="47:47" ht="12" customHeight="1" x14ac:dyDescent="0.3">
      <c r="AU630" s="45"/>
    </row>
    <row r="631" spans="47:47" ht="12" customHeight="1" x14ac:dyDescent="0.3">
      <c r="AU631" s="45"/>
    </row>
    <row r="632" spans="47:47" ht="12" customHeight="1" x14ac:dyDescent="0.3">
      <c r="AU632" s="45"/>
    </row>
    <row r="633" spans="47:47" ht="12" customHeight="1" x14ac:dyDescent="0.3">
      <c r="AU633" s="45"/>
    </row>
    <row r="634" spans="47:47" ht="12" customHeight="1" x14ac:dyDescent="0.3">
      <c r="AU634" s="45"/>
    </row>
    <row r="635" spans="47:47" ht="12" customHeight="1" x14ac:dyDescent="0.3">
      <c r="AU635" s="45"/>
    </row>
    <row r="636" spans="47:47" ht="12" customHeight="1" x14ac:dyDescent="0.3">
      <c r="AU636" s="45"/>
    </row>
    <row r="637" spans="47:47" ht="12" customHeight="1" x14ac:dyDescent="0.3">
      <c r="AU637" s="45"/>
    </row>
    <row r="638" spans="47:47" ht="12" customHeight="1" x14ac:dyDescent="0.3">
      <c r="AU638" s="45"/>
    </row>
    <row r="639" spans="47:47" ht="12" customHeight="1" x14ac:dyDescent="0.3">
      <c r="AU639" s="45"/>
    </row>
    <row r="640" spans="47:47" ht="12" customHeight="1" x14ac:dyDescent="0.3">
      <c r="AU640" s="45"/>
    </row>
    <row r="641" spans="47:47" ht="12" customHeight="1" x14ac:dyDescent="0.3">
      <c r="AU641" s="45"/>
    </row>
    <row r="642" spans="47:47" ht="12" customHeight="1" x14ac:dyDescent="0.3">
      <c r="AU642" s="45"/>
    </row>
    <row r="643" spans="47:47" ht="12" customHeight="1" x14ac:dyDescent="0.3">
      <c r="AU643" s="45"/>
    </row>
    <row r="644" spans="47:47" ht="12" customHeight="1" x14ac:dyDescent="0.3">
      <c r="AU644" s="45"/>
    </row>
    <row r="645" spans="47:47" ht="12" customHeight="1" x14ac:dyDescent="0.3">
      <c r="AU645" s="45"/>
    </row>
    <row r="646" spans="47:47" ht="12" customHeight="1" x14ac:dyDescent="0.3">
      <c r="AU646" s="45"/>
    </row>
    <row r="647" spans="47:47" ht="12" customHeight="1" x14ac:dyDescent="0.3">
      <c r="AU647" s="45"/>
    </row>
    <row r="648" spans="47:47" ht="12" customHeight="1" x14ac:dyDescent="0.3">
      <c r="AU648" s="45"/>
    </row>
    <row r="649" spans="47:47" ht="12" customHeight="1" x14ac:dyDescent="0.3">
      <c r="AU649" s="45"/>
    </row>
    <row r="650" spans="47:47" ht="12" customHeight="1" x14ac:dyDescent="0.3">
      <c r="AU650" s="45"/>
    </row>
    <row r="651" spans="47:47" ht="12" customHeight="1" x14ac:dyDescent="0.3">
      <c r="AU651" s="45"/>
    </row>
    <row r="652" spans="47:47" ht="12" customHeight="1" x14ac:dyDescent="0.3">
      <c r="AU652" s="45"/>
    </row>
    <row r="653" spans="47:47" ht="12" customHeight="1" x14ac:dyDescent="0.3">
      <c r="AU653" s="45"/>
    </row>
    <row r="654" spans="47:47" ht="12" customHeight="1" x14ac:dyDescent="0.3">
      <c r="AU654" s="45"/>
    </row>
    <row r="655" spans="47:47" ht="12" customHeight="1" x14ac:dyDescent="0.3">
      <c r="AU655" s="45"/>
    </row>
    <row r="656" spans="47:47" ht="12" customHeight="1" x14ac:dyDescent="0.3">
      <c r="AU656" s="45"/>
    </row>
    <row r="657" spans="47:47" ht="12" customHeight="1" x14ac:dyDescent="0.3">
      <c r="AU657" s="45"/>
    </row>
    <row r="658" spans="47:47" ht="12" customHeight="1" x14ac:dyDescent="0.3">
      <c r="AU658" s="45"/>
    </row>
    <row r="659" spans="47:47" ht="12" customHeight="1" x14ac:dyDescent="0.3">
      <c r="AU659" s="45"/>
    </row>
    <row r="660" spans="47:47" ht="12" customHeight="1" x14ac:dyDescent="0.3">
      <c r="AU660" s="45"/>
    </row>
    <row r="661" spans="47:47" ht="12" customHeight="1" x14ac:dyDescent="0.3">
      <c r="AU661" s="45"/>
    </row>
    <row r="662" spans="47:47" ht="12" customHeight="1" x14ac:dyDescent="0.3">
      <c r="AU662" s="45"/>
    </row>
    <row r="663" spans="47:47" ht="12" customHeight="1" x14ac:dyDescent="0.3">
      <c r="AU663" s="45"/>
    </row>
    <row r="664" spans="47:47" ht="12" customHeight="1" x14ac:dyDescent="0.3">
      <c r="AU664" s="45"/>
    </row>
    <row r="665" spans="47:47" ht="12" customHeight="1" x14ac:dyDescent="0.3">
      <c r="AU665" s="45"/>
    </row>
    <row r="666" spans="47:47" ht="12" customHeight="1" x14ac:dyDescent="0.3">
      <c r="AU666" s="45"/>
    </row>
    <row r="667" spans="47:47" ht="12" customHeight="1" x14ac:dyDescent="0.3">
      <c r="AU667" s="45"/>
    </row>
    <row r="668" spans="47:47" ht="12" customHeight="1" x14ac:dyDescent="0.3">
      <c r="AU668" s="45"/>
    </row>
    <row r="669" spans="47:47" ht="12" customHeight="1" x14ac:dyDescent="0.3">
      <c r="AU669" s="45"/>
    </row>
    <row r="670" spans="47:47" ht="12" customHeight="1" x14ac:dyDescent="0.3">
      <c r="AU670" s="45"/>
    </row>
    <row r="671" spans="47:47" ht="12" customHeight="1" x14ac:dyDescent="0.3">
      <c r="AU671" s="45"/>
    </row>
    <row r="672" spans="47:47" ht="12" customHeight="1" x14ac:dyDescent="0.3">
      <c r="AU672" s="45"/>
    </row>
    <row r="673" spans="47:47" ht="12" customHeight="1" x14ac:dyDescent="0.3">
      <c r="AU673" s="45"/>
    </row>
    <row r="674" spans="47:47" ht="12" customHeight="1" x14ac:dyDescent="0.3">
      <c r="AU674" s="45"/>
    </row>
    <row r="675" spans="47:47" ht="12" customHeight="1" x14ac:dyDescent="0.3">
      <c r="AU675" s="45"/>
    </row>
    <row r="676" spans="47:47" ht="12" customHeight="1" x14ac:dyDescent="0.3">
      <c r="AU676" s="45"/>
    </row>
    <row r="677" spans="47:47" ht="12" customHeight="1" x14ac:dyDescent="0.3">
      <c r="AU677" s="45"/>
    </row>
    <row r="678" spans="47:47" ht="12" customHeight="1" x14ac:dyDescent="0.3">
      <c r="AU678" s="45"/>
    </row>
    <row r="679" spans="47:47" ht="12" customHeight="1" x14ac:dyDescent="0.3">
      <c r="AU679" s="45"/>
    </row>
    <row r="680" spans="47:47" ht="12" customHeight="1" x14ac:dyDescent="0.3">
      <c r="AU680" s="45"/>
    </row>
    <row r="681" spans="47:47" ht="12" customHeight="1" x14ac:dyDescent="0.3">
      <c r="AU681" s="45"/>
    </row>
    <row r="682" spans="47:47" ht="12" customHeight="1" x14ac:dyDescent="0.3">
      <c r="AU682" s="45"/>
    </row>
    <row r="683" spans="47:47" ht="12" customHeight="1" x14ac:dyDescent="0.3">
      <c r="AU683" s="45"/>
    </row>
    <row r="684" spans="47:47" ht="12" customHeight="1" x14ac:dyDescent="0.3">
      <c r="AU684" s="45"/>
    </row>
    <row r="685" spans="47:47" ht="12" customHeight="1" x14ac:dyDescent="0.3">
      <c r="AU685" s="45"/>
    </row>
    <row r="686" spans="47:47" ht="12" customHeight="1" x14ac:dyDescent="0.3">
      <c r="AU686" s="45"/>
    </row>
    <row r="687" spans="47:47" ht="12" customHeight="1" x14ac:dyDescent="0.3">
      <c r="AU687" s="45"/>
    </row>
    <row r="688" spans="47:47" ht="12" customHeight="1" x14ac:dyDescent="0.3">
      <c r="AU688" s="45"/>
    </row>
    <row r="689" spans="47:47" ht="12" customHeight="1" x14ac:dyDescent="0.3">
      <c r="AU689" s="45"/>
    </row>
    <row r="690" spans="47:47" ht="12" customHeight="1" x14ac:dyDescent="0.3">
      <c r="AU690" s="45"/>
    </row>
    <row r="691" spans="47:47" ht="12" customHeight="1" x14ac:dyDescent="0.3">
      <c r="AU691" s="45"/>
    </row>
    <row r="692" spans="47:47" ht="12" customHeight="1" x14ac:dyDescent="0.3">
      <c r="AU692" s="45"/>
    </row>
    <row r="693" spans="47:47" ht="12" customHeight="1" x14ac:dyDescent="0.3">
      <c r="AU693" s="45"/>
    </row>
    <row r="694" spans="47:47" ht="12" customHeight="1" x14ac:dyDescent="0.3">
      <c r="AU694" s="45"/>
    </row>
    <row r="695" spans="47:47" ht="12" customHeight="1" x14ac:dyDescent="0.3">
      <c r="AU695" s="45"/>
    </row>
    <row r="696" spans="47:47" ht="12" customHeight="1" x14ac:dyDescent="0.3">
      <c r="AU696" s="45"/>
    </row>
    <row r="697" spans="47:47" ht="12" customHeight="1" x14ac:dyDescent="0.3">
      <c r="AU697" s="45"/>
    </row>
    <row r="698" spans="47:47" ht="12" customHeight="1" x14ac:dyDescent="0.3">
      <c r="AU698" s="45"/>
    </row>
    <row r="699" spans="47:47" ht="12" customHeight="1" x14ac:dyDescent="0.3">
      <c r="AU699" s="45"/>
    </row>
    <row r="700" spans="47:47" ht="12" customHeight="1" x14ac:dyDescent="0.3">
      <c r="AU700" s="45"/>
    </row>
    <row r="701" spans="47:47" ht="12" customHeight="1" x14ac:dyDescent="0.3">
      <c r="AU701" s="45"/>
    </row>
    <row r="702" spans="47:47" ht="12" customHeight="1" x14ac:dyDescent="0.3">
      <c r="AU702" s="45"/>
    </row>
    <row r="703" spans="47:47" ht="12" customHeight="1" x14ac:dyDescent="0.3">
      <c r="AU703" s="45"/>
    </row>
    <row r="704" spans="47:47" ht="12" customHeight="1" x14ac:dyDescent="0.3">
      <c r="AU704" s="45"/>
    </row>
    <row r="705" spans="47:47" ht="12" customHeight="1" x14ac:dyDescent="0.3">
      <c r="AU705" s="45"/>
    </row>
    <row r="706" spans="47:47" ht="12" customHeight="1" x14ac:dyDescent="0.3">
      <c r="AU706" s="45"/>
    </row>
    <row r="707" spans="47:47" ht="12" customHeight="1" x14ac:dyDescent="0.3">
      <c r="AU707" s="45"/>
    </row>
    <row r="708" spans="47:47" ht="12" customHeight="1" x14ac:dyDescent="0.3">
      <c r="AU708" s="45"/>
    </row>
    <row r="709" spans="47:47" ht="12" customHeight="1" x14ac:dyDescent="0.3">
      <c r="AU709" s="45"/>
    </row>
    <row r="710" spans="47:47" ht="12" customHeight="1" x14ac:dyDescent="0.3">
      <c r="AU710" s="45"/>
    </row>
    <row r="711" spans="47:47" ht="12" customHeight="1" x14ac:dyDescent="0.3">
      <c r="AU711" s="45"/>
    </row>
    <row r="712" spans="47:47" ht="12" customHeight="1" x14ac:dyDescent="0.3">
      <c r="AU712" s="45"/>
    </row>
    <row r="713" spans="47:47" ht="12" customHeight="1" x14ac:dyDescent="0.3">
      <c r="AU713" s="45"/>
    </row>
    <row r="714" spans="47:47" ht="12" customHeight="1" x14ac:dyDescent="0.3">
      <c r="AU714" s="45"/>
    </row>
    <row r="715" spans="47:47" ht="12" customHeight="1" x14ac:dyDescent="0.3">
      <c r="AU715" s="45"/>
    </row>
    <row r="716" spans="47:47" ht="12" customHeight="1" x14ac:dyDescent="0.3">
      <c r="AU716" s="45"/>
    </row>
    <row r="717" spans="47:47" ht="12" customHeight="1" x14ac:dyDescent="0.3">
      <c r="AU717" s="45"/>
    </row>
    <row r="718" spans="47:47" ht="12" customHeight="1" x14ac:dyDescent="0.3">
      <c r="AU718" s="45"/>
    </row>
    <row r="719" spans="47:47" ht="12" customHeight="1" x14ac:dyDescent="0.3">
      <c r="AU719" s="45"/>
    </row>
    <row r="720" spans="47:47" ht="12" customHeight="1" x14ac:dyDescent="0.3">
      <c r="AU720" s="45"/>
    </row>
    <row r="721" spans="47:47" ht="12" customHeight="1" x14ac:dyDescent="0.3">
      <c r="AU721" s="45"/>
    </row>
    <row r="722" spans="47:47" ht="12" customHeight="1" x14ac:dyDescent="0.3">
      <c r="AU722" s="45"/>
    </row>
    <row r="723" spans="47:47" ht="12" customHeight="1" x14ac:dyDescent="0.3">
      <c r="AU723" s="45"/>
    </row>
    <row r="724" spans="47:47" ht="12" customHeight="1" x14ac:dyDescent="0.3">
      <c r="AU724" s="45"/>
    </row>
    <row r="725" spans="47:47" ht="12" customHeight="1" x14ac:dyDescent="0.3">
      <c r="AU725" s="45"/>
    </row>
    <row r="726" spans="47:47" ht="12" customHeight="1" x14ac:dyDescent="0.3">
      <c r="AU726" s="45"/>
    </row>
    <row r="727" spans="47:47" ht="12" customHeight="1" x14ac:dyDescent="0.3">
      <c r="AU727" s="45"/>
    </row>
    <row r="728" spans="47:47" ht="12" customHeight="1" x14ac:dyDescent="0.3">
      <c r="AU728" s="45"/>
    </row>
    <row r="729" spans="47:47" ht="12" customHeight="1" x14ac:dyDescent="0.3">
      <c r="AU729" s="45"/>
    </row>
    <row r="730" spans="47:47" ht="12" customHeight="1" x14ac:dyDescent="0.3">
      <c r="AU730" s="45"/>
    </row>
    <row r="731" spans="47:47" ht="12" customHeight="1" x14ac:dyDescent="0.3">
      <c r="AU731" s="45"/>
    </row>
    <row r="732" spans="47:47" ht="12" customHeight="1" x14ac:dyDescent="0.3">
      <c r="AU732" s="45"/>
    </row>
    <row r="733" spans="47:47" ht="12" customHeight="1" x14ac:dyDescent="0.3">
      <c r="AU733" s="45"/>
    </row>
    <row r="734" spans="47:47" ht="12" customHeight="1" x14ac:dyDescent="0.3">
      <c r="AU734" s="45"/>
    </row>
    <row r="735" spans="47:47" ht="12" customHeight="1" x14ac:dyDescent="0.3">
      <c r="AU735" s="45"/>
    </row>
    <row r="736" spans="47:47" ht="12" customHeight="1" x14ac:dyDescent="0.3">
      <c r="AU736" s="45"/>
    </row>
    <row r="737" spans="47:47" ht="12" customHeight="1" x14ac:dyDescent="0.3">
      <c r="AU737" s="45"/>
    </row>
    <row r="738" spans="47:47" ht="12" customHeight="1" x14ac:dyDescent="0.3">
      <c r="AU738" s="45"/>
    </row>
    <row r="739" spans="47:47" ht="12" customHeight="1" x14ac:dyDescent="0.3">
      <c r="AU739" s="45"/>
    </row>
    <row r="740" spans="47:47" ht="12" customHeight="1" x14ac:dyDescent="0.3">
      <c r="AU740" s="45"/>
    </row>
    <row r="741" spans="47:47" ht="12" customHeight="1" x14ac:dyDescent="0.3">
      <c r="AU741" s="45"/>
    </row>
    <row r="742" spans="47:47" ht="12" customHeight="1" x14ac:dyDescent="0.3">
      <c r="AU742" s="45"/>
    </row>
    <row r="743" spans="47:47" ht="12" customHeight="1" x14ac:dyDescent="0.3">
      <c r="AU743" s="45"/>
    </row>
    <row r="744" spans="47:47" ht="12" customHeight="1" x14ac:dyDescent="0.3">
      <c r="AU744" s="45"/>
    </row>
    <row r="745" spans="47:47" ht="12" customHeight="1" x14ac:dyDescent="0.3">
      <c r="AU745" s="45"/>
    </row>
    <row r="746" spans="47:47" ht="12" customHeight="1" x14ac:dyDescent="0.3">
      <c r="AU746" s="45"/>
    </row>
    <row r="747" spans="47:47" ht="12" customHeight="1" x14ac:dyDescent="0.3">
      <c r="AU747" s="45"/>
    </row>
    <row r="748" spans="47:47" ht="12" customHeight="1" x14ac:dyDescent="0.3">
      <c r="AU748" s="45"/>
    </row>
    <row r="749" spans="47:47" ht="12" customHeight="1" x14ac:dyDescent="0.3">
      <c r="AU749" s="45"/>
    </row>
    <row r="750" spans="47:47" ht="12" customHeight="1" x14ac:dyDescent="0.3">
      <c r="AU750" s="45"/>
    </row>
    <row r="751" spans="47:47" ht="12" customHeight="1" x14ac:dyDescent="0.3">
      <c r="AU751" s="45"/>
    </row>
    <row r="752" spans="47:47" ht="12" customHeight="1" x14ac:dyDescent="0.3">
      <c r="AU752" s="45"/>
    </row>
    <row r="753" spans="47:47" ht="12" customHeight="1" x14ac:dyDescent="0.3">
      <c r="AU753" s="45"/>
    </row>
    <row r="754" spans="47:47" ht="12" customHeight="1" x14ac:dyDescent="0.3">
      <c r="AU754" s="45"/>
    </row>
    <row r="755" spans="47:47" ht="12" customHeight="1" x14ac:dyDescent="0.3">
      <c r="AU755" s="45"/>
    </row>
    <row r="756" spans="47:47" ht="12" customHeight="1" x14ac:dyDescent="0.3">
      <c r="AU756" s="45"/>
    </row>
    <row r="757" spans="47:47" ht="12" customHeight="1" x14ac:dyDescent="0.3">
      <c r="AU757" s="45"/>
    </row>
    <row r="758" spans="47:47" ht="12" customHeight="1" x14ac:dyDescent="0.3">
      <c r="AU758" s="45"/>
    </row>
    <row r="759" spans="47:47" ht="12" customHeight="1" x14ac:dyDescent="0.3">
      <c r="AU759" s="45"/>
    </row>
    <row r="760" spans="47:47" ht="12" customHeight="1" x14ac:dyDescent="0.3">
      <c r="AU760" s="45"/>
    </row>
    <row r="761" spans="47:47" ht="12" customHeight="1" x14ac:dyDescent="0.3">
      <c r="AU761" s="45"/>
    </row>
    <row r="762" spans="47:47" ht="12" customHeight="1" x14ac:dyDescent="0.3">
      <c r="AU762" s="45"/>
    </row>
    <row r="763" spans="47:47" ht="12" customHeight="1" x14ac:dyDescent="0.3">
      <c r="AU763" s="45"/>
    </row>
    <row r="764" spans="47:47" ht="12" customHeight="1" x14ac:dyDescent="0.3">
      <c r="AU764" s="45"/>
    </row>
    <row r="765" spans="47:47" ht="12" customHeight="1" x14ac:dyDescent="0.3">
      <c r="AU765" s="45"/>
    </row>
    <row r="766" spans="47:47" ht="12" customHeight="1" x14ac:dyDescent="0.3">
      <c r="AU766" s="45"/>
    </row>
    <row r="767" spans="47:47" ht="12" customHeight="1" x14ac:dyDescent="0.3">
      <c r="AU767" s="45"/>
    </row>
    <row r="768" spans="47:47" ht="12" customHeight="1" x14ac:dyDescent="0.3">
      <c r="AU768" s="45"/>
    </row>
    <row r="769" spans="47:47" ht="12" customHeight="1" x14ac:dyDescent="0.3">
      <c r="AU769" s="45"/>
    </row>
    <row r="770" spans="47:47" ht="12" customHeight="1" x14ac:dyDescent="0.3">
      <c r="AU770" s="45"/>
    </row>
    <row r="771" spans="47:47" ht="12" customHeight="1" x14ac:dyDescent="0.3">
      <c r="AU771" s="45"/>
    </row>
    <row r="772" spans="47:47" ht="12" customHeight="1" x14ac:dyDescent="0.3">
      <c r="AU772" s="45"/>
    </row>
    <row r="773" spans="47:47" ht="12" customHeight="1" x14ac:dyDescent="0.3">
      <c r="AU773" s="45"/>
    </row>
    <row r="774" spans="47:47" ht="12" customHeight="1" x14ac:dyDescent="0.3">
      <c r="AU774" s="45"/>
    </row>
    <row r="775" spans="47:47" ht="12" customHeight="1" x14ac:dyDescent="0.3">
      <c r="AU775" s="45"/>
    </row>
    <row r="776" spans="47:47" ht="12" customHeight="1" x14ac:dyDescent="0.3">
      <c r="AU776" s="45"/>
    </row>
    <row r="777" spans="47:47" ht="12" customHeight="1" x14ac:dyDescent="0.3">
      <c r="AU777" s="45"/>
    </row>
    <row r="778" spans="47:47" ht="12" customHeight="1" x14ac:dyDescent="0.3">
      <c r="AU778" s="45"/>
    </row>
    <row r="779" spans="47:47" ht="12" customHeight="1" x14ac:dyDescent="0.3">
      <c r="AU779" s="45"/>
    </row>
    <row r="780" spans="47:47" ht="12" customHeight="1" x14ac:dyDescent="0.3">
      <c r="AU780" s="45"/>
    </row>
    <row r="781" spans="47:47" ht="12" customHeight="1" x14ac:dyDescent="0.3">
      <c r="AU781" s="45"/>
    </row>
    <row r="782" spans="47:47" ht="12" customHeight="1" x14ac:dyDescent="0.3">
      <c r="AU782" s="45"/>
    </row>
    <row r="783" spans="47:47" ht="12" customHeight="1" x14ac:dyDescent="0.3">
      <c r="AU783" s="45"/>
    </row>
    <row r="784" spans="47:47" ht="12" customHeight="1" x14ac:dyDescent="0.3">
      <c r="AU784" s="45"/>
    </row>
    <row r="785" spans="47:47" ht="12" customHeight="1" x14ac:dyDescent="0.3">
      <c r="AU785" s="45"/>
    </row>
    <row r="786" spans="47:47" ht="12" customHeight="1" x14ac:dyDescent="0.3">
      <c r="AU786" s="45"/>
    </row>
    <row r="787" spans="47:47" ht="12" customHeight="1" x14ac:dyDescent="0.3">
      <c r="AU787" s="45"/>
    </row>
    <row r="788" spans="47:47" ht="12" customHeight="1" x14ac:dyDescent="0.3">
      <c r="AU788" s="45"/>
    </row>
    <row r="789" spans="47:47" ht="12" customHeight="1" x14ac:dyDescent="0.3">
      <c r="AU789" s="45"/>
    </row>
    <row r="790" spans="47:47" ht="12" customHeight="1" x14ac:dyDescent="0.3">
      <c r="AU790" s="45"/>
    </row>
    <row r="791" spans="47:47" ht="12" customHeight="1" x14ac:dyDescent="0.3">
      <c r="AU791" s="45"/>
    </row>
    <row r="792" spans="47:47" ht="12" customHeight="1" x14ac:dyDescent="0.3">
      <c r="AU792" s="45"/>
    </row>
    <row r="793" spans="47:47" ht="12" customHeight="1" x14ac:dyDescent="0.3">
      <c r="AU793" s="45"/>
    </row>
    <row r="794" spans="47:47" ht="12" customHeight="1" x14ac:dyDescent="0.3">
      <c r="AU794" s="45"/>
    </row>
    <row r="795" spans="47:47" ht="12" customHeight="1" x14ac:dyDescent="0.3">
      <c r="AU795" s="45"/>
    </row>
    <row r="796" spans="47:47" ht="12" customHeight="1" x14ac:dyDescent="0.3">
      <c r="AU796" s="45"/>
    </row>
    <row r="797" spans="47:47" ht="12" customHeight="1" x14ac:dyDescent="0.3">
      <c r="AU797" s="45"/>
    </row>
    <row r="798" spans="47:47" ht="12" customHeight="1" x14ac:dyDescent="0.3">
      <c r="AU798" s="45"/>
    </row>
    <row r="799" spans="47:47" ht="12" customHeight="1" x14ac:dyDescent="0.3">
      <c r="AU799" s="45"/>
    </row>
    <row r="800" spans="47:47" ht="12" customHeight="1" x14ac:dyDescent="0.3">
      <c r="AU800" s="45"/>
    </row>
    <row r="801" spans="47:47" ht="12" customHeight="1" x14ac:dyDescent="0.3">
      <c r="AU801" s="45"/>
    </row>
    <row r="802" spans="47:47" ht="12" customHeight="1" x14ac:dyDescent="0.3">
      <c r="AU802" s="45"/>
    </row>
    <row r="803" spans="47:47" ht="12" customHeight="1" x14ac:dyDescent="0.3">
      <c r="AU803" s="45"/>
    </row>
    <row r="804" spans="47:47" ht="12" customHeight="1" x14ac:dyDescent="0.3">
      <c r="AU804" s="45"/>
    </row>
    <row r="805" spans="47:47" ht="12" customHeight="1" x14ac:dyDescent="0.3">
      <c r="AU805" s="45"/>
    </row>
    <row r="806" spans="47:47" ht="12" customHeight="1" x14ac:dyDescent="0.3">
      <c r="AU806" s="45"/>
    </row>
    <row r="807" spans="47:47" ht="12" customHeight="1" x14ac:dyDescent="0.3">
      <c r="AU807" s="45"/>
    </row>
    <row r="808" spans="47:47" ht="12" customHeight="1" x14ac:dyDescent="0.3">
      <c r="AU808" s="45"/>
    </row>
    <row r="809" spans="47:47" ht="12" customHeight="1" x14ac:dyDescent="0.3">
      <c r="AU809" s="45"/>
    </row>
    <row r="810" spans="47:47" ht="12" customHeight="1" x14ac:dyDescent="0.3">
      <c r="AU810" s="45"/>
    </row>
    <row r="811" spans="47:47" ht="12" customHeight="1" x14ac:dyDescent="0.3">
      <c r="AU811" s="45"/>
    </row>
    <row r="812" spans="47:47" ht="12" customHeight="1" x14ac:dyDescent="0.3">
      <c r="AU812" s="45"/>
    </row>
    <row r="813" spans="47:47" ht="12" customHeight="1" x14ac:dyDescent="0.3">
      <c r="AU813" s="45"/>
    </row>
    <row r="814" spans="47:47" ht="12" customHeight="1" x14ac:dyDescent="0.3">
      <c r="AU814" s="45"/>
    </row>
    <row r="815" spans="47:47" ht="12" customHeight="1" x14ac:dyDescent="0.3">
      <c r="AU815" s="45"/>
    </row>
    <row r="816" spans="47:47" ht="12" customHeight="1" x14ac:dyDescent="0.3">
      <c r="AU816" s="45"/>
    </row>
    <row r="817" spans="47:47" ht="12" customHeight="1" x14ac:dyDescent="0.3">
      <c r="AU817" s="45"/>
    </row>
    <row r="818" spans="47:47" ht="12" customHeight="1" x14ac:dyDescent="0.3">
      <c r="AU818" s="45"/>
    </row>
    <row r="819" spans="47:47" ht="12" customHeight="1" x14ac:dyDescent="0.3">
      <c r="AU819" s="45"/>
    </row>
    <row r="820" spans="47:47" ht="12" customHeight="1" x14ac:dyDescent="0.3">
      <c r="AU820" s="45"/>
    </row>
    <row r="821" spans="47:47" ht="12" customHeight="1" x14ac:dyDescent="0.3">
      <c r="AU821" s="45"/>
    </row>
    <row r="822" spans="47:47" ht="12" customHeight="1" x14ac:dyDescent="0.3">
      <c r="AU822" s="45"/>
    </row>
    <row r="823" spans="47:47" ht="12" customHeight="1" x14ac:dyDescent="0.3">
      <c r="AU823" s="45"/>
    </row>
    <row r="824" spans="47:47" ht="12" customHeight="1" x14ac:dyDescent="0.3">
      <c r="AU824" s="45"/>
    </row>
    <row r="825" spans="47:47" ht="12" customHeight="1" x14ac:dyDescent="0.3">
      <c r="AU825" s="45"/>
    </row>
    <row r="826" spans="47:47" ht="12" customHeight="1" x14ac:dyDescent="0.3">
      <c r="AU826" s="45"/>
    </row>
    <row r="827" spans="47:47" ht="12" customHeight="1" x14ac:dyDescent="0.3">
      <c r="AU827" s="45"/>
    </row>
    <row r="828" spans="47:47" ht="12" customHeight="1" x14ac:dyDescent="0.3">
      <c r="AU828" s="45"/>
    </row>
    <row r="829" spans="47:47" ht="12" customHeight="1" x14ac:dyDescent="0.3">
      <c r="AU829" s="45"/>
    </row>
    <row r="830" spans="47:47" ht="12" customHeight="1" x14ac:dyDescent="0.3">
      <c r="AU830" s="45"/>
    </row>
    <row r="831" spans="47:47" ht="12" customHeight="1" x14ac:dyDescent="0.3">
      <c r="AU831" s="45"/>
    </row>
    <row r="832" spans="47:47" ht="12" customHeight="1" x14ac:dyDescent="0.3">
      <c r="AU832" s="45"/>
    </row>
    <row r="833" spans="47:47" ht="12" customHeight="1" x14ac:dyDescent="0.3">
      <c r="AU833" s="45"/>
    </row>
    <row r="834" spans="47:47" ht="12" customHeight="1" x14ac:dyDescent="0.3">
      <c r="AU834" s="45"/>
    </row>
    <row r="835" spans="47:47" ht="12" customHeight="1" x14ac:dyDescent="0.3">
      <c r="AU835" s="45"/>
    </row>
    <row r="836" spans="47:47" ht="12" customHeight="1" x14ac:dyDescent="0.3">
      <c r="AU836" s="45"/>
    </row>
    <row r="837" spans="47:47" ht="12" customHeight="1" x14ac:dyDescent="0.3">
      <c r="AU837" s="45"/>
    </row>
    <row r="838" spans="47:47" ht="12" customHeight="1" x14ac:dyDescent="0.3">
      <c r="AU838" s="45"/>
    </row>
    <row r="839" spans="47:47" ht="12" customHeight="1" x14ac:dyDescent="0.3">
      <c r="AU839" s="45"/>
    </row>
    <row r="840" spans="47:47" ht="12" customHeight="1" x14ac:dyDescent="0.3">
      <c r="AU840" s="45"/>
    </row>
    <row r="841" spans="47:47" ht="12" customHeight="1" x14ac:dyDescent="0.3">
      <c r="AU841" s="45"/>
    </row>
    <row r="842" spans="47:47" ht="12" customHeight="1" x14ac:dyDescent="0.3">
      <c r="AU842" s="45"/>
    </row>
    <row r="843" spans="47:47" ht="12" customHeight="1" x14ac:dyDescent="0.3">
      <c r="AU843" s="45"/>
    </row>
    <row r="844" spans="47:47" ht="12" customHeight="1" x14ac:dyDescent="0.3">
      <c r="AU844" s="45"/>
    </row>
    <row r="845" spans="47:47" ht="12" customHeight="1" x14ac:dyDescent="0.3">
      <c r="AU845" s="45"/>
    </row>
    <row r="846" spans="47:47" ht="12" customHeight="1" x14ac:dyDescent="0.3">
      <c r="AU846" s="45"/>
    </row>
    <row r="847" spans="47:47" ht="12" customHeight="1" x14ac:dyDescent="0.3">
      <c r="AU847" s="45"/>
    </row>
    <row r="848" spans="47:47" ht="12" customHeight="1" x14ac:dyDescent="0.3">
      <c r="AU848" s="45"/>
    </row>
    <row r="849" spans="47:47" ht="12" customHeight="1" x14ac:dyDescent="0.3">
      <c r="AU849" s="45"/>
    </row>
    <row r="850" spans="47:47" ht="12" customHeight="1" x14ac:dyDescent="0.3">
      <c r="AU850" s="45"/>
    </row>
    <row r="851" spans="47:47" ht="12" customHeight="1" x14ac:dyDescent="0.3">
      <c r="AU851" s="45"/>
    </row>
    <row r="852" spans="47:47" ht="12" customHeight="1" x14ac:dyDescent="0.3">
      <c r="AU852" s="45"/>
    </row>
    <row r="853" spans="47:47" ht="12" customHeight="1" x14ac:dyDescent="0.3">
      <c r="AU853" s="45"/>
    </row>
    <row r="854" spans="47:47" ht="12" customHeight="1" x14ac:dyDescent="0.3">
      <c r="AU854" s="45"/>
    </row>
    <row r="855" spans="47:47" ht="12" customHeight="1" x14ac:dyDescent="0.3">
      <c r="AU855" s="45"/>
    </row>
    <row r="856" spans="47:47" ht="12" customHeight="1" x14ac:dyDescent="0.3">
      <c r="AU856" s="45"/>
    </row>
    <row r="857" spans="47:47" ht="12" customHeight="1" x14ac:dyDescent="0.3">
      <c r="AU857" s="45"/>
    </row>
    <row r="858" spans="47:47" ht="12" customHeight="1" x14ac:dyDescent="0.3">
      <c r="AU858" s="45"/>
    </row>
    <row r="859" spans="47:47" ht="12" customHeight="1" x14ac:dyDescent="0.3">
      <c r="AU859" s="45"/>
    </row>
    <row r="860" spans="47:47" ht="12" customHeight="1" x14ac:dyDescent="0.3">
      <c r="AU860" s="45"/>
    </row>
    <row r="861" spans="47:47" ht="12" customHeight="1" x14ac:dyDescent="0.3">
      <c r="AU861" s="45"/>
    </row>
    <row r="862" spans="47:47" ht="12" customHeight="1" x14ac:dyDescent="0.3">
      <c r="AU862" s="45"/>
    </row>
    <row r="863" spans="47:47" ht="12" customHeight="1" x14ac:dyDescent="0.3">
      <c r="AU863" s="45"/>
    </row>
    <row r="864" spans="47:47" ht="12" customHeight="1" x14ac:dyDescent="0.3">
      <c r="AU864" s="45"/>
    </row>
    <row r="865" spans="47:47" ht="12" customHeight="1" x14ac:dyDescent="0.3">
      <c r="AU865" s="45"/>
    </row>
    <row r="866" spans="47:47" ht="12" customHeight="1" x14ac:dyDescent="0.3">
      <c r="AU866" s="45"/>
    </row>
    <row r="867" spans="47:47" ht="12" customHeight="1" x14ac:dyDescent="0.3">
      <c r="AU867" s="45"/>
    </row>
    <row r="868" spans="47:47" ht="12" customHeight="1" x14ac:dyDescent="0.3">
      <c r="AU868" s="45"/>
    </row>
    <row r="869" spans="47:47" ht="12" customHeight="1" x14ac:dyDescent="0.3">
      <c r="AU869" s="45"/>
    </row>
    <row r="870" spans="47:47" ht="12" customHeight="1" x14ac:dyDescent="0.3">
      <c r="AU870" s="45"/>
    </row>
    <row r="871" spans="47:47" ht="12" customHeight="1" x14ac:dyDescent="0.3">
      <c r="AU871" s="45"/>
    </row>
    <row r="872" spans="47:47" ht="12" customHeight="1" x14ac:dyDescent="0.3">
      <c r="AU872" s="45"/>
    </row>
    <row r="873" spans="47:47" ht="12" customHeight="1" x14ac:dyDescent="0.3">
      <c r="AU873" s="45"/>
    </row>
    <row r="874" spans="47:47" ht="12" customHeight="1" x14ac:dyDescent="0.3">
      <c r="AU874" s="45"/>
    </row>
    <row r="875" spans="47:47" ht="12" customHeight="1" x14ac:dyDescent="0.3">
      <c r="AU875" s="45"/>
    </row>
    <row r="876" spans="47:47" ht="12" customHeight="1" x14ac:dyDescent="0.3">
      <c r="AU876" s="45"/>
    </row>
    <row r="877" spans="47:47" ht="12" customHeight="1" x14ac:dyDescent="0.3">
      <c r="AU877" s="45"/>
    </row>
    <row r="878" spans="47:47" ht="12" customHeight="1" x14ac:dyDescent="0.3">
      <c r="AU878" s="45"/>
    </row>
    <row r="879" spans="47:47" ht="12" customHeight="1" x14ac:dyDescent="0.3">
      <c r="AU879" s="45"/>
    </row>
    <row r="880" spans="47:47" ht="12" customHeight="1" x14ac:dyDescent="0.3">
      <c r="AU880" s="45"/>
    </row>
    <row r="881" spans="47:47" ht="12" customHeight="1" x14ac:dyDescent="0.3">
      <c r="AU881" s="45"/>
    </row>
    <row r="882" spans="47:47" ht="12" customHeight="1" x14ac:dyDescent="0.3">
      <c r="AU882" s="45"/>
    </row>
    <row r="883" spans="47:47" ht="12" customHeight="1" x14ac:dyDescent="0.3">
      <c r="AU883" s="45"/>
    </row>
    <row r="884" spans="47:47" ht="12" customHeight="1" x14ac:dyDescent="0.3">
      <c r="AU884" s="45"/>
    </row>
    <row r="885" spans="47:47" ht="12" customHeight="1" x14ac:dyDescent="0.3">
      <c r="AU885" s="45"/>
    </row>
    <row r="886" spans="47:47" ht="12" customHeight="1" x14ac:dyDescent="0.3">
      <c r="AU886" s="45"/>
    </row>
    <row r="887" spans="47:47" ht="12" customHeight="1" x14ac:dyDescent="0.3">
      <c r="AU887" s="45"/>
    </row>
    <row r="888" spans="47:47" ht="12" customHeight="1" x14ac:dyDescent="0.3">
      <c r="AU888" s="45"/>
    </row>
    <row r="889" spans="47:47" ht="12" customHeight="1" x14ac:dyDescent="0.3">
      <c r="AU889" s="45"/>
    </row>
    <row r="890" spans="47:47" ht="12" customHeight="1" x14ac:dyDescent="0.3">
      <c r="AU890" s="45"/>
    </row>
    <row r="891" spans="47:47" ht="12" customHeight="1" x14ac:dyDescent="0.3">
      <c r="AU891" s="45"/>
    </row>
    <row r="892" spans="47:47" ht="12" customHeight="1" x14ac:dyDescent="0.3">
      <c r="AU892" s="45"/>
    </row>
    <row r="893" spans="47:47" ht="12" customHeight="1" x14ac:dyDescent="0.3">
      <c r="AU893" s="45"/>
    </row>
    <row r="894" spans="47:47" ht="12" customHeight="1" x14ac:dyDescent="0.3">
      <c r="AU894" s="45"/>
    </row>
    <row r="895" spans="47:47" ht="12" customHeight="1" x14ac:dyDescent="0.3">
      <c r="AU895" s="45"/>
    </row>
    <row r="896" spans="47:47" ht="12" customHeight="1" x14ac:dyDescent="0.3">
      <c r="AU896" s="45"/>
    </row>
    <row r="897" spans="47:47" ht="12" customHeight="1" x14ac:dyDescent="0.3">
      <c r="AU897" s="45"/>
    </row>
    <row r="898" spans="47:47" ht="12" customHeight="1" x14ac:dyDescent="0.3">
      <c r="AU898" s="45"/>
    </row>
    <row r="899" spans="47:47" ht="12" customHeight="1" x14ac:dyDescent="0.3">
      <c r="AU899" s="45"/>
    </row>
    <row r="900" spans="47:47" ht="12" customHeight="1" x14ac:dyDescent="0.3">
      <c r="AU900" s="45"/>
    </row>
    <row r="901" spans="47:47" ht="12" customHeight="1" x14ac:dyDescent="0.3">
      <c r="AU901" s="45"/>
    </row>
    <row r="902" spans="47:47" ht="12" customHeight="1" x14ac:dyDescent="0.3">
      <c r="AU902" s="45"/>
    </row>
    <row r="903" spans="47:47" ht="12" customHeight="1" x14ac:dyDescent="0.3">
      <c r="AU903" s="45"/>
    </row>
    <row r="904" spans="47:47" ht="12" customHeight="1" x14ac:dyDescent="0.3">
      <c r="AU904" s="45"/>
    </row>
    <row r="905" spans="47:47" ht="12" customHeight="1" x14ac:dyDescent="0.3">
      <c r="AU905" s="45"/>
    </row>
    <row r="906" spans="47:47" ht="12" customHeight="1" x14ac:dyDescent="0.3">
      <c r="AU906" s="45"/>
    </row>
    <row r="907" spans="47:47" ht="12" customHeight="1" x14ac:dyDescent="0.3">
      <c r="AU907" s="45"/>
    </row>
    <row r="908" spans="47:47" ht="12" customHeight="1" x14ac:dyDescent="0.3">
      <c r="AU908" s="45"/>
    </row>
    <row r="909" spans="47:47" ht="12" customHeight="1" x14ac:dyDescent="0.3">
      <c r="AU909" s="45"/>
    </row>
    <row r="910" spans="47:47" ht="12" customHeight="1" x14ac:dyDescent="0.3">
      <c r="AU910" s="45"/>
    </row>
    <row r="911" spans="47:47" ht="12" customHeight="1" x14ac:dyDescent="0.3">
      <c r="AU911" s="45"/>
    </row>
    <row r="912" spans="47:47" ht="12" customHeight="1" x14ac:dyDescent="0.3">
      <c r="AU912" s="45"/>
    </row>
    <row r="913" spans="47:47" ht="12" customHeight="1" x14ac:dyDescent="0.3">
      <c r="AU913" s="45"/>
    </row>
    <row r="914" spans="47:47" ht="12" customHeight="1" x14ac:dyDescent="0.3">
      <c r="AU914" s="45"/>
    </row>
    <row r="915" spans="47:47" ht="12" customHeight="1" x14ac:dyDescent="0.3">
      <c r="AU915" s="45"/>
    </row>
    <row r="916" spans="47:47" ht="12" customHeight="1" x14ac:dyDescent="0.3">
      <c r="AU916" s="45"/>
    </row>
    <row r="917" spans="47:47" ht="12" customHeight="1" x14ac:dyDescent="0.3">
      <c r="AU917" s="45"/>
    </row>
    <row r="918" spans="47:47" ht="12" customHeight="1" x14ac:dyDescent="0.3">
      <c r="AU918" s="45"/>
    </row>
    <row r="919" spans="47:47" ht="12" customHeight="1" x14ac:dyDescent="0.3">
      <c r="AU919" s="45"/>
    </row>
    <row r="920" spans="47:47" ht="12" customHeight="1" x14ac:dyDescent="0.3">
      <c r="AU920" s="45"/>
    </row>
    <row r="921" spans="47:47" ht="12" customHeight="1" x14ac:dyDescent="0.3">
      <c r="AU921" s="45"/>
    </row>
    <row r="922" spans="47:47" ht="12" customHeight="1" x14ac:dyDescent="0.3">
      <c r="AU922" s="45"/>
    </row>
    <row r="923" spans="47:47" ht="12" customHeight="1" x14ac:dyDescent="0.3">
      <c r="AU923" s="45"/>
    </row>
    <row r="924" spans="47:47" ht="12" customHeight="1" x14ac:dyDescent="0.3">
      <c r="AU924" s="45"/>
    </row>
    <row r="925" spans="47:47" ht="12" customHeight="1" x14ac:dyDescent="0.3">
      <c r="AU925" s="45"/>
    </row>
    <row r="926" spans="47:47" ht="12" customHeight="1" x14ac:dyDescent="0.3">
      <c r="AU926" s="45"/>
    </row>
    <row r="927" spans="47:47" ht="12" customHeight="1" x14ac:dyDescent="0.3">
      <c r="AU927" s="45"/>
    </row>
    <row r="928" spans="47:47" ht="12" customHeight="1" x14ac:dyDescent="0.3">
      <c r="AU928" s="45"/>
    </row>
    <row r="929" spans="47:47" ht="12" customHeight="1" x14ac:dyDescent="0.3">
      <c r="AU929" s="45"/>
    </row>
    <row r="930" spans="47:47" ht="12" customHeight="1" x14ac:dyDescent="0.3">
      <c r="AU930" s="45"/>
    </row>
    <row r="931" spans="47:47" ht="12" customHeight="1" x14ac:dyDescent="0.3">
      <c r="AU931" s="45"/>
    </row>
    <row r="932" spans="47:47" ht="12" customHeight="1" x14ac:dyDescent="0.3">
      <c r="AU932" s="45"/>
    </row>
    <row r="933" spans="47:47" ht="12" customHeight="1" x14ac:dyDescent="0.3">
      <c r="AU933" s="45"/>
    </row>
    <row r="934" spans="47:47" ht="12" customHeight="1" x14ac:dyDescent="0.3">
      <c r="AU934" s="45"/>
    </row>
    <row r="935" spans="47:47" ht="12" customHeight="1" x14ac:dyDescent="0.3">
      <c r="AU935" s="45"/>
    </row>
    <row r="936" spans="47:47" ht="12" customHeight="1" x14ac:dyDescent="0.3">
      <c r="AU936" s="45"/>
    </row>
    <row r="937" spans="47:47" ht="12" customHeight="1" x14ac:dyDescent="0.3">
      <c r="AU937" s="45"/>
    </row>
    <row r="938" spans="47:47" ht="12" customHeight="1" x14ac:dyDescent="0.3">
      <c r="AU938" s="45"/>
    </row>
    <row r="939" spans="47:47" ht="12" customHeight="1" x14ac:dyDescent="0.3">
      <c r="AU939" s="45"/>
    </row>
    <row r="940" spans="47:47" ht="12" customHeight="1" x14ac:dyDescent="0.3">
      <c r="AU940" s="45"/>
    </row>
    <row r="941" spans="47:47" ht="12" customHeight="1" x14ac:dyDescent="0.3">
      <c r="AU941" s="45"/>
    </row>
    <row r="942" spans="47:47" ht="12" customHeight="1" x14ac:dyDescent="0.3">
      <c r="AU942" s="45"/>
    </row>
    <row r="943" spans="47:47" ht="12" customHeight="1" x14ac:dyDescent="0.3">
      <c r="AU943" s="45"/>
    </row>
    <row r="944" spans="47:47" ht="12" customHeight="1" x14ac:dyDescent="0.3">
      <c r="AU944" s="45"/>
    </row>
    <row r="945" spans="47:47" ht="12" customHeight="1" x14ac:dyDescent="0.3">
      <c r="AU945" s="45"/>
    </row>
    <row r="946" spans="47:47" ht="12" customHeight="1" x14ac:dyDescent="0.3">
      <c r="AU946" s="45"/>
    </row>
    <row r="947" spans="47:47" ht="12" customHeight="1" x14ac:dyDescent="0.3">
      <c r="AU947" s="45"/>
    </row>
    <row r="948" spans="47:47" ht="12" customHeight="1" x14ac:dyDescent="0.3">
      <c r="AU948" s="45"/>
    </row>
    <row r="949" spans="47:47" ht="12" customHeight="1" x14ac:dyDescent="0.3">
      <c r="AU949" s="45"/>
    </row>
    <row r="950" spans="47:47" ht="12" customHeight="1" x14ac:dyDescent="0.3">
      <c r="AU950" s="45"/>
    </row>
    <row r="951" spans="47:47" ht="12" customHeight="1" x14ac:dyDescent="0.3">
      <c r="AU951" s="45"/>
    </row>
    <row r="952" spans="47:47" ht="12" customHeight="1" x14ac:dyDescent="0.3">
      <c r="AU952" s="45"/>
    </row>
    <row r="953" spans="47:47" ht="12" customHeight="1" x14ac:dyDescent="0.3">
      <c r="AU953" s="45"/>
    </row>
    <row r="954" spans="47:47" ht="12" customHeight="1" x14ac:dyDescent="0.3">
      <c r="AU954" s="45"/>
    </row>
    <row r="955" spans="47:47" ht="12" customHeight="1" x14ac:dyDescent="0.3">
      <c r="AU955" s="45"/>
    </row>
    <row r="956" spans="47:47" ht="12" customHeight="1" x14ac:dyDescent="0.3">
      <c r="AU956" s="45"/>
    </row>
    <row r="957" spans="47:47" ht="12" customHeight="1" x14ac:dyDescent="0.3">
      <c r="AU957" s="45"/>
    </row>
    <row r="958" spans="47:47" ht="12" customHeight="1" x14ac:dyDescent="0.3">
      <c r="AU958" s="45"/>
    </row>
    <row r="959" spans="47:47" ht="12" customHeight="1" x14ac:dyDescent="0.3">
      <c r="AU959" s="45"/>
    </row>
    <row r="960" spans="47:47" ht="12" customHeight="1" x14ac:dyDescent="0.3">
      <c r="AU960" s="45"/>
    </row>
    <row r="961" spans="47:47" ht="12" customHeight="1" x14ac:dyDescent="0.3">
      <c r="AU961" s="45"/>
    </row>
    <row r="962" spans="47:47" ht="12" customHeight="1" x14ac:dyDescent="0.3">
      <c r="AU962" s="45"/>
    </row>
    <row r="963" spans="47:47" ht="12" customHeight="1" x14ac:dyDescent="0.3">
      <c r="AU963" s="45"/>
    </row>
    <row r="964" spans="47:47" ht="12" customHeight="1" x14ac:dyDescent="0.3">
      <c r="AU964" s="45"/>
    </row>
    <row r="965" spans="47:47" ht="12" customHeight="1" x14ac:dyDescent="0.3">
      <c r="AU965" s="45"/>
    </row>
    <row r="966" spans="47:47" ht="12" customHeight="1" x14ac:dyDescent="0.3">
      <c r="AU966" s="45"/>
    </row>
    <row r="967" spans="47:47" ht="12" customHeight="1" x14ac:dyDescent="0.3">
      <c r="AU967" s="45"/>
    </row>
    <row r="968" spans="47:47" ht="12" customHeight="1" x14ac:dyDescent="0.3">
      <c r="AU968" s="45"/>
    </row>
    <row r="969" spans="47:47" ht="12" customHeight="1" x14ac:dyDescent="0.3">
      <c r="AU969" s="45"/>
    </row>
    <row r="970" spans="47:47" ht="12" customHeight="1" x14ac:dyDescent="0.3">
      <c r="AU970" s="45"/>
    </row>
    <row r="971" spans="47:47" ht="12" customHeight="1" x14ac:dyDescent="0.3">
      <c r="AU971" s="45"/>
    </row>
    <row r="972" spans="47:47" ht="12" customHeight="1" x14ac:dyDescent="0.3">
      <c r="AU972" s="45"/>
    </row>
    <row r="973" spans="47:47" ht="12" customHeight="1" x14ac:dyDescent="0.3">
      <c r="AU973" s="45"/>
    </row>
    <row r="974" spans="47:47" ht="12" customHeight="1" x14ac:dyDescent="0.3">
      <c r="AU974" s="45"/>
    </row>
    <row r="975" spans="47:47" ht="12" customHeight="1" x14ac:dyDescent="0.3">
      <c r="AU975" s="45"/>
    </row>
    <row r="976" spans="47:47" ht="12" customHeight="1" x14ac:dyDescent="0.3">
      <c r="AU976" s="45"/>
    </row>
    <row r="977" spans="47:47" ht="12" customHeight="1" x14ac:dyDescent="0.3">
      <c r="AU977" s="45"/>
    </row>
    <row r="978" spans="47:47" ht="12" customHeight="1" x14ac:dyDescent="0.3">
      <c r="AU978" s="45"/>
    </row>
    <row r="979" spans="47:47" ht="12" customHeight="1" x14ac:dyDescent="0.3">
      <c r="AU979" s="45"/>
    </row>
    <row r="980" spans="47:47" ht="12" customHeight="1" x14ac:dyDescent="0.3">
      <c r="AU980" s="45"/>
    </row>
    <row r="981" spans="47:47" ht="12" customHeight="1" x14ac:dyDescent="0.3">
      <c r="AU981" s="45"/>
    </row>
    <row r="982" spans="47:47" ht="12" customHeight="1" x14ac:dyDescent="0.3">
      <c r="AU982" s="45"/>
    </row>
    <row r="983" spans="47:47" ht="12" customHeight="1" x14ac:dyDescent="0.3">
      <c r="AU983" s="45"/>
    </row>
    <row r="984" spans="47:47" ht="12" customHeight="1" x14ac:dyDescent="0.3">
      <c r="AU984" s="45"/>
    </row>
    <row r="985" spans="47:47" ht="12" customHeight="1" x14ac:dyDescent="0.3">
      <c r="AU985" s="45"/>
    </row>
    <row r="986" spans="47:47" ht="12" customHeight="1" x14ac:dyDescent="0.3">
      <c r="AU986" s="45"/>
    </row>
    <row r="987" spans="47:47" ht="12" customHeight="1" x14ac:dyDescent="0.3">
      <c r="AU987" s="45"/>
    </row>
    <row r="988" spans="47:47" ht="12" customHeight="1" x14ac:dyDescent="0.3">
      <c r="AU988" s="45"/>
    </row>
    <row r="989" spans="47:47" ht="12" customHeight="1" x14ac:dyDescent="0.3">
      <c r="AU989" s="45"/>
    </row>
    <row r="990" spans="47:47" ht="12" customHeight="1" x14ac:dyDescent="0.3">
      <c r="AU990" s="45"/>
    </row>
    <row r="991" spans="47:47" ht="12" customHeight="1" x14ac:dyDescent="0.3">
      <c r="AU991" s="45"/>
    </row>
    <row r="992" spans="47:47" ht="12" customHeight="1" x14ac:dyDescent="0.3">
      <c r="AU992" s="45"/>
    </row>
    <row r="993" spans="47:47" ht="12" customHeight="1" x14ac:dyDescent="0.3">
      <c r="AU993" s="45"/>
    </row>
    <row r="994" spans="47:47" ht="12" customHeight="1" x14ac:dyDescent="0.3">
      <c r="AU994" s="45"/>
    </row>
    <row r="995" spans="47:47" ht="12" customHeight="1" x14ac:dyDescent="0.3">
      <c r="AU995" s="45"/>
    </row>
    <row r="996" spans="47:47" ht="12" customHeight="1" x14ac:dyDescent="0.3">
      <c r="AU996" s="45"/>
    </row>
    <row r="997" spans="47:47" ht="12" customHeight="1" x14ac:dyDescent="0.3">
      <c r="AU997" s="45"/>
    </row>
    <row r="998" spans="47:47" ht="12" customHeight="1" x14ac:dyDescent="0.3">
      <c r="AU998" s="45"/>
    </row>
    <row r="999" spans="47:47" ht="12" customHeight="1" x14ac:dyDescent="0.3">
      <c r="AU999" s="45"/>
    </row>
    <row r="1000" spans="47:47" ht="12" customHeight="1" x14ac:dyDescent="0.3">
      <c r="AU1000" s="45"/>
    </row>
    <row r="1001" spans="47:47" ht="12" customHeight="1" x14ac:dyDescent="0.3">
      <c r="AU1001" s="45"/>
    </row>
    <row r="1002" spans="47:47" ht="12" customHeight="1" x14ac:dyDescent="0.3">
      <c r="AU1002" s="45"/>
    </row>
    <row r="1003" spans="47:47" ht="12" customHeight="1" x14ac:dyDescent="0.3">
      <c r="AU1003" s="45"/>
    </row>
    <row r="1004" spans="47:47" ht="12" customHeight="1" x14ac:dyDescent="0.3">
      <c r="AU1004" s="45"/>
    </row>
    <row r="1005" spans="47:47" ht="12" customHeight="1" x14ac:dyDescent="0.3">
      <c r="AU1005" s="45"/>
    </row>
    <row r="1006" spans="47:47" ht="12" customHeight="1" x14ac:dyDescent="0.3">
      <c r="AU1006" s="45"/>
    </row>
    <row r="1007" spans="47:47" ht="12" customHeight="1" x14ac:dyDescent="0.3">
      <c r="AU1007" s="45"/>
    </row>
    <row r="1008" spans="47:47" ht="12" customHeight="1" x14ac:dyDescent="0.3">
      <c r="AU1008" s="45"/>
    </row>
    <row r="1009" spans="47:47" ht="12" customHeight="1" x14ac:dyDescent="0.3">
      <c r="AU1009" s="45"/>
    </row>
    <row r="1010" spans="47:47" ht="12" customHeight="1" x14ac:dyDescent="0.3">
      <c r="AU1010" s="45"/>
    </row>
    <row r="1011" spans="47:47" ht="12" customHeight="1" x14ac:dyDescent="0.3">
      <c r="AU1011" s="45"/>
    </row>
    <row r="1012" spans="47:47" ht="12" customHeight="1" x14ac:dyDescent="0.3">
      <c r="AU1012" s="45"/>
    </row>
    <row r="1013" spans="47:47" ht="12" customHeight="1" x14ac:dyDescent="0.3">
      <c r="AU1013" s="45"/>
    </row>
    <row r="1014" spans="47:47" ht="12" customHeight="1" x14ac:dyDescent="0.3">
      <c r="AU1014" s="45"/>
    </row>
    <row r="1015" spans="47:47" ht="12" customHeight="1" x14ac:dyDescent="0.3">
      <c r="AU1015" s="45"/>
    </row>
    <row r="1016" spans="47:47" ht="12" customHeight="1" x14ac:dyDescent="0.3">
      <c r="AU1016" s="45"/>
    </row>
    <row r="1017" spans="47:47" ht="12" customHeight="1" x14ac:dyDescent="0.3">
      <c r="AU1017" s="45"/>
    </row>
    <row r="1018" spans="47:47" ht="12" customHeight="1" x14ac:dyDescent="0.3">
      <c r="AU1018" s="45"/>
    </row>
    <row r="1019" spans="47:47" ht="12" customHeight="1" x14ac:dyDescent="0.3">
      <c r="AU1019" s="45"/>
    </row>
    <row r="1020" spans="47:47" ht="12" customHeight="1" x14ac:dyDescent="0.3">
      <c r="AU1020" s="45"/>
    </row>
    <row r="1021" spans="47:47" ht="12" customHeight="1" x14ac:dyDescent="0.3">
      <c r="AU1021" s="45"/>
    </row>
    <row r="1022" spans="47:47" ht="12" customHeight="1" x14ac:dyDescent="0.3">
      <c r="AU1022" s="45"/>
    </row>
    <row r="1023" spans="47:47" ht="12" customHeight="1" x14ac:dyDescent="0.3">
      <c r="AU1023" s="45"/>
    </row>
    <row r="1024" spans="47:47" ht="12" customHeight="1" x14ac:dyDescent="0.3">
      <c r="AU1024" s="45"/>
    </row>
    <row r="1025" spans="47:47" ht="12" customHeight="1" x14ac:dyDescent="0.3">
      <c r="AU1025" s="45"/>
    </row>
    <row r="1026" spans="47:47" ht="12" customHeight="1" x14ac:dyDescent="0.3">
      <c r="AU1026" s="45"/>
    </row>
    <row r="1027" spans="47:47" ht="12" customHeight="1" x14ac:dyDescent="0.3">
      <c r="AU1027" s="45"/>
    </row>
    <row r="1028" spans="47:47" ht="12" customHeight="1" x14ac:dyDescent="0.3">
      <c r="AU1028" s="45"/>
    </row>
    <row r="1029" spans="47:47" ht="12" customHeight="1" x14ac:dyDescent="0.3">
      <c r="AU1029" s="45"/>
    </row>
    <row r="1030" spans="47:47" ht="12" customHeight="1" x14ac:dyDescent="0.3">
      <c r="AU1030" s="45"/>
    </row>
    <row r="1031" spans="47:47" ht="12" customHeight="1" x14ac:dyDescent="0.3">
      <c r="AU1031" s="45"/>
    </row>
    <row r="1032" spans="47:47" ht="12" customHeight="1" x14ac:dyDescent="0.3">
      <c r="AU1032" s="45"/>
    </row>
    <row r="1033" spans="47:47" ht="12" customHeight="1" x14ac:dyDescent="0.3">
      <c r="AU1033" s="45"/>
    </row>
    <row r="1034" spans="47:47" ht="12" customHeight="1" x14ac:dyDescent="0.3">
      <c r="AU1034" s="45"/>
    </row>
    <row r="1035" spans="47:47" ht="12" customHeight="1" x14ac:dyDescent="0.3">
      <c r="AU1035" s="45"/>
    </row>
    <row r="1036" spans="47:47" ht="12" customHeight="1" x14ac:dyDescent="0.3">
      <c r="AU1036" s="45"/>
    </row>
    <row r="1037" spans="47:47" ht="12" customHeight="1" x14ac:dyDescent="0.3">
      <c r="AU1037" s="45"/>
    </row>
    <row r="1038" spans="47:47" ht="12" customHeight="1" x14ac:dyDescent="0.3">
      <c r="AU1038" s="45"/>
    </row>
    <row r="1039" spans="47:47" ht="12" customHeight="1" x14ac:dyDescent="0.3">
      <c r="AU1039" s="45"/>
    </row>
    <row r="1040" spans="47:47" ht="12" customHeight="1" x14ac:dyDescent="0.3">
      <c r="AU1040" s="45"/>
    </row>
    <row r="1041" spans="47:47" ht="12" customHeight="1" x14ac:dyDescent="0.3">
      <c r="AU1041" s="45"/>
    </row>
    <row r="1042" spans="47:47" ht="12" customHeight="1" x14ac:dyDescent="0.3">
      <c r="AU1042" s="45"/>
    </row>
    <row r="1043" spans="47:47" ht="12" customHeight="1" x14ac:dyDescent="0.3">
      <c r="AU1043" s="45"/>
    </row>
    <row r="1044" spans="47:47" ht="12" customHeight="1" x14ac:dyDescent="0.3">
      <c r="AU1044" s="45"/>
    </row>
    <row r="1045" spans="47:47" ht="12" customHeight="1" x14ac:dyDescent="0.3">
      <c r="AU1045" s="45"/>
    </row>
    <row r="1046" spans="47:47" ht="12" customHeight="1" x14ac:dyDescent="0.3">
      <c r="AU1046" s="45"/>
    </row>
    <row r="1047" spans="47:47" ht="12" customHeight="1" x14ac:dyDescent="0.3">
      <c r="AU1047" s="45"/>
    </row>
    <row r="1048" spans="47:47" ht="12" customHeight="1" x14ac:dyDescent="0.3">
      <c r="AU1048" s="45"/>
    </row>
    <row r="1049" spans="47:47" ht="12" customHeight="1" x14ac:dyDescent="0.3">
      <c r="AU1049" s="45"/>
    </row>
    <row r="1050" spans="47:47" ht="12" customHeight="1" x14ac:dyDescent="0.3">
      <c r="AU1050" s="45"/>
    </row>
    <row r="1051" spans="47:47" ht="12" customHeight="1" x14ac:dyDescent="0.3">
      <c r="AU1051" s="45"/>
    </row>
    <row r="1052" spans="47:47" ht="12" customHeight="1" x14ac:dyDescent="0.3">
      <c r="AU1052" s="45"/>
    </row>
    <row r="1053" spans="47:47" ht="12" customHeight="1" x14ac:dyDescent="0.3">
      <c r="AU1053" s="45"/>
    </row>
    <row r="1054" spans="47:47" ht="12" customHeight="1" x14ac:dyDescent="0.3">
      <c r="AU1054" s="45"/>
    </row>
    <row r="1055" spans="47:47" ht="12" customHeight="1" x14ac:dyDescent="0.3">
      <c r="AU1055" s="45"/>
    </row>
    <row r="1056" spans="47:47" ht="12" customHeight="1" x14ac:dyDescent="0.3">
      <c r="AU1056" s="45"/>
    </row>
    <row r="1057" spans="47:47" ht="12" customHeight="1" x14ac:dyDescent="0.3">
      <c r="AU1057" s="45"/>
    </row>
    <row r="1058" spans="47:47" ht="12" customHeight="1" x14ac:dyDescent="0.3">
      <c r="AU1058" s="45"/>
    </row>
    <row r="1059" spans="47:47" ht="12" customHeight="1" x14ac:dyDescent="0.3">
      <c r="AU1059" s="45"/>
    </row>
    <row r="1060" spans="47:47" ht="12" customHeight="1" x14ac:dyDescent="0.3">
      <c r="AU1060" s="45"/>
    </row>
    <row r="1061" spans="47:47" ht="12" customHeight="1" x14ac:dyDescent="0.3">
      <c r="AU1061" s="45"/>
    </row>
    <row r="1062" spans="47:47" ht="12" customHeight="1" x14ac:dyDescent="0.3">
      <c r="AU1062" s="45"/>
    </row>
    <row r="1063" spans="47:47" ht="12" customHeight="1" x14ac:dyDescent="0.3">
      <c r="AU1063" s="45"/>
    </row>
    <row r="1064" spans="47:47" ht="12" customHeight="1" x14ac:dyDescent="0.3">
      <c r="AU1064" s="45"/>
    </row>
    <row r="1065" spans="47:47" ht="12" customHeight="1" x14ac:dyDescent="0.3">
      <c r="AU1065" s="45"/>
    </row>
    <row r="1066" spans="47:47" ht="12" customHeight="1" x14ac:dyDescent="0.3">
      <c r="AU1066" s="45"/>
    </row>
    <row r="1067" spans="47:47" ht="12" customHeight="1" x14ac:dyDescent="0.3">
      <c r="AU1067" s="45"/>
    </row>
    <row r="1068" spans="47:47" ht="12" customHeight="1" x14ac:dyDescent="0.3">
      <c r="AU1068" s="45"/>
    </row>
    <row r="1069" spans="47:47" ht="12" customHeight="1" x14ac:dyDescent="0.3">
      <c r="AU1069" s="45"/>
    </row>
    <row r="1070" spans="47:47" ht="12" customHeight="1" x14ac:dyDescent="0.3">
      <c r="AU1070" s="45"/>
    </row>
    <row r="1071" spans="47:47" ht="12" customHeight="1" x14ac:dyDescent="0.3">
      <c r="AU1071" s="45"/>
    </row>
    <row r="1072" spans="47:47" ht="12" customHeight="1" x14ac:dyDescent="0.3">
      <c r="AU1072" s="45"/>
    </row>
    <row r="1073" spans="47:47" ht="12" customHeight="1" x14ac:dyDescent="0.3">
      <c r="AU1073" s="45"/>
    </row>
    <row r="1074" spans="47:47" ht="12" customHeight="1" x14ac:dyDescent="0.3">
      <c r="AU1074" s="45"/>
    </row>
    <row r="1075" spans="47:47" ht="12" customHeight="1" x14ac:dyDescent="0.3">
      <c r="AU1075" s="45"/>
    </row>
    <row r="1076" spans="47:47" ht="12" customHeight="1" x14ac:dyDescent="0.3">
      <c r="AU1076" s="45"/>
    </row>
    <row r="1077" spans="47:47" ht="12" customHeight="1" x14ac:dyDescent="0.3">
      <c r="AU1077" s="45"/>
    </row>
    <row r="1078" spans="47:47" ht="12" customHeight="1" x14ac:dyDescent="0.3">
      <c r="AU1078" s="45"/>
    </row>
    <row r="1079" spans="47:47" ht="12" customHeight="1" x14ac:dyDescent="0.3">
      <c r="AU1079" s="45"/>
    </row>
    <row r="1080" spans="47:47" ht="12" customHeight="1" x14ac:dyDescent="0.3">
      <c r="AU1080" s="45"/>
    </row>
    <row r="1081" spans="47:47" ht="12" customHeight="1" x14ac:dyDescent="0.3">
      <c r="AU1081" s="45"/>
    </row>
    <row r="1082" spans="47:47" ht="12" customHeight="1" x14ac:dyDescent="0.3">
      <c r="AU1082" s="45"/>
    </row>
    <row r="1083" spans="47:47" ht="12" customHeight="1" x14ac:dyDescent="0.3">
      <c r="AU1083" s="45"/>
    </row>
    <row r="1084" spans="47:47" ht="12" customHeight="1" x14ac:dyDescent="0.3">
      <c r="AU1084" s="45"/>
    </row>
    <row r="1085" spans="47:47" ht="12" customHeight="1" x14ac:dyDescent="0.3">
      <c r="AU1085" s="45"/>
    </row>
    <row r="1086" spans="47:47" ht="12" customHeight="1" x14ac:dyDescent="0.3">
      <c r="AU1086" s="45"/>
    </row>
    <row r="1087" spans="47:47" ht="12" customHeight="1" x14ac:dyDescent="0.3">
      <c r="AU1087" s="45"/>
    </row>
    <row r="1088" spans="47:47" ht="12" customHeight="1" x14ac:dyDescent="0.3">
      <c r="AU1088" s="45"/>
    </row>
    <row r="1089" spans="47:47" ht="12" customHeight="1" x14ac:dyDescent="0.3">
      <c r="AU1089" s="45"/>
    </row>
    <row r="1090" spans="47:47" ht="12" customHeight="1" x14ac:dyDescent="0.3">
      <c r="AU1090" s="45"/>
    </row>
    <row r="1091" spans="47:47" ht="12" customHeight="1" x14ac:dyDescent="0.3">
      <c r="AU1091" s="45"/>
    </row>
    <row r="1092" spans="47:47" ht="12" customHeight="1" x14ac:dyDescent="0.3">
      <c r="AU1092" s="45"/>
    </row>
    <row r="1093" spans="47:47" ht="12" customHeight="1" x14ac:dyDescent="0.3">
      <c r="AU1093" s="45"/>
    </row>
    <row r="1094" spans="47:47" ht="12" customHeight="1" x14ac:dyDescent="0.3">
      <c r="AU1094" s="45"/>
    </row>
    <row r="1095" spans="47:47" ht="12" customHeight="1" x14ac:dyDescent="0.3">
      <c r="AU1095" s="45"/>
    </row>
    <row r="1096" spans="47:47" ht="12" customHeight="1" x14ac:dyDescent="0.3">
      <c r="AU1096" s="45"/>
    </row>
    <row r="1097" spans="47:47" ht="12" customHeight="1" x14ac:dyDescent="0.3">
      <c r="AU1097" s="45"/>
    </row>
    <row r="1098" spans="47:47" ht="12" customHeight="1" x14ac:dyDescent="0.3">
      <c r="AU1098" s="45"/>
    </row>
    <row r="1099" spans="47:47" ht="12" customHeight="1" x14ac:dyDescent="0.3">
      <c r="AU1099" s="45"/>
    </row>
    <row r="1100" spans="47:47" ht="12" customHeight="1" x14ac:dyDescent="0.3">
      <c r="AU1100" s="45"/>
    </row>
    <row r="1101" spans="47:47" ht="12" customHeight="1" x14ac:dyDescent="0.3">
      <c r="AU1101" s="45"/>
    </row>
    <row r="1102" spans="47:47" ht="12" customHeight="1" x14ac:dyDescent="0.3">
      <c r="AU1102" s="45"/>
    </row>
    <row r="1103" spans="47:47" ht="12" customHeight="1" x14ac:dyDescent="0.3">
      <c r="AU1103" s="45"/>
    </row>
    <row r="1104" spans="47:47" ht="12" customHeight="1" x14ac:dyDescent="0.3">
      <c r="AU1104" s="45"/>
    </row>
    <row r="1105" spans="47:47" ht="12" customHeight="1" x14ac:dyDescent="0.3">
      <c r="AU1105" s="45"/>
    </row>
    <row r="1106" spans="47:47" ht="12" customHeight="1" x14ac:dyDescent="0.3">
      <c r="AU1106" s="45"/>
    </row>
    <row r="1107" spans="47:47" ht="12" customHeight="1" x14ac:dyDescent="0.3">
      <c r="AU1107" s="45"/>
    </row>
    <row r="1108" spans="47:47" ht="12" customHeight="1" x14ac:dyDescent="0.3">
      <c r="AU1108" s="45"/>
    </row>
    <row r="1109" spans="47:47" ht="12" customHeight="1" x14ac:dyDescent="0.3">
      <c r="AU1109" s="45"/>
    </row>
    <row r="1110" spans="47:47" ht="12" customHeight="1" x14ac:dyDescent="0.3">
      <c r="AU1110" s="45"/>
    </row>
    <row r="1111" spans="47:47" ht="12" customHeight="1" x14ac:dyDescent="0.3">
      <c r="AU1111" s="45"/>
    </row>
    <row r="1112" spans="47:47" ht="12" customHeight="1" x14ac:dyDescent="0.3">
      <c r="AU1112" s="45"/>
    </row>
    <row r="1113" spans="47:47" ht="12" customHeight="1" x14ac:dyDescent="0.3">
      <c r="AU1113" s="45"/>
    </row>
    <row r="1114" spans="47:47" ht="12" customHeight="1" x14ac:dyDescent="0.3">
      <c r="AU1114" s="45"/>
    </row>
    <row r="1115" spans="47:47" ht="12" customHeight="1" x14ac:dyDescent="0.3">
      <c r="AU1115" s="45"/>
    </row>
    <row r="1116" spans="47:47" ht="12" customHeight="1" x14ac:dyDescent="0.3">
      <c r="AU1116" s="45"/>
    </row>
    <row r="1117" spans="47:47" ht="12" customHeight="1" x14ac:dyDescent="0.3">
      <c r="AU1117" s="45"/>
    </row>
    <row r="1118" spans="47:47" ht="12" customHeight="1" x14ac:dyDescent="0.3">
      <c r="AU1118" s="45"/>
    </row>
    <row r="1119" spans="47:47" ht="12" customHeight="1" x14ac:dyDescent="0.3">
      <c r="AU1119" s="45"/>
    </row>
    <row r="1120" spans="47:47" ht="12" customHeight="1" x14ac:dyDescent="0.3">
      <c r="AU1120" s="45"/>
    </row>
    <row r="1121" spans="47:47" ht="12" customHeight="1" x14ac:dyDescent="0.3">
      <c r="AU1121" s="45"/>
    </row>
    <row r="1122" spans="47:47" ht="12" customHeight="1" x14ac:dyDescent="0.3">
      <c r="AU1122" s="45"/>
    </row>
    <row r="1123" spans="47:47" ht="12" customHeight="1" x14ac:dyDescent="0.3">
      <c r="AU1123" s="45"/>
    </row>
    <row r="1124" spans="47:47" ht="12" customHeight="1" x14ac:dyDescent="0.3">
      <c r="AU1124" s="45"/>
    </row>
    <row r="1125" spans="47:47" ht="12" customHeight="1" x14ac:dyDescent="0.3">
      <c r="AU1125" s="45"/>
    </row>
    <row r="1126" spans="47:47" ht="12" customHeight="1" x14ac:dyDescent="0.3">
      <c r="AU1126" s="45"/>
    </row>
    <row r="1127" spans="47:47" ht="12" customHeight="1" x14ac:dyDescent="0.3">
      <c r="AU1127" s="45"/>
    </row>
    <row r="1128" spans="47:47" ht="12" customHeight="1" x14ac:dyDescent="0.3">
      <c r="AU1128" s="45"/>
    </row>
    <row r="1129" spans="47:47" ht="12" customHeight="1" x14ac:dyDescent="0.3">
      <c r="AU1129" s="45"/>
    </row>
    <row r="1130" spans="47:47" ht="12" customHeight="1" x14ac:dyDescent="0.3">
      <c r="AU1130" s="45"/>
    </row>
    <row r="1131" spans="47:47" ht="12" customHeight="1" x14ac:dyDescent="0.3">
      <c r="AU1131" s="45"/>
    </row>
    <row r="1132" spans="47:47" ht="12" customHeight="1" x14ac:dyDescent="0.3">
      <c r="AU1132" s="45"/>
    </row>
    <row r="1133" spans="47:47" ht="12" customHeight="1" x14ac:dyDescent="0.3">
      <c r="AU1133" s="45"/>
    </row>
    <row r="1134" spans="47:47" ht="12" customHeight="1" x14ac:dyDescent="0.3">
      <c r="AU1134" s="45"/>
    </row>
    <row r="1135" spans="47:47" ht="12" customHeight="1" x14ac:dyDescent="0.3">
      <c r="AU1135" s="45"/>
    </row>
    <row r="1136" spans="47:47" ht="12" customHeight="1" x14ac:dyDescent="0.3">
      <c r="AU1136" s="45"/>
    </row>
    <row r="1137" spans="47:47" ht="12" customHeight="1" x14ac:dyDescent="0.3">
      <c r="AU1137" s="45"/>
    </row>
    <row r="1138" spans="47:47" ht="12" customHeight="1" x14ac:dyDescent="0.3">
      <c r="AU1138" s="45"/>
    </row>
    <row r="1139" spans="47:47" ht="12" customHeight="1" x14ac:dyDescent="0.3">
      <c r="AU1139" s="45"/>
    </row>
    <row r="1140" spans="47:47" ht="12" customHeight="1" x14ac:dyDescent="0.3">
      <c r="AU1140" s="45"/>
    </row>
    <row r="1141" spans="47:47" ht="12" customHeight="1" x14ac:dyDescent="0.3">
      <c r="AU1141" s="45"/>
    </row>
    <row r="1142" spans="47:47" ht="12" customHeight="1" x14ac:dyDescent="0.3">
      <c r="AU1142" s="45"/>
    </row>
    <row r="1143" spans="47:47" ht="12" customHeight="1" x14ac:dyDescent="0.3">
      <c r="AU1143" s="45"/>
    </row>
    <row r="1144" spans="47:47" ht="12" customHeight="1" x14ac:dyDescent="0.3">
      <c r="AU1144" s="45"/>
    </row>
    <row r="1145" spans="47:47" ht="12" customHeight="1" x14ac:dyDescent="0.3">
      <c r="AU1145" s="45"/>
    </row>
    <row r="1146" spans="47:47" ht="12" customHeight="1" x14ac:dyDescent="0.3">
      <c r="AU1146" s="45"/>
    </row>
    <row r="1147" spans="47:47" ht="12" customHeight="1" x14ac:dyDescent="0.3">
      <c r="AU1147" s="45"/>
    </row>
    <row r="1148" spans="47:47" ht="12" customHeight="1" x14ac:dyDescent="0.3">
      <c r="AU1148" s="45"/>
    </row>
    <row r="1149" spans="47:47" ht="12" customHeight="1" x14ac:dyDescent="0.3">
      <c r="AU1149" s="45"/>
    </row>
    <row r="1150" spans="47:47" ht="12" customHeight="1" x14ac:dyDescent="0.3">
      <c r="AU1150" s="45"/>
    </row>
    <row r="1151" spans="47:47" ht="12" customHeight="1" x14ac:dyDescent="0.3">
      <c r="AU1151" s="45"/>
    </row>
    <row r="1152" spans="47:47" ht="12" customHeight="1" x14ac:dyDescent="0.3">
      <c r="AU1152" s="45"/>
    </row>
    <row r="1153" spans="47:47" ht="12" customHeight="1" x14ac:dyDescent="0.3">
      <c r="AU1153" s="45"/>
    </row>
    <row r="1154" spans="47:47" ht="12" customHeight="1" x14ac:dyDescent="0.3">
      <c r="AU1154" s="45"/>
    </row>
    <row r="1155" spans="47:47" ht="12" customHeight="1" x14ac:dyDescent="0.3">
      <c r="AU1155" s="45"/>
    </row>
    <row r="1156" spans="47:47" ht="12" customHeight="1" x14ac:dyDescent="0.3">
      <c r="AU1156" s="45"/>
    </row>
    <row r="1157" spans="47:47" ht="12" customHeight="1" x14ac:dyDescent="0.3">
      <c r="AU1157" s="45"/>
    </row>
    <row r="1158" spans="47:47" ht="12" customHeight="1" x14ac:dyDescent="0.3">
      <c r="AU1158" s="45"/>
    </row>
    <row r="1159" spans="47:47" ht="12" customHeight="1" x14ac:dyDescent="0.3">
      <c r="AU1159" s="45"/>
    </row>
    <row r="1160" spans="47:47" ht="12" customHeight="1" x14ac:dyDescent="0.3">
      <c r="AU1160" s="45"/>
    </row>
    <row r="1161" spans="47:47" ht="12" customHeight="1" x14ac:dyDescent="0.3">
      <c r="AU1161" s="45"/>
    </row>
    <row r="1162" spans="47:47" ht="12" customHeight="1" x14ac:dyDescent="0.3">
      <c r="AU1162" s="45"/>
    </row>
    <row r="1163" spans="47:47" ht="12" customHeight="1" x14ac:dyDescent="0.3">
      <c r="AU1163" s="45"/>
    </row>
    <row r="1164" spans="47:47" ht="12" customHeight="1" x14ac:dyDescent="0.3">
      <c r="AU1164" s="45"/>
    </row>
    <row r="1165" spans="47:47" ht="12" customHeight="1" x14ac:dyDescent="0.3">
      <c r="AU1165" s="45"/>
    </row>
    <row r="1166" spans="47:47" ht="12" customHeight="1" x14ac:dyDescent="0.3">
      <c r="AU1166" s="45"/>
    </row>
    <row r="1167" spans="47:47" ht="12" customHeight="1" x14ac:dyDescent="0.3">
      <c r="AU1167" s="45"/>
    </row>
    <row r="1168" spans="47:47" ht="12" customHeight="1" x14ac:dyDescent="0.3">
      <c r="AU1168" s="45"/>
    </row>
    <row r="1169" spans="47:47" ht="12" customHeight="1" x14ac:dyDescent="0.3">
      <c r="AU1169" s="45"/>
    </row>
    <row r="1170" spans="47:47" ht="12" customHeight="1" x14ac:dyDescent="0.3">
      <c r="AU1170" s="45"/>
    </row>
    <row r="1171" spans="47:47" ht="12" customHeight="1" x14ac:dyDescent="0.3">
      <c r="AU1171" s="45"/>
    </row>
    <row r="1172" spans="47:47" ht="12" customHeight="1" x14ac:dyDescent="0.3">
      <c r="AU1172" s="45"/>
    </row>
    <row r="1173" spans="47:47" ht="12" customHeight="1" x14ac:dyDescent="0.3">
      <c r="AU1173" s="45"/>
    </row>
    <row r="1174" spans="47:47" ht="12" customHeight="1" x14ac:dyDescent="0.3">
      <c r="AU1174" s="45"/>
    </row>
    <row r="1175" spans="47:47" ht="12" customHeight="1" x14ac:dyDescent="0.3">
      <c r="AU1175" s="45"/>
    </row>
    <row r="1176" spans="47:47" ht="12" customHeight="1" x14ac:dyDescent="0.3">
      <c r="AU1176" s="45"/>
    </row>
    <row r="1177" spans="47:47" ht="12" customHeight="1" x14ac:dyDescent="0.3">
      <c r="AU1177" s="45"/>
    </row>
    <row r="1178" spans="47:47" ht="12" customHeight="1" x14ac:dyDescent="0.3">
      <c r="AU1178" s="45"/>
    </row>
    <row r="1179" spans="47:47" ht="12" customHeight="1" x14ac:dyDescent="0.3">
      <c r="AU1179" s="45"/>
    </row>
    <row r="1180" spans="47:47" ht="12" customHeight="1" x14ac:dyDescent="0.3">
      <c r="AU1180" s="45"/>
    </row>
    <row r="1181" spans="47:47" ht="12" customHeight="1" x14ac:dyDescent="0.3">
      <c r="AU1181" s="45"/>
    </row>
    <row r="1182" spans="47:47" ht="12" customHeight="1" x14ac:dyDescent="0.3">
      <c r="AU1182" s="45"/>
    </row>
    <row r="1183" spans="47:47" ht="12" customHeight="1" x14ac:dyDescent="0.3">
      <c r="AU1183" s="45"/>
    </row>
    <row r="1184" spans="47:47" ht="12" customHeight="1" x14ac:dyDescent="0.3">
      <c r="AU1184" s="45"/>
    </row>
    <row r="1185" spans="47:47" ht="12" customHeight="1" x14ac:dyDescent="0.3">
      <c r="AU1185" s="45"/>
    </row>
    <row r="1186" spans="47:47" ht="12" customHeight="1" x14ac:dyDescent="0.3">
      <c r="AU1186" s="45"/>
    </row>
    <row r="1187" spans="47:47" ht="12" customHeight="1" x14ac:dyDescent="0.3">
      <c r="AU1187" s="45"/>
    </row>
    <row r="1188" spans="47:47" ht="12" customHeight="1" x14ac:dyDescent="0.3">
      <c r="AU1188" s="45"/>
    </row>
    <row r="1189" spans="47:47" ht="12" customHeight="1" x14ac:dyDescent="0.3">
      <c r="AU1189" s="45"/>
    </row>
    <row r="1190" spans="47:47" ht="12" customHeight="1" x14ac:dyDescent="0.3">
      <c r="AU1190" s="45"/>
    </row>
    <row r="1191" spans="47:47" ht="12" customHeight="1" x14ac:dyDescent="0.3">
      <c r="AU1191" s="45"/>
    </row>
    <row r="1192" spans="47:47" ht="12" customHeight="1" x14ac:dyDescent="0.3">
      <c r="AU1192" s="45"/>
    </row>
    <row r="1193" spans="47:47" ht="12" customHeight="1" x14ac:dyDescent="0.3">
      <c r="AU1193" s="45"/>
    </row>
    <row r="1194" spans="47:47" ht="12" customHeight="1" x14ac:dyDescent="0.3">
      <c r="AU1194" s="45"/>
    </row>
    <row r="1195" spans="47:47" ht="12" customHeight="1" x14ac:dyDescent="0.3">
      <c r="AU1195" s="45"/>
    </row>
    <row r="1196" spans="47:47" ht="12" customHeight="1" x14ac:dyDescent="0.3">
      <c r="AU1196" s="45"/>
    </row>
    <row r="1197" spans="47:47" ht="12" customHeight="1" x14ac:dyDescent="0.3">
      <c r="AU1197" s="45"/>
    </row>
    <row r="1198" spans="47:47" ht="12" customHeight="1" x14ac:dyDescent="0.3">
      <c r="AU1198" s="45"/>
    </row>
    <row r="1199" spans="47:47" ht="12" customHeight="1" x14ac:dyDescent="0.3">
      <c r="AU1199" s="45"/>
    </row>
    <row r="1200" spans="47:47" ht="12" customHeight="1" x14ac:dyDescent="0.3">
      <c r="AU1200" s="45"/>
    </row>
    <row r="1201" spans="47:47" ht="12" customHeight="1" x14ac:dyDescent="0.3">
      <c r="AU1201" s="45"/>
    </row>
    <row r="1202" spans="47:47" ht="12" customHeight="1" x14ac:dyDescent="0.3">
      <c r="AU1202" s="45"/>
    </row>
    <row r="1203" spans="47:47" ht="12" customHeight="1" x14ac:dyDescent="0.3">
      <c r="AU1203" s="45"/>
    </row>
    <row r="1204" spans="47:47" ht="12" customHeight="1" x14ac:dyDescent="0.3">
      <c r="AU1204" s="45"/>
    </row>
    <row r="1205" spans="47:47" ht="12" customHeight="1" x14ac:dyDescent="0.3">
      <c r="AU1205" s="45"/>
    </row>
    <row r="1206" spans="47:47" ht="12" customHeight="1" x14ac:dyDescent="0.3">
      <c r="AU1206" s="45"/>
    </row>
    <row r="1207" spans="47:47" ht="12" customHeight="1" x14ac:dyDescent="0.3">
      <c r="AU1207" s="45"/>
    </row>
    <row r="1208" spans="47:47" ht="12" customHeight="1" x14ac:dyDescent="0.3">
      <c r="AU1208" s="45"/>
    </row>
    <row r="1209" spans="47:47" ht="12" customHeight="1" x14ac:dyDescent="0.3">
      <c r="AU1209" s="45"/>
    </row>
    <row r="1210" spans="47:47" ht="12" customHeight="1" x14ac:dyDescent="0.3">
      <c r="AU1210" s="45"/>
    </row>
    <row r="1211" spans="47:47" ht="12" customHeight="1" x14ac:dyDescent="0.3">
      <c r="AU1211" s="45"/>
    </row>
    <row r="1212" spans="47:47" ht="12" customHeight="1" x14ac:dyDescent="0.3">
      <c r="AU1212" s="45"/>
    </row>
    <row r="1213" spans="47:47" ht="12" customHeight="1" x14ac:dyDescent="0.3">
      <c r="AU1213" s="45"/>
    </row>
    <row r="1214" spans="47:47" ht="12" customHeight="1" x14ac:dyDescent="0.3">
      <c r="AU1214" s="45"/>
    </row>
    <row r="1215" spans="47:47" ht="12" customHeight="1" x14ac:dyDescent="0.3">
      <c r="AU1215" s="45"/>
    </row>
    <row r="1216" spans="47:47" ht="12" customHeight="1" x14ac:dyDescent="0.3">
      <c r="AU1216" s="45"/>
    </row>
    <row r="1217" spans="47:47" ht="12" customHeight="1" x14ac:dyDescent="0.3">
      <c r="AU1217" s="45"/>
    </row>
    <row r="1218" spans="47:47" ht="12" customHeight="1" x14ac:dyDescent="0.3">
      <c r="AU1218" s="45"/>
    </row>
    <row r="1219" spans="47:47" ht="12" customHeight="1" x14ac:dyDescent="0.3">
      <c r="AU1219" s="45"/>
    </row>
    <row r="1220" spans="47:47" ht="12" customHeight="1" x14ac:dyDescent="0.3">
      <c r="AU1220" s="45"/>
    </row>
    <row r="1221" spans="47:47" ht="12" customHeight="1" x14ac:dyDescent="0.3">
      <c r="AU1221" s="45"/>
    </row>
    <row r="1222" spans="47:47" ht="12" customHeight="1" x14ac:dyDescent="0.3">
      <c r="AU1222" s="45"/>
    </row>
    <row r="1223" spans="47:47" ht="12" customHeight="1" x14ac:dyDescent="0.3">
      <c r="AU1223" s="45"/>
    </row>
    <row r="1224" spans="47:47" ht="12" customHeight="1" x14ac:dyDescent="0.3">
      <c r="AU1224" s="45"/>
    </row>
    <row r="1225" spans="47:47" ht="12" customHeight="1" x14ac:dyDescent="0.3">
      <c r="AU1225" s="45"/>
    </row>
    <row r="1226" spans="47:47" ht="12" customHeight="1" x14ac:dyDescent="0.3">
      <c r="AU1226" s="45"/>
    </row>
    <row r="1227" spans="47:47" ht="12" customHeight="1" x14ac:dyDescent="0.3">
      <c r="AU1227" s="45"/>
    </row>
    <row r="1228" spans="47:47" ht="12" customHeight="1" x14ac:dyDescent="0.3">
      <c r="AU1228" s="45"/>
    </row>
    <row r="1229" spans="47:47" ht="12" customHeight="1" x14ac:dyDescent="0.3">
      <c r="AU1229" s="45"/>
    </row>
    <row r="1230" spans="47:47" ht="12" customHeight="1" x14ac:dyDescent="0.3">
      <c r="AU1230" s="45"/>
    </row>
    <row r="1231" spans="47:47" ht="12" customHeight="1" x14ac:dyDescent="0.3">
      <c r="AU1231" s="45"/>
    </row>
    <row r="1232" spans="47:47" ht="12" customHeight="1" x14ac:dyDescent="0.3">
      <c r="AU1232" s="45"/>
    </row>
    <row r="1233" spans="47:47" ht="12" customHeight="1" x14ac:dyDescent="0.3">
      <c r="AU1233" s="45"/>
    </row>
    <row r="1234" spans="47:47" ht="12" customHeight="1" x14ac:dyDescent="0.3">
      <c r="AU1234" s="45"/>
    </row>
    <row r="1235" spans="47:47" ht="12" customHeight="1" x14ac:dyDescent="0.3">
      <c r="AU1235" s="45"/>
    </row>
    <row r="1236" spans="47:47" ht="12" customHeight="1" x14ac:dyDescent="0.3">
      <c r="AU1236" s="45"/>
    </row>
    <row r="1237" spans="47:47" ht="12" customHeight="1" x14ac:dyDescent="0.3">
      <c r="AU1237" s="45"/>
    </row>
    <row r="1238" spans="47:47" ht="12" customHeight="1" x14ac:dyDescent="0.3">
      <c r="AU1238" s="45"/>
    </row>
    <row r="1239" spans="47:47" ht="12" customHeight="1" x14ac:dyDescent="0.3">
      <c r="AU1239" s="45"/>
    </row>
    <row r="1240" spans="47:47" ht="12" customHeight="1" x14ac:dyDescent="0.3">
      <c r="AU1240" s="45"/>
    </row>
    <row r="1241" spans="47:47" ht="12" customHeight="1" x14ac:dyDescent="0.3">
      <c r="AU1241" s="45"/>
    </row>
    <row r="1242" spans="47:47" ht="12" customHeight="1" x14ac:dyDescent="0.3">
      <c r="AU1242" s="45"/>
    </row>
    <row r="1243" spans="47:47" ht="12" customHeight="1" x14ac:dyDescent="0.3">
      <c r="AU1243" s="45"/>
    </row>
    <row r="1244" spans="47:47" ht="12" customHeight="1" x14ac:dyDescent="0.3">
      <c r="AU1244" s="45"/>
    </row>
    <row r="1245" spans="47:47" ht="12" customHeight="1" x14ac:dyDescent="0.3">
      <c r="AU1245" s="45"/>
    </row>
    <row r="1246" spans="47:47" ht="12" customHeight="1" x14ac:dyDescent="0.3">
      <c r="AU1246" s="45"/>
    </row>
    <row r="1247" spans="47:47" ht="12" customHeight="1" x14ac:dyDescent="0.3">
      <c r="AU1247" s="45"/>
    </row>
    <row r="1248" spans="47:47" ht="12" customHeight="1" x14ac:dyDescent="0.3">
      <c r="AU1248" s="45"/>
    </row>
    <row r="1249" spans="47:47" ht="12" customHeight="1" x14ac:dyDescent="0.3">
      <c r="AU1249" s="45"/>
    </row>
    <row r="1250" spans="47:47" ht="12" customHeight="1" x14ac:dyDescent="0.3">
      <c r="AU1250" s="45"/>
    </row>
    <row r="1251" spans="47:47" ht="12" customHeight="1" x14ac:dyDescent="0.3">
      <c r="AU1251" s="45"/>
    </row>
    <row r="1252" spans="47:47" ht="12" customHeight="1" x14ac:dyDescent="0.3">
      <c r="AU1252" s="45"/>
    </row>
    <row r="1253" spans="47:47" ht="12" customHeight="1" x14ac:dyDescent="0.3">
      <c r="AU1253" s="45"/>
    </row>
    <row r="1254" spans="47:47" ht="12" customHeight="1" x14ac:dyDescent="0.3">
      <c r="AU1254" s="45"/>
    </row>
    <row r="1255" spans="47:47" ht="12" customHeight="1" x14ac:dyDescent="0.3">
      <c r="AU1255" s="45"/>
    </row>
    <row r="1256" spans="47:47" ht="12" customHeight="1" x14ac:dyDescent="0.3">
      <c r="AU1256" s="45"/>
    </row>
    <row r="1257" spans="47:47" ht="12" customHeight="1" x14ac:dyDescent="0.3">
      <c r="AU1257" s="45"/>
    </row>
    <row r="1258" spans="47:47" ht="12" customHeight="1" x14ac:dyDescent="0.3">
      <c r="AU1258" s="45"/>
    </row>
    <row r="1259" spans="47:47" ht="12" customHeight="1" x14ac:dyDescent="0.3">
      <c r="AU1259" s="45"/>
    </row>
    <row r="1260" spans="47:47" ht="12" customHeight="1" x14ac:dyDescent="0.3">
      <c r="AU1260" s="45"/>
    </row>
    <row r="1261" spans="47:47" ht="12" customHeight="1" x14ac:dyDescent="0.3">
      <c r="AU1261" s="45"/>
    </row>
    <row r="1262" spans="47:47" ht="12" customHeight="1" x14ac:dyDescent="0.3">
      <c r="AU1262" s="45"/>
    </row>
    <row r="1263" spans="47:47" ht="12" customHeight="1" x14ac:dyDescent="0.3">
      <c r="AU1263" s="45"/>
    </row>
    <row r="1264" spans="47:47" ht="12" customHeight="1" x14ac:dyDescent="0.3">
      <c r="AU1264" s="45"/>
    </row>
    <row r="1265" spans="47:47" ht="12" customHeight="1" x14ac:dyDescent="0.3">
      <c r="AU1265" s="45"/>
    </row>
    <row r="1266" spans="47:47" ht="12" customHeight="1" x14ac:dyDescent="0.3">
      <c r="AU1266" s="45"/>
    </row>
    <row r="1267" spans="47:47" ht="12" customHeight="1" x14ac:dyDescent="0.3">
      <c r="AU1267" s="45"/>
    </row>
    <row r="1268" spans="47:47" ht="12" customHeight="1" x14ac:dyDescent="0.3">
      <c r="AU1268" s="45"/>
    </row>
    <row r="1269" spans="47:47" ht="12" customHeight="1" x14ac:dyDescent="0.3">
      <c r="AU1269" s="45"/>
    </row>
    <row r="1270" spans="47:47" ht="12" customHeight="1" x14ac:dyDescent="0.3">
      <c r="AU1270" s="45"/>
    </row>
    <row r="1271" spans="47:47" ht="12" customHeight="1" x14ac:dyDescent="0.3">
      <c r="AU1271" s="45"/>
    </row>
    <row r="1272" spans="47:47" ht="12" customHeight="1" x14ac:dyDescent="0.3">
      <c r="AU1272" s="45"/>
    </row>
    <row r="1273" spans="47:47" ht="12" customHeight="1" x14ac:dyDescent="0.3">
      <c r="AU1273" s="45"/>
    </row>
    <row r="1274" spans="47:47" ht="12" customHeight="1" x14ac:dyDescent="0.3">
      <c r="AU1274" s="45"/>
    </row>
    <row r="1275" spans="47:47" ht="12" customHeight="1" x14ac:dyDescent="0.3">
      <c r="AU1275" s="45"/>
    </row>
    <row r="1276" spans="47:47" ht="12" customHeight="1" x14ac:dyDescent="0.3">
      <c r="AU1276" s="45"/>
    </row>
    <row r="1277" spans="47:47" ht="12" customHeight="1" x14ac:dyDescent="0.3">
      <c r="AU1277" s="45"/>
    </row>
    <row r="1278" spans="47:47" ht="12" customHeight="1" x14ac:dyDescent="0.3">
      <c r="AU1278" s="45"/>
    </row>
    <row r="1279" spans="47:47" ht="12" customHeight="1" x14ac:dyDescent="0.3">
      <c r="AU1279" s="45"/>
    </row>
    <row r="1280" spans="47:47" ht="12" customHeight="1" x14ac:dyDescent="0.3">
      <c r="AU1280" s="45"/>
    </row>
    <row r="1281" spans="47:47" ht="12" customHeight="1" x14ac:dyDescent="0.3">
      <c r="AU1281" s="45"/>
    </row>
    <row r="1282" spans="47:47" ht="12" customHeight="1" x14ac:dyDescent="0.3">
      <c r="AU1282" s="45"/>
    </row>
    <row r="1283" spans="47:47" ht="12" customHeight="1" x14ac:dyDescent="0.3">
      <c r="AU1283" s="45"/>
    </row>
    <row r="1284" spans="47:47" ht="12" customHeight="1" x14ac:dyDescent="0.3">
      <c r="AU1284" s="45"/>
    </row>
    <row r="1285" spans="47:47" ht="12" customHeight="1" x14ac:dyDescent="0.3">
      <c r="AU1285" s="45"/>
    </row>
    <row r="1286" spans="47:47" ht="12" customHeight="1" x14ac:dyDescent="0.3">
      <c r="AU1286" s="45"/>
    </row>
    <row r="1287" spans="47:47" ht="12" customHeight="1" x14ac:dyDescent="0.3">
      <c r="AU1287" s="45"/>
    </row>
    <row r="1288" spans="47:47" ht="12" customHeight="1" x14ac:dyDescent="0.3">
      <c r="AU1288" s="45"/>
    </row>
    <row r="1289" spans="47:47" ht="12" customHeight="1" x14ac:dyDescent="0.3">
      <c r="AU1289" s="45"/>
    </row>
    <row r="1290" spans="47:47" ht="12" customHeight="1" x14ac:dyDescent="0.3">
      <c r="AU1290" s="45"/>
    </row>
    <row r="1291" spans="47:47" ht="12" customHeight="1" x14ac:dyDescent="0.3">
      <c r="AU1291" s="45"/>
    </row>
    <row r="1292" spans="47:47" ht="12" customHeight="1" x14ac:dyDescent="0.3">
      <c r="AU1292" s="45"/>
    </row>
    <row r="1293" spans="47:47" ht="12" customHeight="1" x14ac:dyDescent="0.3">
      <c r="AU1293" s="45"/>
    </row>
    <row r="1294" spans="47:47" ht="12" customHeight="1" x14ac:dyDescent="0.3">
      <c r="AU1294" s="45"/>
    </row>
    <row r="1295" spans="47:47" ht="12" customHeight="1" x14ac:dyDescent="0.3">
      <c r="AU1295" s="45"/>
    </row>
    <row r="1296" spans="47:47" ht="12" customHeight="1" x14ac:dyDescent="0.3">
      <c r="AU1296" s="45"/>
    </row>
    <row r="1297" spans="47:47" ht="12" customHeight="1" x14ac:dyDescent="0.3">
      <c r="AU1297" s="45"/>
    </row>
    <row r="1298" spans="47:47" ht="12" customHeight="1" x14ac:dyDescent="0.3">
      <c r="AU1298" s="45"/>
    </row>
    <row r="1299" spans="47:47" ht="12" customHeight="1" x14ac:dyDescent="0.3">
      <c r="AU1299" s="45"/>
    </row>
    <row r="1300" spans="47:47" ht="12" customHeight="1" x14ac:dyDescent="0.3">
      <c r="AU1300" s="45"/>
    </row>
    <row r="1301" spans="47:47" ht="12" customHeight="1" x14ac:dyDescent="0.3">
      <c r="AU1301" s="45"/>
    </row>
    <row r="1302" spans="47:47" ht="12" customHeight="1" x14ac:dyDescent="0.3">
      <c r="AU1302" s="45"/>
    </row>
    <row r="1303" spans="47:47" ht="12" customHeight="1" x14ac:dyDescent="0.3">
      <c r="AU1303" s="45"/>
    </row>
    <row r="1304" spans="47:47" ht="12" customHeight="1" x14ac:dyDescent="0.3">
      <c r="AU1304" s="45"/>
    </row>
    <row r="1305" spans="47:47" ht="12" customHeight="1" x14ac:dyDescent="0.3">
      <c r="AU1305" s="45"/>
    </row>
    <row r="1306" spans="47:47" ht="12" customHeight="1" x14ac:dyDescent="0.3">
      <c r="AU1306" s="45"/>
    </row>
    <row r="1307" spans="47:47" ht="12" customHeight="1" x14ac:dyDescent="0.3">
      <c r="AU1307" s="45"/>
    </row>
    <row r="1308" spans="47:47" ht="12" customHeight="1" x14ac:dyDescent="0.3">
      <c r="AU1308" s="45"/>
    </row>
    <row r="1309" spans="47:47" ht="12" customHeight="1" x14ac:dyDescent="0.3">
      <c r="AU1309" s="45"/>
    </row>
    <row r="1310" spans="47:47" ht="12" customHeight="1" x14ac:dyDescent="0.3">
      <c r="AU1310" s="45"/>
    </row>
    <row r="1311" spans="47:47" ht="12" customHeight="1" x14ac:dyDescent="0.3">
      <c r="AU1311" s="45"/>
    </row>
    <row r="1312" spans="47:47" ht="12" customHeight="1" x14ac:dyDescent="0.3">
      <c r="AU1312" s="45"/>
    </row>
    <row r="1313" spans="47:47" ht="12" customHeight="1" x14ac:dyDescent="0.3">
      <c r="AU1313" s="45"/>
    </row>
    <row r="1314" spans="47:47" ht="12" customHeight="1" x14ac:dyDescent="0.3">
      <c r="AU1314" s="45"/>
    </row>
    <row r="1315" spans="47:47" ht="12" customHeight="1" x14ac:dyDescent="0.3">
      <c r="AU1315" s="45"/>
    </row>
    <row r="1316" spans="47:47" ht="12" customHeight="1" x14ac:dyDescent="0.3">
      <c r="AU1316" s="45"/>
    </row>
    <row r="1317" spans="47:47" ht="12" customHeight="1" x14ac:dyDescent="0.3">
      <c r="AU1317" s="45"/>
    </row>
    <row r="1318" spans="47:47" ht="12" customHeight="1" x14ac:dyDescent="0.3">
      <c r="AU1318" s="45"/>
    </row>
    <row r="1319" spans="47:47" ht="12" customHeight="1" x14ac:dyDescent="0.3">
      <c r="AU1319" s="45"/>
    </row>
    <row r="1320" spans="47:47" ht="12" customHeight="1" x14ac:dyDescent="0.3">
      <c r="AU1320" s="45"/>
    </row>
    <row r="1321" spans="47:47" ht="12" customHeight="1" x14ac:dyDescent="0.3">
      <c r="AU1321" s="45"/>
    </row>
    <row r="1322" spans="47:47" ht="12" customHeight="1" x14ac:dyDescent="0.3">
      <c r="AU1322" s="45"/>
    </row>
    <row r="1323" spans="47:47" ht="12" customHeight="1" x14ac:dyDescent="0.3">
      <c r="AU1323" s="45"/>
    </row>
    <row r="1324" spans="47:47" ht="12" customHeight="1" x14ac:dyDescent="0.3">
      <c r="AU1324" s="45"/>
    </row>
    <row r="1325" spans="47:47" ht="12" customHeight="1" x14ac:dyDescent="0.3">
      <c r="AU1325" s="45"/>
    </row>
    <row r="1326" spans="47:47" ht="12" customHeight="1" x14ac:dyDescent="0.3">
      <c r="AU1326" s="45"/>
    </row>
    <row r="1327" spans="47:47" ht="12" customHeight="1" x14ac:dyDescent="0.3">
      <c r="AU1327" s="45"/>
    </row>
    <row r="1328" spans="47:47" ht="12" customHeight="1" x14ac:dyDescent="0.3">
      <c r="AU1328" s="45"/>
    </row>
    <row r="1329" spans="47:47" ht="12" customHeight="1" x14ac:dyDescent="0.3">
      <c r="AU1329" s="45"/>
    </row>
    <row r="1330" spans="47:47" ht="12" customHeight="1" x14ac:dyDescent="0.3">
      <c r="AU1330" s="45"/>
    </row>
    <row r="1331" spans="47:47" ht="12" customHeight="1" x14ac:dyDescent="0.3">
      <c r="AU1331" s="45"/>
    </row>
    <row r="1332" spans="47:47" ht="12" customHeight="1" x14ac:dyDescent="0.3">
      <c r="AU1332" s="45"/>
    </row>
    <row r="1333" spans="47:47" ht="12" customHeight="1" x14ac:dyDescent="0.3">
      <c r="AU1333" s="45"/>
    </row>
    <row r="1334" spans="47:47" ht="12" customHeight="1" x14ac:dyDescent="0.3">
      <c r="AU1334" s="45"/>
    </row>
    <row r="1335" spans="47:47" ht="12" customHeight="1" x14ac:dyDescent="0.3">
      <c r="AU1335" s="45"/>
    </row>
    <row r="1336" spans="47:47" ht="12" customHeight="1" x14ac:dyDescent="0.3">
      <c r="AU1336" s="45"/>
    </row>
    <row r="1337" spans="47:47" ht="12" customHeight="1" x14ac:dyDescent="0.3">
      <c r="AU1337" s="45"/>
    </row>
    <row r="1338" spans="47:47" ht="12" customHeight="1" x14ac:dyDescent="0.3">
      <c r="AU1338" s="45"/>
    </row>
    <row r="1339" spans="47:47" ht="12" customHeight="1" x14ac:dyDescent="0.3">
      <c r="AU1339" s="45"/>
    </row>
    <row r="1340" spans="47:47" ht="12" customHeight="1" x14ac:dyDescent="0.3">
      <c r="AU1340" s="45"/>
    </row>
    <row r="1341" spans="47:47" ht="12" customHeight="1" x14ac:dyDescent="0.3">
      <c r="AU1341" s="45"/>
    </row>
    <row r="1342" spans="47:47" ht="12" customHeight="1" x14ac:dyDescent="0.3">
      <c r="AU1342" s="45"/>
    </row>
    <row r="1343" spans="47:47" ht="12" customHeight="1" x14ac:dyDescent="0.3">
      <c r="AU1343" s="45"/>
    </row>
    <row r="1344" spans="47:47" ht="12" customHeight="1" x14ac:dyDescent="0.3">
      <c r="AU1344" s="45"/>
    </row>
    <row r="1345" spans="47:47" ht="12" customHeight="1" x14ac:dyDescent="0.3">
      <c r="AU1345" s="45"/>
    </row>
    <row r="1346" spans="47:47" ht="12" customHeight="1" x14ac:dyDescent="0.3">
      <c r="AU1346" s="45"/>
    </row>
    <row r="1347" spans="47:47" ht="12" customHeight="1" x14ac:dyDescent="0.3">
      <c r="AU1347" s="45"/>
    </row>
    <row r="1348" spans="47:47" ht="12" customHeight="1" x14ac:dyDescent="0.3">
      <c r="AU1348" s="45"/>
    </row>
    <row r="1349" spans="47:47" ht="12" customHeight="1" x14ac:dyDescent="0.3">
      <c r="AU1349" s="45"/>
    </row>
    <row r="1350" spans="47:47" ht="12" customHeight="1" x14ac:dyDescent="0.3">
      <c r="AU1350" s="45"/>
    </row>
    <row r="1351" spans="47:47" ht="12" customHeight="1" x14ac:dyDescent="0.3">
      <c r="AU1351" s="45"/>
    </row>
    <row r="1352" spans="47:47" ht="12" customHeight="1" x14ac:dyDescent="0.3">
      <c r="AU1352" s="45"/>
    </row>
    <row r="1353" spans="47:47" ht="12" customHeight="1" x14ac:dyDescent="0.3">
      <c r="AU1353" s="45"/>
    </row>
    <row r="1354" spans="47:47" ht="12" customHeight="1" x14ac:dyDescent="0.3">
      <c r="AU1354" s="45"/>
    </row>
    <row r="1355" spans="47:47" ht="12" customHeight="1" x14ac:dyDescent="0.3">
      <c r="AU1355" s="45"/>
    </row>
    <row r="1356" spans="47:47" ht="12" customHeight="1" x14ac:dyDescent="0.3">
      <c r="AU1356" s="45"/>
    </row>
    <row r="1357" spans="47:47" ht="12" customHeight="1" x14ac:dyDescent="0.3">
      <c r="AU1357" s="45"/>
    </row>
    <row r="1358" spans="47:47" ht="12" customHeight="1" x14ac:dyDescent="0.3">
      <c r="AU1358" s="45"/>
    </row>
    <row r="1359" spans="47:47" ht="12" customHeight="1" x14ac:dyDescent="0.3">
      <c r="AU1359" s="45"/>
    </row>
    <row r="1360" spans="47:47" ht="12" customHeight="1" x14ac:dyDescent="0.3">
      <c r="AU1360" s="45"/>
    </row>
    <row r="1361" spans="47:47" ht="12" customHeight="1" x14ac:dyDescent="0.3">
      <c r="AU1361" s="45"/>
    </row>
    <row r="1362" spans="47:47" ht="12" customHeight="1" x14ac:dyDescent="0.3">
      <c r="AU1362" s="45"/>
    </row>
    <row r="1363" spans="47:47" ht="12" customHeight="1" x14ac:dyDescent="0.3">
      <c r="AU1363" s="45"/>
    </row>
    <row r="1364" spans="47:47" ht="12" customHeight="1" x14ac:dyDescent="0.3">
      <c r="AU1364" s="45"/>
    </row>
    <row r="1365" spans="47:47" ht="12" customHeight="1" x14ac:dyDescent="0.3">
      <c r="AU1365" s="45"/>
    </row>
    <row r="1366" spans="47:47" ht="12" customHeight="1" x14ac:dyDescent="0.3">
      <c r="AU1366" s="45"/>
    </row>
    <row r="1367" spans="47:47" ht="12" customHeight="1" x14ac:dyDescent="0.3">
      <c r="AU1367" s="45"/>
    </row>
    <row r="1368" spans="47:47" ht="12" customHeight="1" x14ac:dyDescent="0.3">
      <c r="AU1368" s="45"/>
    </row>
    <row r="1369" spans="47:47" ht="12" customHeight="1" x14ac:dyDescent="0.3">
      <c r="AU1369" s="45"/>
    </row>
    <row r="1370" spans="47:47" ht="12" customHeight="1" x14ac:dyDescent="0.3">
      <c r="AU1370" s="45"/>
    </row>
    <row r="1371" spans="47:47" ht="12" customHeight="1" x14ac:dyDescent="0.3">
      <c r="AU1371" s="45"/>
    </row>
    <row r="1372" spans="47:47" ht="12" customHeight="1" x14ac:dyDescent="0.3">
      <c r="AU1372" s="45"/>
    </row>
    <row r="1373" spans="47:47" ht="12" customHeight="1" x14ac:dyDescent="0.3">
      <c r="AU1373" s="45"/>
    </row>
    <row r="1374" spans="47:47" ht="12" customHeight="1" x14ac:dyDescent="0.3">
      <c r="AU1374" s="45"/>
    </row>
    <row r="1375" spans="47:47" ht="12" customHeight="1" x14ac:dyDescent="0.3">
      <c r="AU1375" s="45"/>
    </row>
    <row r="1376" spans="47:47" ht="12" customHeight="1" x14ac:dyDescent="0.3">
      <c r="AU1376" s="45"/>
    </row>
    <row r="1377" spans="47:47" ht="12" customHeight="1" x14ac:dyDescent="0.3">
      <c r="AU1377" s="45"/>
    </row>
    <row r="1378" spans="47:47" ht="12" customHeight="1" x14ac:dyDescent="0.3">
      <c r="AU1378" s="45"/>
    </row>
    <row r="1379" spans="47:47" ht="12" customHeight="1" x14ac:dyDescent="0.3">
      <c r="AU1379" s="45"/>
    </row>
    <row r="1380" spans="47:47" ht="12" customHeight="1" x14ac:dyDescent="0.3">
      <c r="AU1380" s="45"/>
    </row>
    <row r="1381" spans="47:47" ht="12" customHeight="1" x14ac:dyDescent="0.3">
      <c r="AU1381" s="45"/>
    </row>
    <row r="1382" spans="47:47" ht="12" customHeight="1" x14ac:dyDescent="0.3">
      <c r="AU1382" s="45"/>
    </row>
    <row r="1383" spans="47:47" ht="12" customHeight="1" x14ac:dyDescent="0.3">
      <c r="AU1383" s="45"/>
    </row>
    <row r="1384" spans="47:47" ht="12" customHeight="1" x14ac:dyDescent="0.3">
      <c r="AU1384" s="45"/>
    </row>
    <row r="1385" spans="47:47" ht="12" customHeight="1" x14ac:dyDescent="0.3">
      <c r="AU1385" s="45"/>
    </row>
    <row r="1386" spans="47:47" ht="12" customHeight="1" x14ac:dyDescent="0.3">
      <c r="AU1386" s="45"/>
    </row>
    <row r="1387" spans="47:47" ht="12" customHeight="1" x14ac:dyDescent="0.3">
      <c r="AU1387" s="45"/>
    </row>
    <row r="1388" spans="47:47" ht="12" customHeight="1" x14ac:dyDescent="0.3">
      <c r="AU1388" s="45"/>
    </row>
    <row r="1389" spans="47:47" ht="12" customHeight="1" x14ac:dyDescent="0.3">
      <c r="AU1389" s="45"/>
    </row>
    <row r="1390" spans="47:47" ht="12" customHeight="1" x14ac:dyDescent="0.3">
      <c r="AU1390" s="45"/>
    </row>
    <row r="1391" spans="47:47" ht="12" customHeight="1" x14ac:dyDescent="0.3">
      <c r="AU1391" s="45"/>
    </row>
    <row r="1392" spans="47:47" ht="12" customHeight="1" x14ac:dyDescent="0.3">
      <c r="AU1392" s="45"/>
    </row>
    <row r="1393" spans="47:47" ht="12" customHeight="1" x14ac:dyDescent="0.3">
      <c r="AU1393" s="45"/>
    </row>
    <row r="1394" spans="47:47" ht="12" customHeight="1" x14ac:dyDescent="0.3">
      <c r="AU1394" s="45"/>
    </row>
    <row r="1395" spans="47:47" ht="12" customHeight="1" x14ac:dyDescent="0.3">
      <c r="AU1395" s="45"/>
    </row>
    <row r="1396" spans="47:47" ht="12" customHeight="1" x14ac:dyDescent="0.3">
      <c r="AU1396" s="45"/>
    </row>
    <row r="1397" spans="47:47" ht="12" customHeight="1" x14ac:dyDescent="0.3">
      <c r="AU1397" s="45"/>
    </row>
    <row r="1398" spans="47:47" ht="12" customHeight="1" x14ac:dyDescent="0.3">
      <c r="AU1398" s="45"/>
    </row>
    <row r="1399" spans="47:47" ht="12" customHeight="1" x14ac:dyDescent="0.3">
      <c r="AU1399" s="45"/>
    </row>
    <row r="1400" spans="47:47" ht="12" customHeight="1" x14ac:dyDescent="0.3">
      <c r="AU1400" s="45"/>
    </row>
    <row r="1401" spans="47:47" ht="12" customHeight="1" x14ac:dyDescent="0.3">
      <c r="AU1401" s="45"/>
    </row>
    <row r="1402" spans="47:47" ht="12" customHeight="1" x14ac:dyDescent="0.3">
      <c r="AU1402" s="45"/>
    </row>
    <row r="1403" spans="47:47" ht="12" customHeight="1" x14ac:dyDescent="0.3">
      <c r="AU1403" s="45"/>
    </row>
    <row r="1404" spans="47:47" ht="12" customHeight="1" x14ac:dyDescent="0.3">
      <c r="AU1404" s="45"/>
    </row>
    <row r="1405" spans="47:47" ht="12" customHeight="1" x14ac:dyDescent="0.3">
      <c r="AU1405" s="45"/>
    </row>
    <row r="1406" spans="47:47" ht="12" customHeight="1" x14ac:dyDescent="0.3">
      <c r="AU1406" s="45"/>
    </row>
    <row r="1407" spans="47:47" ht="12" customHeight="1" x14ac:dyDescent="0.3">
      <c r="AU1407" s="45"/>
    </row>
    <row r="1408" spans="47:47" ht="12" customHeight="1" x14ac:dyDescent="0.3">
      <c r="AU1408" s="45"/>
    </row>
    <row r="1409" spans="47:47" ht="12" customHeight="1" x14ac:dyDescent="0.3">
      <c r="AU1409" s="45"/>
    </row>
    <row r="1410" spans="47:47" ht="12" customHeight="1" x14ac:dyDescent="0.3">
      <c r="AU1410" s="45"/>
    </row>
    <row r="1411" spans="47:47" ht="12" customHeight="1" x14ac:dyDescent="0.3">
      <c r="AU1411" s="45"/>
    </row>
    <row r="1412" spans="47:47" ht="12" customHeight="1" x14ac:dyDescent="0.3">
      <c r="AU1412" s="45"/>
    </row>
    <row r="1413" spans="47:47" ht="12" customHeight="1" x14ac:dyDescent="0.3">
      <c r="AU1413" s="45"/>
    </row>
    <row r="1414" spans="47:47" ht="12" customHeight="1" x14ac:dyDescent="0.3">
      <c r="AU1414" s="45"/>
    </row>
    <row r="1415" spans="47:47" ht="12" customHeight="1" x14ac:dyDescent="0.3">
      <c r="AU1415" s="45"/>
    </row>
    <row r="1416" spans="47:47" ht="12" customHeight="1" x14ac:dyDescent="0.3">
      <c r="AU1416" s="45"/>
    </row>
    <row r="1417" spans="47:47" ht="12" customHeight="1" x14ac:dyDescent="0.3">
      <c r="AU1417" s="45"/>
    </row>
    <row r="1418" spans="47:47" ht="12" customHeight="1" x14ac:dyDescent="0.3">
      <c r="AU1418" s="45"/>
    </row>
    <row r="1419" spans="47:47" ht="12" customHeight="1" x14ac:dyDescent="0.3">
      <c r="AU1419" s="45"/>
    </row>
    <row r="1420" spans="47:47" ht="12" customHeight="1" x14ac:dyDescent="0.3">
      <c r="AU1420" s="45"/>
    </row>
    <row r="1421" spans="47:47" ht="12" customHeight="1" x14ac:dyDescent="0.3">
      <c r="AU1421" s="45"/>
    </row>
    <row r="1422" spans="47:47" ht="12" customHeight="1" x14ac:dyDescent="0.3">
      <c r="AU1422" s="45"/>
    </row>
    <row r="1423" spans="47:47" ht="12" customHeight="1" x14ac:dyDescent="0.3">
      <c r="AU1423" s="45"/>
    </row>
    <row r="1424" spans="47:47" ht="12" customHeight="1" x14ac:dyDescent="0.3">
      <c r="AU1424" s="45"/>
    </row>
    <row r="1425" spans="47:47" ht="12" customHeight="1" x14ac:dyDescent="0.3">
      <c r="AU1425" s="45"/>
    </row>
    <row r="1426" spans="47:47" ht="12" customHeight="1" x14ac:dyDescent="0.3">
      <c r="AU1426" s="45"/>
    </row>
    <row r="1427" spans="47:47" ht="12" customHeight="1" x14ac:dyDescent="0.3">
      <c r="AU1427" s="45"/>
    </row>
    <row r="1428" spans="47:47" ht="12" customHeight="1" x14ac:dyDescent="0.3">
      <c r="AU1428" s="45"/>
    </row>
    <row r="1429" spans="47:47" ht="12" customHeight="1" x14ac:dyDescent="0.3">
      <c r="AU1429" s="45"/>
    </row>
    <row r="1430" spans="47:47" ht="12" customHeight="1" x14ac:dyDescent="0.3">
      <c r="AU1430" s="45"/>
    </row>
    <row r="1431" spans="47:47" ht="12" customHeight="1" x14ac:dyDescent="0.3">
      <c r="AU1431" s="45"/>
    </row>
    <row r="1432" spans="47:47" ht="12" customHeight="1" x14ac:dyDescent="0.3">
      <c r="AU1432" s="45"/>
    </row>
    <row r="1433" spans="47:47" ht="12" customHeight="1" x14ac:dyDescent="0.3">
      <c r="AU1433" s="45"/>
    </row>
    <row r="1434" spans="47:47" ht="12" customHeight="1" x14ac:dyDescent="0.3">
      <c r="AU1434" s="45"/>
    </row>
    <row r="1435" spans="47:47" ht="12" customHeight="1" x14ac:dyDescent="0.3">
      <c r="AU1435" s="45"/>
    </row>
    <row r="1436" spans="47:47" ht="12" customHeight="1" x14ac:dyDescent="0.3">
      <c r="AU1436" s="45"/>
    </row>
    <row r="1437" spans="47:47" ht="12" customHeight="1" x14ac:dyDescent="0.3">
      <c r="AU1437" s="45"/>
    </row>
    <row r="1438" spans="47:47" ht="12" customHeight="1" x14ac:dyDescent="0.3">
      <c r="AU1438" s="45"/>
    </row>
    <row r="1439" spans="47:47" ht="12" customHeight="1" x14ac:dyDescent="0.3">
      <c r="AU1439" s="45"/>
    </row>
    <row r="1440" spans="47:47" ht="12" customHeight="1" x14ac:dyDescent="0.3">
      <c r="AU1440" s="45"/>
    </row>
    <row r="1441" spans="47:47" ht="12" customHeight="1" x14ac:dyDescent="0.3">
      <c r="AU1441" s="45"/>
    </row>
    <row r="1442" spans="47:47" ht="12" customHeight="1" x14ac:dyDescent="0.3">
      <c r="AU1442" s="45"/>
    </row>
    <row r="1443" spans="47:47" ht="12" customHeight="1" x14ac:dyDescent="0.3">
      <c r="AU1443" s="45"/>
    </row>
    <row r="1444" spans="47:47" ht="12" customHeight="1" x14ac:dyDescent="0.3">
      <c r="AU1444" s="45"/>
    </row>
    <row r="1445" spans="47:47" ht="12" customHeight="1" x14ac:dyDescent="0.3">
      <c r="AU1445" s="45"/>
    </row>
    <row r="1446" spans="47:47" ht="12" customHeight="1" x14ac:dyDescent="0.3">
      <c r="AU1446" s="45"/>
    </row>
    <row r="1447" spans="47:47" ht="12" customHeight="1" x14ac:dyDescent="0.3">
      <c r="AU1447" s="45"/>
    </row>
    <row r="1448" spans="47:47" ht="12" customHeight="1" x14ac:dyDescent="0.3">
      <c r="AU1448" s="45"/>
    </row>
    <row r="1449" spans="47:47" ht="12" customHeight="1" x14ac:dyDescent="0.3">
      <c r="AU1449" s="45"/>
    </row>
    <row r="1450" spans="47:47" ht="12" customHeight="1" x14ac:dyDescent="0.3">
      <c r="AU1450" s="45"/>
    </row>
    <row r="1451" spans="47:47" ht="12" customHeight="1" x14ac:dyDescent="0.3">
      <c r="AU1451" s="45"/>
    </row>
    <row r="1452" spans="47:47" ht="12" customHeight="1" x14ac:dyDescent="0.3">
      <c r="AU1452" s="45"/>
    </row>
    <row r="1453" spans="47:47" ht="12" customHeight="1" x14ac:dyDescent="0.3">
      <c r="AU1453" s="45"/>
    </row>
    <row r="1454" spans="47:47" ht="12" customHeight="1" x14ac:dyDescent="0.3">
      <c r="AU1454" s="45"/>
    </row>
    <row r="1455" spans="47:47" ht="12" customHeight="1" x14ac:dyDescent="0.3">
      <c r="AU1455" s="45"/>
    </row>
    <row r="1456" spans="47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  <row r="6856" spans="47:47" ht="12" customHeight="1" x14ac:dyDescent="0.3">
      <c r="AU6856" s="45"/>
    </row>
    <row r="6857" spans="47:47" ht="12" customHeight="1" x14ac:dyDescent="0.3">
      <c r="AU6857" s="45"/>
    </row>
    <row r="6858" spans="47:47" ht="12" customHeight="1" x14ac:dyDescent="0.3">
      <c r="AU6858" s="45"/>
    </row>
    <row r="6859" spans="47:47" ht="12" customHeight="1" x14ac:dyDescent="0.3">
      <c r="AU6859" s="45"/>
    </row>
    <row r="6860" spans="47:47" ht="12" customHeight="1" x14ac:dyDescent="0.3">
      <c r="AU6860" s="45"/>
    </row>
    <row r="6861" spans="47:47" ht="12" customHeight="1" x14ac:dyDescent="0.3">
      <c r="AU6861" s="45"/>
    </row>
    <row r="6862" spans="47:47" ht="12" customHeight="1" x14ac:dyDescent="0.3">
      <c r="AU6862" s="45"/>
    </row>
    <row r="6863" spans="47:47" ht="12" customHeight="1" x14ac:dyDescent="0.3">
      <c r="AU6863" s="45"/>
    </row>
    <row r="6864" spans="47:47" ht="12" customHeight="1" x14ac:dyDescent="0.3">
      <c r="AU6864" s="45"/>
    </row>
    <row r="6865" spans="47:47" ht="12" customHeight="1" x14ac:dyDescent="0.3">
      <c r="AU6865" s="45"/>
    </row>
    <row r="6866" spans="47:47" ht="12" customHeight="1" x14ac:dyDescent="0.3">
      <c r="AU6866" s="45"/>
    </row>
    <row r="6867" spans="47:47" ht="12" customHeight="1" x14ac:dyDescent="0.3">
      <c r="AU6867" s="45"/>
    </row>
  </sheetData>
  <autoFilter ref="A1:AU209" xr:uid="{9931A248-8A11-4D8E-BACD-A0C0D59E4D18}"/>
  <conditionalFormatting sqref="A1:A568">
    <cfRule type="containsText" dxfId="27" priority="5" operator="containsText" text="Sim">
      <formula>NOT(ISERROR(SEARCH("Sim",A1)))</formula>
    </cfRule>
  </conditionalFormatting>
  <conditionalFormatting sqref="E1">
    <cfRule type="duplicateValues" dxfId="26" priority="7"/>
  </conditionalFormatting>
  <conditionalFormatting sqref="E569:E1048576">
    <cfRule type="duplicateValues" dxfId="25" priority="140"/>
  </conditionalFormatting>
  <conditionalFormatting sqref="E1:F1">
    <cfRule type="duplicateValues" dxfId="24" priority="9"/>
    <cfRule type="duplicateValues" dxfId="23" priority="10"/>
    <cfRule type="duplicateValues" dxfId="22" priority="11"/>
  </conditionalFormatting>
  <conditionalFormatting sqref="E1:F1048576">
    <cfRule type="duplicateValues" dxfId="21" priority="1"/>
    <cfRule type="duplicateValues" dxfId="20" priority="2"/>
  </conditionalFormatting>
  <conditionalFormatting sqref="E2:F169">
    <cfRule type="duplicateValues" dxfId="19" priority="20"/>
  </conditionalFormatting>
  <conditionalFormatting sqref="F1">
    <cfRule type="duplicateValues" dxfId="18" priority="6"/>
    <cfRule type="duplicateValues" dxfId="17" priority="8"/>
  </conditionalFormatting>
  <conditionalFormatting sqref="F2:F169">
    <cfRule type="duplicateValues" dxfId="16" priority="19"/>
  </conditionalFormatting>
  <conditionalFormatting sqref="F24:F395">
    <cfRule type="duplicateValues" dxfId="15" priority="147"/>
  </conditionalFormatting>
  <conditionalFormatting sqref="F396:F495">
    <cfRule type="duplicateValues" dxfId="14" priority="21"/>
    <cfRule type="duplicateValues" dxfId="13" priority="22"/>
  </conditionalFormatting>
  <conditionalFormatting sqref="F496:F568">
    <cfRule type="duplicateValues" dxfId="12" priority="23"/>
  </conditionalFormatting>
  <conditionalFormatting sqref="F569:F1048576">
    <cfRule type="duplicateValues" dxfId="11" priority="143"/>
    <cfRule type="duplicateValues" dxfId="10" priority="144"/>
  </conditionalFormatting>
  <conditionalFormatting sqref="J1:J1048576">
    <cfRule type="containsText" dxfId="9" priority="3" operator="containsText" text="M">
      <formula>NOT(ISERROR(SEARCH("M",J1)))</formula>
    </cfRule>
    <cfRule type="containsText" dxfId="8" priority="4" operator="containsText" text="F">
      <formula>NOT(ISERROR(SEARCH("F",J1)))</formula>
    </cfRule>
  </conditionalFormatting>
  <conditionalFormatting sqref="K24:K395">
    <cfRule type="containsText" dxfId="7" priority="18" operator="containsText" text="RJ">
      <formula>NOT(ISERROR(SEARCH("RJ",K24)))</formula>
    </cfRule>
  </conditionalFormatting>
  <conditionalFormatting sqref="AJ2:AJ1048576">
    <cfRule type="containsText" dxfId="6" priority="12" operator="containsText" text="Pendente">
      <formula>NOT(ISERROR(SEARCH("Pendente",AJ2)))</formula>
    </cfRule>
    <cfRule type="containsText" dxfId="5" priority="13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1:AE111"/>
  <sheetViews>
    <sheetView showGridLines="0" workbookViewId="0">
      <pane ySplit="11" topLeftCell="A12" activePane="bottomLeft" state="frozen"/>
      <selection pane="bottomLeft" activeCell="Y18" sqref="Y18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1" spans="1:31" hidden="1" x14ac:dyDescent="0.3"/>
    <row r="2" spans="1:31" hidden="1" x14ac:dyDescent="0.3">
      <c r="B2" s="210" t="s">
        <v>37</v>
      </c>
      <c r="C2" s="81" t="s">
        <v>64</v>
      </c>
    </row>
    <row r="3" spans="1:31" hidden="1" x14ac:dyDescent="0.3">
      <c r="B3" s="210" t="s">
        <v>2</v>
      </c>
      <c r="C3" s="81"/>
      <c r="F3" s="40"/>
    </row>
    <row r="4" spans="1:31" hidden="1" x14ac:dyDescent="0.3">
      <c r="B4" s="210" t="s">
        <v>532</v>
      </c>
      <c r="C4" s="81" t="s">
        <v>533</v>
      </c>
      <c r="F4" s="40"/>
    </row>
    <row r="5" spans="1:31" hidden="1" x14ac:dyDescent="0.3">
      <c r="F5" s="40"/>
    </row>
    <row r="6" spans="1:31" hidden="1" x14ac:dyDescent="0.3">
      <c r="F6" s="40"/>
    </row>
    <row r="7" spans="1:31" hidden="1" x14ac:dyDescent="0.3">
      <c r="B7" s="211" t="s">
        <v>38</v>
      </c>
      <c r="C7" s="82">
        <v>46143</v>
      </c>
      <c r="D7" t="s">
        <v>534</v>
      </c>
    </row>
    <row r="8" spans="1:31" hidden="1" x14ac:dyDescent="0.3"/>
    <row r="9" spans="1:31" hidden="1" x14ac:dyDescent="0.3">
      <c r="B9" s="212" t="s">
        <v>535</v>
      </c>
      <c r="C9" s="78">
        <v>46023</v>
      </c>
    </row>
    <row r="10" spans="1:31" hidden="1" x14ac:dyDescent="0.3">
      <c r="B10" s="212" t="s">
        <v>536</v>
      </c>
      <c r="C10" s="78">
        <v>46165</v>
      </c>
    </row>
    <row r="11" spans="1:31" hidden="1" x14ac:dyDescent="0.3"/>
    <row r="12" spans="1:31" s="218" customFormat="1" x14ac:dyDescent="0.3">
      <c r="A12" s="216"/>
      <c r="B12" s="217" t="s">
        <v>537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</row>
    <row r="14" spans="1:31" x14ac:dyDescent="0.3">
      <c r="B14" s="236" t="s">
        <v>16</v>
      </c>
      <c r="C14" s="175" t="s">
        <v>39</v>
      </c>
      <c r="D14" s="175"/>
      <c r="E14" s="175"/>
      <c r="F14" s="175"/>
      <c r="G14" s="175"/>
      <c r="H14" s="175" t="s">
        <v>538</v>
      </c>
      <c r="I14" s="175"/>
      <c r="K14" s="236" t="s">
        <v>539</v>
      </c>
      <c r="L14" s="175" t="s">
        <v>39</v>
      </c>
      <c r="M14" s="175"/>
      <c r="N14" s="175"/>
      <c r="O14" s="175"/>
      <c r="P14" s="175"/>
      <c r="Q14" s="175"/>
      <c r="S14" s="77" t="s">
        <v>16</v>
      </c>
      <c r="T14" s="77" t="s">
        <v>540</v>
      </c>
      <c r="U14" s="77" t="s">
        <v>541</v>
      </c>
      <c r="W14" s="185" t="s">
        <v>539</v>
      </c>
      <c r="X14" s="185"/>
      <c r="Y14" s="185"/>
    </row>
    <row r="15" spans="1:31" x14ac:dyDescent="0.3">
      <c r="B15" s="236"/>
      <c r="C15" s="37">
        <v>1</v>
      </c>
      <c r="D15" s="175">
        <v>2</v>
      </c>
      <c r="E15" s="175">
        <v>3</v>
      </c>
      <c r="F15" s="175">
        <v>4</v>
      </c>
      <c r="G15" s="175">
        <v>5</v>
      </c>
      <c r="H15" s="175" t="s">
        <v>540</v>
      </c>
      <c r="I15" s="175" t="s">
        <v>541</v>
      </c>
      <c r="K15" s="236"/>
      <c r="L15" s="176">
        <v>1</v>
      </c>
      <c r="M15" s="176">
        <v>2</v>
      </c>
      <c r="N15" s="176">
        <v>3</v>
      </c>
      <c r="O15" s="176">
        <v>4</v>
      </c>
      <c r="P15" s="176">
        <v>5</v>
      </c>
      <c r="Q15" s="175" t="s">
        <v>538</v>
      </c>
      <c r="S15" s="192" t="s">
        <v>70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110</v>
      </c>
      <c r="U15" s="80">
        <f t="shared" ref="U15:U40" si="0">IFERROR(T15/$T$40,0)</f>
        <v>0.6586826347305389</v>
      </c>
      <c r="W15" s="186" t="s">
        <v>542</v>
      </c>
      <c r="X15" s="186"/>
      <c r="Y15" s="187">
        <f>IFERROR(T15/T40,0)</f>
        <v>0.6586826347305389</v>
      </c>
    </row>
    <row r="16" spans="1:31" x14ac:dyDescent="0.3">
      <c r="B16" s="193" t="s">
        <v>70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5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2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3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2</v>
      </c>
      <c r="H16" s="44">
        <f>SUM(C16:G16)</f>
        <v>12</v>
      </c>
      <c r="I16" s="49">
        <f t="shared" ref="I16:I41" si="1">+IFERROR(H16/$H$41,0)</f>
        <v>0.5714285714285714</v>
      </c>
      <c r="K16" s="36" t="s">
        <v>533</v>
      </c>
      <c r="L16" s="36">
        <f t="shared" ref="L16:Q16" si="2">+C41</f>
        <v>0</v>
      </c>
      <c r="M16" s="36">
        <f t="shared" si="2"/>
        <v>7</v>
      </c>
      <c r="N16" s="36">
        <f t="shared" si="2"/>
        <v>4</v>
      </c>
      <c r="O16" s="36">
        <f t="shared" si="2"/>
        <v>6</v>
      </c>
      <c r="P16" s="36">
        <f t="shared" si="2"/>
        <v>4</v>
      </c>
      <c r="Q16" s="44">
        <f t="shared" si="2"/>
        <v>21</v>
      </c>
      <c r="S16" s="205" t="s">
        <v>543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2">
        <f t="shared" si="0"/>
        <v>0</v>
      </c>
      <c r="W16" s="207" t="s">
        <v>544</v>
      </c>
      <c r="X16" s="207"/>
      <c r="Y16" s="209">
        <f>IFERROR(SUMIFS(Consolidado!AQ:AQ,Consolidado!$AL:$AL,IF(ISBLANK($C$2),"&lt;&gt;",$C$2),Consolidado!$B:$B,"&lt;="&amp;Análise!$C$10,Consolidado!$B:$B,"&gt;="&amp;Análise!$C$9,Consolidado!$C:$C,IF(ISBLANK($C$3),"&lt;&gt;",$C$3))/T15,0)</f>
        <v>22.9</v>
      </c>
    </row>
    <row r="17" spans="2:25" x14ac:dyDescent="0.3">
      <c r="B17" s="194" t="s">
        <v>543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4" t="s">
        <v>70</v>
      </c>
      <c r="L17" s="38">
        <f t="shared" ref="L17:Q17" si="4">+C16</f>
        <v>0</v>
      </c>
      <c r="M17" s="38">
        <f t="shared" si="4"/>
        <v>5</v>
      </c>
      <c r="N17" s="38">
        <f t="shared" si="4"/>
        <v>2</v>
      </c>
      <c r="O17" s="38">
        <f t="shared" si="4"/>
        <v>3</v>
      </c>
      <c r="P17" s="38">
        <f t="shared" si="4"/>
        <v>2</v>
      </c>
      <c r="Q17" s="39">
        <f t="shared" si="4"/>
        <v>12</v>
      </c>
      <c r="S17" s="192" t="s">
        <v>545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6" t="s">
        <v>546</v>
      </c>
      <c r="X17" s="186"/>
      <c r="Y17" s="188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17.574999999999999</v>
      </c>
    </row>
    <row r="18" spans="2:25" x14ac:dyDescent="0.3">
      <c r="B18" s="193" t="s">
        <v>545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3" t="s">
        <v>542</v>
      </c>
      <c r="L18" s="41" t="str">
        <f t="shared" ref="L18:Q18" si="5">IFERROR(L17/L16,"")</f>
        <v/>
      </c>
      <c r="M18" s="41">
        <f t="shared" si="5"/>
        <v>0.7142857142857143</v>
      </c>
      <c r="N18" s="41">
        <f t="shared" si="5"/>
        <v>0.5</v>
      </c>
      <c r="O18" s="41">
        <f t="shared" si="5"/>
        <v>0.5</v>
      </c>
      <c r="P18" s="41">
        <f t="shared" si="5"/>
        <v>0.5</v>
      </c>
      <c r="Q18" s="49">
        <f t="shared" si="5"/>
        <v>0.5714285714285714</v>
      </c>
      <c r="S18" s="205" t="s">
        <v>547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2">
        <f t="shared" si="0"/>
        <v>0</v>
      </c>
      <c r="W18" s="207" t="s">
        <v>548</v>
      </c>
      <c r="X18" s="207"/>
      <c r="Y18" s="209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14.03525640135325</v>
      </c>
    </row>
    <row r="19" spans="2:25" x14ac:dyDescent="0.3">
      <c r="B19" s="194" t="s">
        <v>547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4" t="s">
        <v>544</v>
      </c>
      <c r="L19" s="177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7">
        <f>IFERROR(SUMIFS(Consolidado!$AQ:$AQ,Consolidado!$AN:$AN,Análise!M15,Consolidado!$AM:$AM,Análise!$C$7,Consolidado!$AL:$AL,IF(ISBLANK($C$2),"&lt;&gt;",$C$2),Consolidado!$C:$C,IF(ISBLANK($C$3),"&lt;&gt;",$C$3))/M$17,0)</f>
        <v>8</v>
      </c>
      <c r="N19" s="177">
        <f>IFERROR(SUMIFS(Consolidado!$AQ:$AQ,Consolidado!$AN:$AN,Análise!N15,Consolidado!$AM:$AM,Análise!$C$7,Consolidado!$AL:$AL,IF(ISBLANK($C$2),"&lt;&gt;",$C$2),Consolidado!$C:$C,IF(ISBLANK($C$3),"&lt;&gt;",$C$3))/N$17,0)</f>
        <v>9.5</v>
      </c>
      <c r="O19" s="177">
        <f>IFERROR(SUMIFS(Consolidado!$AQ:$AQ,Consolidado!$AN:$AN,Análise!O15,Consolidado!$AM:$AM,Análise!$C$7,Consolidado!$AL:$AL,IF(ISBLANK($C$2),"&lt;&gt;",$C$2),Consolidado!$C:$C,IF(ISBLANK($C$3),"&lt;&gt;",$C$3))/O$17,0)</f>
        <v>13.666666666666666</v>
      </c>
      <c r="P19" s="177">
        <f>IFERROR(SUMIFS(Consolidado!$AQ:$AQ,Consolidado!$AN:$AN,Análise!P15,Consolidado!$AM:$AM,Análise!$C$7,Consolidado!$AL:$AL,IF(ISBLANK($C$2),"&lt;&gt;",$C$2),Consolidado!$C:$C,IF(ISBLANK($C$3),"&lt;&gt;",$C$3))/P$17,0)</f>
        <v>14.5</v>
      </c>
      <c r="Q19" s="180">
        <f>IFERROR(SUMIFS(Consolidado!AQ:AQ,Consolidado!$AM:$AM,Análise!$C$7,Consolidado!$AL:$AL,IF(ISBLANK($C$2),"&lt;&gt;",$C$2),Consolidado!$C:$C,IF(ISBLANK($C$3),"&lt;&gt;",$C$3))/$Q17,0)</f>
        <v>10.75</v>
      </c>
      <c r="S19" s="192" t="s">
        <v>549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6" t="s">
        <v>550</v>
      </c>
      <c r="X19" s="186"/>
      <c r="Y19" s="188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 x14ac:dyDescent="0.3">
      <c r="B20" s="193" t="s">
        <v>549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3" t="s">
        <v>546</v>
      </c>
      <c r="L20" s="178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8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6.5</v>
      </c>
      <c r="N20" s="178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78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11</v>
      </c>
      <c r="P20" s="178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3</v>
      </c>
      <c r="Q20" s="181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6.5714285714285712</v>
      </c>
      <c r="S20" s="205" t="s">
        <v>551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2">
        <f t="shared" si="0"/>
        <v>0</v>
      </c>
      <c r="W20" s="207" t="s">
        <v>552</v>
      </c>
      <c r="X20" s="207"/>
      <c r="Y20" s="208">
        <f>IFERROR((T15+T37)/T40,"")</f>
        <v>0.68862275449101795</v>
      </c>
    </row>
    <row r="21" spans="2:25" x14ac:dyDescent="0.3">
      <c r="B21" s="194" t="s">
        <v>551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4" t="s">
        <v>548</v>
      </c>
      <c r="L21" s="177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7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77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6</v>
      </c>
      <c r="O21" s="177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9</v>
      </c>
      <c r="P21" s="177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0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8</v>
      </c>
      <c r="S21" s="192" t="s">
        <v>553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93" t="s">
        <v>553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5" t="s">
        <v>554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2">
        <f t="shared" si="0"/>
        <v>0</v>
      </c>
      <c r="W22" s="77" t="s">
        <v>555</v>
      </c>
      <c r="X22" s="77" t="s">
        <v>540</v>
      </c>
      <c r="Y22" s="77" t="s">
        <v>541</v>
      </c>
    </row>
    <row r="23" spans="2:25" x14ac:dyDescent="0.3">
      <c r="B23" s="194" t="s">
        <v>554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2" t="s">
        <v>556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4" t="s">
        <v>77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35</v>
      </c>
      <c r="Y23" s="80">
        <f>IFERROR(X23/SUM($X$23:$X$24),"")</f>
        <v>0.31818181818181818</v>
      </c>
    </row>
    <row r="24" spans="2:25" x14ac:dyDescent="0.3">
      <c r="B24" s="193" t="s">
        <v>556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6" t="s">
        <v>539</v>
      </c>
      <c r="L24" s="175" t="s">
        <v>39</v>
      </c>
      <c r="M24" s="175"/>
      <c r="N24" s="175"/>
      <c r="O24" s="175"/>
      <c r="P24" s="175"/>
      <c r="Q24" s="175"/>
      <c r="S24" s="205" t="s">
        <v>557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2">
        <f t="shared" si="0"/>
        <v>0</v>
      </c>
      <c r="W24" s="206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75</v>
      </c>
      <c r="Y24" s="182">
        <f>IFERROR(X24/SUM($X$23:$X$24),"")</f>
        <v>0.68181818181818177</v>
      </c>
    </row>
    <row r="25" spans="2:25" x14ac:dyDescent="0.3">
      <c r="B25" s="194" t="s">
        <v>557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6"/>
      <c r="L25" s="176">
        <v>1</v>
      </c>
      <c r="M25" s="176">
        <v>2</v>
      </c>
      <c r="N25" s="176">
        <v>3</v>
      </c>
      <c r="O25" s="176">
        <v>4</v>
      </c>
      <c r="P25" s="176">
        <v>5</v>
      </c>
      <c r="Q25" s="175" t="s">
        <v>538</v>
      </c>
      <c r="S25" s="192" t="s">
        <v>558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93" t="s">
        <v>558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550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9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205" t="s">
        <v>559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2">
        <f t="shared" si="0"/>
        <v>0</v>
      </c>
    </row>
    <row r="27" spans="2:25" x14ac:dyDescent="0.3">
      <c r="B27" s="194" t="s">
        <v>559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2" t="s">
        <v>560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93" t="s">
        <v>560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5" t="s">
        <v>56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3</v>
      </c>
      <c r="U28" s="182">
        <f t="shared" si="0"/>
        <v>1.7964071856287425E-2</v>
      </c>
    </row>
    <row r="29" spans="2:25" x14ac:dyDescent="0.3">
      <c r="B29" s="194" t="s">
        <v>56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36" t="s">
        <v>539</v>
      </c>
      <c r="L29" s="175" t="s">
        <v>39</v>
      </c>
      <c r="M29" s="175"/>
      <c r="N29" s="175"/>
      <c r="O29" s="175"/>
      <c r="P29" s="175"/>
      <c r="Q29" s="175"/>
      <c r="S29" s="192" t="s">
        <v>561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93" t="s">
        <v>561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6"/>
      <c r="L30" s="176">
        <v>1</v>
      </c>
      <c r="M30" s="176">
        <v>2</v>
      </c>
      <c r="N30" s="176">
        <v>3</v>
      </c>
      <c r="O30" s="176">
        <v>4</v>
      </c>
      <c r="P30" s="176">
        <v>5</v>
      </c>
      <c r="Q30" s="175" t="s">
        <v>538</v>
      </c>
      <c r="S30" s="205" t="s">
        <v>562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2">
        <f t="shared" si="0"/>
        <v>0</v>
      </c>
    </row>
    <row r="31" spans="2:25" x14ac:dyDescent="0.3">
      <c r="B31" s="194" t="s">
        <v>562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552</v>
      </c>
      <c r="L31" s="182" t="str">
        <f t="shared" ref="L31:Q31" si="6">IFERROR((C16+C38)/C41,"")</f>
        <v/>
      </c>
      <c r="M31" s="182">
        <f t="shared" si="6"/>
        <v>0.7142857142857143</v>
      </c>
      <c r="N31" s="182">
        <f t="shared" si="6"/>
        <v>1</v>
      </c>
      <c r="O31" s="182">
        <f t="shared" si="6"/>
        <v>1</v>
      </c>
      <c r="P31" s="182">
        <f t="shared" si="6"/>
        <v>1</v>
      </c>
      <c r="Q31" s="183">
        <f t="shared" si="6"/>
        <v>0.90476190476190477</v>
      </c>
      <c r="S31" s="192" t="s">
        <v>563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93" t="s">
        <v>563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5" t="s">
        <v>564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2">
        <f t="shared" si="0"/>
        <v>0</v>
      </c>
    </row>
    <row r="33" spans="1:31" x14ac:dyDescent="0.3">
      <c r="B33" s="194" t="s">
        <v>564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2" t="s">
        <v>565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93" t="s">
        <v>565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555</v>
      </c>
      <c r="L34" s="37" t="s">
        <v>540</v>
      </c>
      <c r="M34" s="175" t="s">
        <v>541</v>
      </c>
      <c r="S34" s="205" t="s">
        <v>566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2">
        <f t="shared" si="0"/>
        <v>0</v>
      </c>
    </row>
    <row r="35" spans="1:31" x14ac:dyDescent="0.3">
      <c r="B35" s="194" t="s">
        <v>566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77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2</v>
      </c>
      <c r="M35" s="41">
        <f>IFERROR(L35/SUM($L$35:$L$36),"")</f>
        <v>0.16666666666666666</v>
      </c>
      <c r="S35" s="192" t="s">
        <v>567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93" t="s">
        <v>567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10</v>
      </c>
      <c r="M36" s="42">
        <f>IFERROR(L36/SUM($L$35:$L$36),"")</f>
        <v>0.83333333333333337</v>
      </c>
      <c r="S36" s="205" t="s">
        <v>136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49</v>
      </c>
      <c r="U36" s="182">
        <f t="shared" si="0"/>
        <v>0.29341317365269459</v>
      </c>
    </row>
    <row r="37" spans="1:31" x14ac:dyDescent="0.3">
      <c r="B37" s="194" t="s">
        <v>136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2</v>
      </c>
      <c r="I37" s="43">
        <f t="shared" si="1"/>
        <v>9.5238095238095233E-2</v>
      </c>
      <c r="S37" s="192" t="s">
        <v>457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5</v>
      </c>
      <c r="U37" s="80">
        <f t="shared" si="0"/>
        <v>2.9940119760479042E-2</v>
      </c>
    </row>
    <row r="38" spans="1:31" x14ac:dyDescent="0.3">
      <c r="B38" s="193" t="s">
        <v>457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2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3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2</v>
      </c>
      <c r="H38" s="44">
        <f t="shared" si="3"/>
        <v>7</v>
      </c>
      <c r="I38" s="49">
        <f t="shared" si="1"/>
        <v>0.33333333333333331</v>
      </c>
      <c r="S38" s="205" t="s">
        <v>526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2">
        <f t="shared" si="0"/>
        <v>0</v>
      </c>
    </row>
    <row r="39" spans="1:31" x14ac:dyDescent="0.3">
      <c r="B39" s="194" t="s">
        <v>526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2" t="s">
        <v>568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93" t="s">
        <v>568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6" t="s">
        <v>533</v>
      </c>
      <c r="T40" s="39">
        <f>SUM(T15:T39)</f>
        <v>167</v>
      </c>
      <c r="U40" s="183">
        <f t="shared" si="0"/>
        <v>1</v>
      </c>
    </row>
    <row r="41" spans="1:31" x14ac:dyDescent="0.3">
      <c r="B41" s="39" t="s">
        <v>533</v>
      </c>
      <c r="C41" s="39">
        <f t="shared" ref="C41:H41" si="7">SUM(C16:C40)</f>
        <v>0</v>
      </c>
      <c r="D41" s="39">
        <f t="shared" si="7"/>
        <v>7</v>
      </c>
      <c r="E41" s="39">
        <f t="shared" si="7"/>
        <v>4</v>
      </c>
      <c r="F41" s="39">
        <f t="shared" si="7"/>
        <v>6</v>
      </c>
      <c r="G41" s="39">
        <f t="shared" si="7"/>
        <v>4</v>
      </c>
      <c r="H41" s="39">
        <f t="shared" si="7"/>
        <v>21</v>
      </c>
      <c r="I41" s="43">
        <f t="shared" si="1"/>
        <v>1</v>
      </c>
    </row>
    <row r="43" spans="1:31" s="218" customFormat="1" x14ac:dyDescent="0.3">
      <c r="A43" s="216"/>
      <c r="B43" s="217" t="s">
        <v>569</v>
      </c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</row>
    <row r="45" spans="1:31" x14ac:dyDescent="0.3">
      <c r="B45" s="236" t="s">
        <v>16</v>
      </c>
      <c r="C45" s="175" t="s">
        <v>39</v>
      </c>
      <c r="D45" s="175"/>
      <c r="E45" s="175"/>
      <c r="F45" s="175"/>
      <c r="G45" s="175"/>
      <c r="H45" s="237" t="s">
        <v>538</v>
      </c>
    </row>
    <row r="46" spans="1:31" x14ac:dyDescent="0.3">
      <c r="B46" s="236"/>
      <c r="C46" s="37">
        <v>1</v>
      </c>
      <c r="D46" s="175">
        <v>2</v>
      </c>
      <c r="E46" s="175">
        <v>3</v>
      </c>
      <c r="F46" s="175">
        <v>4</v>
      </c>
      <c r="G46" s="175">
        <v>5</v>
      </c>
      <c r="H46" s="238"/>
    </row>
    <row r="47" spans="1:31" x14ac:dyDescent="0.3">
      <c r="B47" s="193" t="s">
        <v>70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2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4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5</v>
      </c>
      <c r="H47" s="44">
        <f>SUM(C47:G47)</f>
        <v>14</v>
      </c>
    </row>
    <row r="49" spans="1:31" x14ac:dyDescent="0.3">
      <c r="B49" s="77" t="s">
        <v>16</v>
      </c>
      <c r="C49" s="77" t="s">
        <v>570</v>
      </c>
    </row>
    <row r="50" spans="1:31" x14ac:dyDescent="0.3">
      <c r="B50" s="192" t="s">
        <v>70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101</v>
      </c>
    </row>
    <row r="52" spans="1:31" s="218" customFormat="1" x14ac:dyDescent="0.3">
      <c r="A52" s="216"/>
      <c r="B52" s="217" t="s">
        <v>571</v>
      </c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</row>
    <row r="54" spans="1:31" x14ac:dyDescent="0.3">
      <c r="B54" s="232" t="s">
        <v>572</v>
      </c>
      <c r="C54" s="175" t="s">
        <v>39</v>
      </c>
      <c r="D54" s="175"/>
      <c r="E54" s="175"/>
      <c r="F54" s="175"/>
      <c r="G54" s="175"/>
      <c r="H54" s="175"/>
      <c r="K54" s="233" t="s">
        <v>572</v>
      </c>
      <c r="L54" s="234" t="s">
        <v>570</v>
      </c>
    </row>
    <row r="55" spans="1:31" x14ac:dyDescent="0.3">
      <c r="B55" s="232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533</v>
      </c>
      <c r="K55" s="233"/>
      <c r="L55" s="235"/>
    </row>
    <row r="56" spans="1:31" x14ac:dyDescent="0.3">
      <c r="B56" s="47" t="s">
        <v>378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3" t="s">
        <v>378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57" spans="1:31" x14ac:dyDescent="0.3">
      <c r="B57" s="48" t="s">
        <v>573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573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574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3" t="s">
        <v>574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100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100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60" spans="1:31" x14ac:dyDescent="0.3">
      <c r="B60" s="47" t="s">
        <v>575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203" t="s">
        <v>575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x14ac:dyDescent="0.3">
      <c r="B61" s="48" t="s">
        <v>74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74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2" spans="1:31" x14ac:dyDescent="0.3">
      <c r="B62" s="47" t="s">
        <v>533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203" t="s">
        <v>533</v>
      </c>
      <c r="L62" s="204">
        <f>SUM(L56:L61)</f>
        <v>9</v>
      </c>
    </row>
    <row r="64" spans="1:31" x14ac:dyDescent="0.3">
      <c r="B64" s="232" t="s">
        <v>576</v>
      </c>
      <c r="C64" s="175" t="s">
        <v>39</v>
      </c>
      <c r="D64" s="175"/>
      <c r="E64" s="175"/>
      <c r="F64" s="175"/>
      <c r="G64" s="175"/>
      <c r="H64" s="175"/>
      <c r="K64" s="233" t="s">
        <v>576</v>
      </c>
      <c r="L64" s="234" t="s">
        <v>570</v>
      </c>
    </row>
    <row r="65" spans="1:31" x14ac:dyDescent="0.3">
      <c r="B65" s="232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533</v>
      </c>
      <c r="K65" s="233"/>
      <c r="L65" s="235"/>
    </row>
    <row r="66" spans="1:31" x14ac:dyDescent="0.3">
      <c r="B66" s="47" t="s">
        <v>378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203" t="s">
        <v>378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 x14ac:dyDescent="0.3">
      <c r="B67" s="48" t="s">
        <v>573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573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577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203" t="s">
        <v>577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8" customFormat="1" x14ac:dyDescent="0.3">
      <c r="A70" s="216"/>
      <c r="B70" s="217" t="s">
        <v>578</v>
      </c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</row>
    <row r="72" spans="1:31" x14ac:dyDescent="0.3">
      <c r="B72" s="35" t="s">
        <v>579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538</v>
      </c>
      <c r="K72" s="76" t="s">
        <v>579</v>
      </c>
      <c r="L72" s="213" t="s">
        <v>570</v>
      </c>
    </row>
    <row r="73" spans="1:31" x14ac:dyDescent="0.3">
      <c r="B73" s="47" t="s">
        <v>580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203" t="s">
        <v>580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 x14ac:dyDescent="0.3">
      <c r="B74" s="48" t="s">
        <v>75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0</v>
      </c>
      <c r="K74" s="48" t="s">
        <v>75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22</v>
      </c>
    </row>
    <row r="75" spans="1:31" x14ac:dyDescent="0.3">
      <c r="B75" s="47" t="s">
        <v>236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3" t="s">
        <v>236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76" spans="1:31" x14ac:dyDescent="0.3">
      <c r="B76" s="48" t="s">
        <v>533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0</v>
      </c>
      <c r="K76" s="48" t="s">
        <v>533</v>
      </c>
      <c r="L76" s="39">
        <f>SUM(L73:L75)</f>
        <v>24</v>
      </c>
    </row>
    <row r="78" spans="1:31" x14ac:dyDescent="0.3">
      <c r="B78" s="35" t="s">
        <v>581</v>
      </c>
      <c r="C78" s="46" t="s">
        <v>538</v>
      </c>
      <c r="K78" s="76" t="s">
        <v>581</v>
      </c>
      <c r="L78" s="213" t="s">
        <v>570</v>
      </c>
    </row>
    <row r="79" spans="1:31" x14ac:dyDescent="0.3">
      <c r="B79" s="47" t="s">
        <v>580</v>
      </c>
      <c r="C79" s="49" t="str">
        <f>IFERROR(H73/$H$76,"")</f>
        <v/>
      </c>
      <c r="K79" s="203" t="s">
        <v>580</v>
      </c>
      <c r="L79" s="214">
        <f>IFERROR(L73/$L$76,"")</f>
        <v>0</v>
      </c>
    </row>
    <row r="80" spans="1:31" x14ac:dyDescent="0.3">
      <c r="B80" s="48" t="s">
        <v>75</v>
      </c>
      <c r="C80" s="50" t="str">
        <f>IFERROR(H74/$H$76,"")</f>
        <v/>
      </c>
      <c r="K80" s="48" t="s">
        <v>75</v>
      </c>
      <c r="L80" s="50">
        <f>IFERROR(L74/$L$76,"")</f>
        <v>0.91666666666666663</v>
      </c>
    </row>
    <row r="81" spans="1:31" x14ac:dyDescent="0.3">
      <c r="B81" s="47" t="s">
        <v>236</v>
      </c>
      <c r="C81" s="51" t="str">
        <f>IFERROR(H75/$H$76,"")</f>
        <v/>
      </c>
      <c r="K81" s="203" t="s">
        <v>236</v>
      </c>
      <c r="L81" s="215">
        <f>IFERROR(L75/$L$76,"")</f>
        <v>8.3333333333333329E-2</v>
      </c>
    </row>
    <row r="83" spans="1:31" s="218" customFormat="1" x14ac:dyDescent="0.3">
      <c r="A83" s="216"/>
      <c r="B83" s="217" t="s">
        <v>582</v>
      </c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</row>
    <row r="85" spans="1:31" x14ac:dyDescent="0.3">
      <c r="B85" s="35" t="s">
        <v>583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538</v>
      </c>
      <c r="K85" s="76" t="s">
        <v>583</v>
      </c>
      <c r="L85" s="213" t="s">
        <v>570</v>
      </c>
    </row>
    <row r="86" spans="1:31" x14ac:dyDescent="0.3">
      <c r="B86" s="47" t="s">
        <v>60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5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2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3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3</v>
      </c>
      <c r="H86" s="44">
        <f>SUM(C86:G86)</f>
        <v>13</v>
      </c>
      <c r="K86" s="203" t="s">
        <v>60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113</v>
      </c>
    </row>
    <row r="87" spans="1:31" x14ac:dyDescent="0.3">
      <c r="B87" s="48" t="s">
        <v>584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584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585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3" t="s">
        <v>585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533</v>
      </c>
      <c r="C89" s="39">
        <f>SUM(C86:C88)</f>
        <v>0</v>
      </c>
      <c r="D89" s="39">
        <f t="shared" ref="D89:H89" si="12">SUM(D86:D88)</f>
        <v>5</v>
      </c>
      <c r="E89" s="39">
        <f t="shared" si="12"/>
        <v>2</v>
      </c>
      <c r="F89" s="39">
        <f t="shared" si="12"/>
        <v>3</v>
      </c>
      <c r="G89" s="39">
        <f t="shared" si="12"/>
        <v>3</v>
      </c>
      <c r="H89" s="39">
        <f t="shared" si="12"/>
        <v>13</v>
      </c>
      <c r="K89" s="48" t="s">
        <v>533</v>
      </c>
      <c r="L89" s="39">
        <f>SUM(L86:L88)</f>
        <v>113</v>
      </c>
    </row>
    <row r="91" spans="1:31" x14ac:dyDescent="0.3">
      <c r="B91" s="35" t="s">
        <v>586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538</v>
      </c>
      <c r="K91" s="76" t="s">
        <v>586</v>
      </c>
      <c r="L91" s="213" t="s">
        <v>570</v>
      </c>
    </row>
    <row r="92" spans="1:31" x14ac:dyDescent="0.3">
      <c r="B92" s="47" t="s">
        <v>61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2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3</v>
      </c>
      <c r="K92" s="203" t="s">
        <v>61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42</v>
      </c>
    </row>
    <row r="93" spans="1:31" x14ac:dyDescent="0.3">
      <c r="B93" s="48" t="s">
        <v>118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118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3</v>
      </c>
    </row>
    <row r="94" spans="1:31" x14ac:dyDescent="0.3">
      <c r="B94" s="47" t="s">
        <v>587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203" t="s">
        <v>587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8" t="s">
        <v>110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5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1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6</v>
      </c>
      <c r="K95" s="48" t="s">
        <v>110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65</v>
      </c>
    </row>
    <row r="96" spans="1:31" x14ac:dyDescent="0.3">
      <c r="B96" s="47" t="s">
        <v>585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203" t="s">
        <v>585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 x14ac:dyDescent="0.3">
      <c r="B97" s="48" t="s">
        <v>588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588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533</v>
      </c>
      <c r="C98" s="44">
        <f t="shared" ref="C98:H98" si="14">SUM(C92:C97)</f>
        <v>0</v>
      </c>
      <c r="D98" s="44">
        <f t="shared" si="14"/>
        <v>5</v>
      </c>
      <c r="E98" s="44">
        <f t="shared" si="14"/>
        <v>2</v>
      </c>
      <c r="F98" s="44">
        <f t="shared" si="14"/>
        <v>2</v>
      </c>
      <c r="G98" s="44">
        <f t="shared" si="14"/>
        <v>0</v>
      </c>
      <c r="H98" s="44">
        <f t="shared" si="14"/>
        <v>9</v>
      </c>
      <c r="K98" s="203" t="s">
        <v>533</v>
      </c>
      <c r="L98" s="204">
        <f>SUM(L92:L97)</f>
        <v>110</v>
      </c>
    </row>
    <row r="100" spans="1:31" s="218" customFormat="1" x14ac:dyDescent="0.3">
      <c r="A100" s="216"/>
      <c r="B100" s="217" t="s">
        <v>589</v>
      </c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  <c r="AE100" s="216"/>
    </row>
    <row r="101" spans="1:31" x14ac:dyDescent="0.3">
      <c r="E101" s="40"/>
      <c r="F101" s="40"/>
    </row>
    <row r="102" spans="1:31" x14ac:dyDescent="0.3">
      <c r="B102" s="232" t="s">
        <v>3</v>
      </c>
      <c r="C102" s="175" t="s">
        <v>39</v>
      </c>
      <c r="D102" s="175"/>
      <c r="E102" s="175"/>
      <c r="F102" s="175"/>
      <c r="G102" s="175"/>
      <c r="H102" s="175"/>
      <c r="K102" s="233" t="s">
        <v>3</v>
      </c>
      <c r="L102" s="234" t="s">
        <v>570</v>
      </c>
    </row>
    <row r="103" spans="1:31" x14ac:dyDescent="0.3">
      <c r="B103" s="232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533</v>
      </c>
      <c r="K103" s="233"/>
      <c r="L103" s="235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6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3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6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4">
        <f>SUM(C104:G104)</f>
        <v>15</v>
      </c>
      <c r="K104" s="203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159</v>
      </c>
    </row>
    <row r="105" spans="1:31" x14ac:dyDescent="0.3">
      <c r="B105" s="48" t="s">
        <v>590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590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403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1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1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4</v>
      </c>
      <c r="H106" s="44">
        <f t="shared" si="15"/>
        <v>6</v>
      </c>
      <c r="K106" s="203" t="s">
        <v>403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8</v>
      </c>
    </row>
    <row r="107" spans="1:31" x14ac:dyDescent="0.3">
      <c r="B107" s="48" t="s">
        <v>591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591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592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3" t="s">
        <v>592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593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593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594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3" t="s">
        <v>594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533</v>
      </c>
      <c r="C111" s="39">
        <f>SUM(C104:C110)</f>
        <v>0</v>
      </c>
      <c r="D111" s="39">
        <f t="shared" ref="D111:G111" si="16">SUM(D104:D110)</f>
        <v>7</v>
      </c>
      <c r="E111" s="39">
        <f t="shared" si="16"/>
        <v>4</v>
      </c>
      <c r="F111" s="39">
        <f t="shared" si="16"/>
        <v>6</v>
      </c>
      <c r="G111" s="39">
        <f t="shared" si="16"/>
        <v>4</v>
      </c>
      <c r="H111" s="39">
        <f t="shared" si="15"/>
        <v>21</v>
      </c>
      <c r="K111" s="48" t="s">
        <v>533</v>
      </c>
      <c r="L111" s="39">
        <f>SUM(L104:L110)</f>
        <v>167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58" sqref="H58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886718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595</v>
      </c>
      <c r="G1" s="53"/>
      <c r="H1" s="154" t="s">
        <v>37</v>
      </c>
      <c r="I1" s="153" t="s">
        <v>596</v>
      </c>
      <c r="K1" s="71" t="s">
        <v>597</v>
      </c>
      <c r="L1" s="53"/>
      <c r="M1" s="54" t="s">
        <v>37</v>
      </c>
      <c r="N1" s="55" t="s">
        <v>598</v>
      </c>
      <c r="P1" s="157" t="s">
        <v>32</v>
      </c>
      <c r="R1" s="56" t="s">
        <v>599</v>
      </c>
      <c r="T1" s="74" t="s">
        <v>600</v>
      </c>
      <c r="V1" s="169" t="s">
        <v>16</v>
      </c>
      <c r="X1" s="167" t="s">
        <v>19</v>
      </c>
      <c r="Z1" s="225" t="s">
        <v>20</v>
      </c>
      <c r="AB1" s="165" t="s">
        <v>25</v>
      </c>
      <c r="AD1" s="163" t="s">
        <v>27</v>
      </c>
      <c r="AF1" s="163" t="s">
        <v>29</v>
      </c>
      <c r="AH1" s="160" t="s">
        <v>601</v>
      </c>
      <c r="AJ1" s="161" t="s">
        <v>35</v>
      </c>
      <c r="AL1" s="160" t="s">
        <v>36</v>
      </c>
      <c r="AN1" s="172" t="s">
        <v>0</v>
      </c>
    </row>
    <row r="2" spans="2:40" ht="15" thickBot="1" x14ac:dyDescent="0.35">
      <c r="B2" s="52" t="s">
        <v>602</v>
      </c>
      <c r="D2" s="147" t="s">
        <v>603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604</v>
      </c>
      <c r="I2" s="149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604</v>
      </c>
      <c r="N2" s="150" t="s">
        <v>378</v>
      </c>
      <c r="P2" s="158" t="s">
        <v>378</v>
      </c>
      <c r="R2" s="59" t="s">
        <v>605</v>
      </c>
      <c r="T2" s="85" t="s">
        <v>580</v>
      </c>
      <c r="V2" s="170" t="s">
        <v>70</v>
      </c>
      <c r="X2" s="168" t="s">
        <v>57</v>
      </c>
      <c r="Z2" s="226" t="s">
        <v>71</v>
      </c>
      <c r="AB2" s="147" t="s">
        <v>60</v>
      </c>
      <c r="AD2" s="158" t="s">
        <v>61</v>
      </c>
      <c r="AF2" s="158" t="s">
        <v>85</v>
      </c>
      <c r="AH2" s="158" t="s">
        <v>47</v>
      </c>
      <c r="AJ2" s="158" t="s">
        <v>62</v>
      </c>
      <c r="AL2" s="158" t="s">
        <v>47</v>
      </c>
      <c r="AN2" s="173" t="s">
        <v>47</v>
      </c>
    </row>
    <row r="3" spans="2:40" ht="15" thickBot="1" x14ac:dyDescent="0.35">
      <c r="D3" s="147" t="s">
        <v>48</v>
      </c>
      <c r="F3" s="68" t="str">
        <v>Casos Prioritário - E-mail</v>
      </c>
      <c r="H3" s="79" t="s">
        <v>604</v>
      </c>
      <c r="I3" s="149" t="s">
        <v>590</v>
      </c>
      <c r="K3" s="60" t="str">
        <v>Samaritano Higi</v>
      </c>
      <c r="M3" s="79" t="s">
        <v>604</v>
      </c>
      <c r="N3" s="150" t="s">
        <v>573</v>
      </c>
      <c r="P3" s="158" t="s">
        <v>573</v>
      </c>
      <c r="R3" s="59" t="s">
        <v>606</v>
      </c>
      <c r="T3" s="84" t="s">
        <v>75</v>
      </c>
      <c r="V3" s="170" t="s">
        <v>543</v>
      </c>
      <c r="X3" s="147" t="s">
        <v>183</v>
      </c>
      <c r="Z3" s="147" t="s">
        <v>458</v>
      </c>
      <c r="AB3" s="166" t="s">
        <v>607</v>
      </c>
      <c r="AD3" s="158" t="s">
        <v>118</v>
      </c>
      <c r="AF3" s="164" t="s">
        <v>73</v>
      </c>
      <c r="AH3" s="158" t="s">
        <v>65</v>
      </c>
      <c r="AJ3" s="162" t="s">
        <v>63</v>
      </c>
      <c r="AL3" s="158" t="s">
        <v>65</v>
      </c>
      <c r="AN3" s="173" t="s">
        <v>65</v>
      </c>
    </row>
    <row r="4" spans="2:40" x14ac:dyDescent="0.3">
      <c r="D4" s="147" t="s">
        <v>66</v>
      </c>
      <c r="F4" s="68" t="str">
        <v>Forms Total Care</v>
      </c>
      <c r="H4" s="79" t="s">
        <v>604</v>
      </c>
      <c r="I4" s="149" t="s">
        <v>403</v>
      </c>
      <c r="K4" s="60" t="str">
        <v>COI -RJ</v>
      </c>
      <c r="M4" s="79" t="s">
        <v>604</v>
      </c>
      <c r="N4" s="150" t="s">
        <v>574</v>
      </c>
      <c r="P4" s="158" t="s">
        <v>577</v>
      </c>
      <c r="R4" s="59" t="s">
        <v>608</v>
      </c>
      <c r="T4" s="84" t="s">
        <v>236</v>
      </c>
      <c r="V4" s="170" t="s">
        <v>545</v>
      </c>
      <c r="X4" s="166" t="s">
        <v>609</v>
      </c>
      <c r="Z4" s="59" t="s">
        <v>58</v>
      </c>
      <c r="AD4" s="158" t="s">
        <v>587</v>
      </c>
      <c r="AF4" s="164" t="s">
        <v>377</v>
      </c>
      <c r="AH4" s="159"/>
      <c r="AJ4" s="159" t="s">
        <v>610</v>
      </c>
      <c r="AL4" s="158" t="s">
        <v>611</v>
      </c>
      <c r="AN4" s="174"/>
    </row>
    <row r="5" spans="2:40" x14ac:dyDescent="0.3">
      <c r="D5" s="73" t="s">
        <v>612</v>
      </c>
      <c r="F5" s="68" t="str">
        <v>GSC</v>
      </c>
      <c r="H5" s="79" t="s">
        <v>604</v>
      </c>
      <c r="I5" s="149" t="s">
        <v>591</v>
      </c>
      <c r="K5" s="60" t="str">
        <v>Interno - Amil Geral</v>
      </c>
      <c r="M5" s="79" t="s">
        <v>604</v>
      </c>
      <c r="N5" s="150" t="s">
        <v>100</v>
      </c>
      <c r="P5" s="159" t="s">
        <v>613</v>
      </c>
      <c r="R5" s="59" t="s">
        <v>614</v>
      </c>
      <c r="T5" s="86" t="s">
        <v>611</v>
      </c>
      <c r="V5" s="170" t="s">
        <v>547</v>
      </c>
      <c r="Z5" s="59"/>
      <c r="AD5" s="158" t="s">
        <v>110</v>
      </c>
      <c r="AF5" s="159"/>
      <c r="AH5" s="83"/>
      <c r="AJ5" s="159" t="s">
        <v>65</v>
      </c>
      <c r="AL5" s="159"/>
    </row>
    <row r="6" spans="2:40" x14ac:dyDescent="0.3">
      <c r="D6" s="73" t="s">
        <v>615</v>
      </c>
      <c r="F6" s="68" t="str">
        <v>Triggers</v>
      </c>
      <c r="H6" s="79" t="s">
        <v>604</v>
      </c>
      <c r="I6" s="149" t="s">
        <v>592</v>
      </c>
      <c r="K6" s="60" t="str">
        <v>Externo - Geral</v>
      </c>
      <c r="M6" s="79" t="s">
        <v>604</v>
      </c>
      <c r="N6" s="150" t="s">
        <v>575</v>
      </c>
      <c r="R6" s="59" t="s">
        <v>616</v>
      </c>
      <c r="V6" s="170" t="s">
        <v>549</v>
      </c>
      <c r="Z6" s="224"/>
      <c r="AD6" s="159" t="s">
        <v>585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604</v>
      </c>
      <c r="I7" s="149" t="s">
        <v>593</v>
      </c>
      <c r="K7" s="60" t="str">
        <v>Não Informou</v>
      </c>
      <c r="M7" s="79" t="s">
        <v>604</v>
      </c>
      <c r="N7" s="150" t="s">
        <v>74</v>
      </c>
      <c r="R7" s="59" t="s">
        <v>617</v>
      </c>
      <c r="V7" s="170" t="s">
        <v>551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604</v>
      </c>
      <c r="I8" s="149" t="s">
        <v>594</v>
      </c>
      <c r="K8" s="60" t="str">
        <v>CMDP - Centro Médico Dom Pedro</v>
      </c>
      <c r="M8" s="79" t="s">
        <v>604</v>
      </c>
      <c r="N8" s="150" t="s">
        <v>618</v>
      </c>
      <c r="R8" s="59" t="s">
        <v>619</v>
      </c>
      <c r="V8" s="170" t="s">
        <v>553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620</v>
      </c>
      <c r="I9" s="151" t="s">
        <v>621</v>
      </c>
      <c r="K9" s="60" t="str">
        <v>Outros</v>
      </c>
      <c r="M9" s="79" t="s">
        <v>604</v>
      </c>
      <c r="N9" s="150" t="s">
        <v>622</v>
      </c>
      <c r="R9" s="59" t="s">
        <v>623</v>
      </c>
      <c r="V9" s="170" t="s">
        <v>554</v>
      </c>
      <c r="Z9" s="1" t="s">
        <v>46</v>
      </c>
      <c r="AA9" s="1" t="s">
        <v>71</v>
      </c>
      <c r="AD9" s="83"/>
      <c r="AF9" s="83"/>
      <c r="AH9" s="83"/>
      <c r="AJ9" s="83"/>
      <c r="AL9" s="83"/>
    </row>
    <row r="10" spans="2:40" ht="15" thickBot="1" x14ac:dyDescent="0.35">
      <c r="D10" s="148"/>
      <c r="F10" s="68" t="str">
        <v>Captado Total Care</v>
      </c>
      <c r="H10" s="38" t="s">
        <v>620</v>
      </c>
      <c r="I10" s="152" t="s">
        <v>624</v>
      </c>
      <c r="K10" s="60" t="str">
        <v>Amil - Hospital Ipiranga Arujá - Ambulatório </v>
      </c>
      <c r="M10" s="79" t="s">
        <v>604</v>
      </c>
      <c r="N10" s="150" t="s">
        <v>625</v>
      </c>
      <c r="R10" s="59" t="s">
        <v>626</v>
      </c>
      <c r="V10" s="170" t="s">
        <v>556</v>
      </c>
      <c r="Z10" s="1" t="s">
        <v>46</v>
      </c>
      <c r="AA10" s="1" t="s">
        <v>458</v>
      </c>
      <c r="AD10" s="83"/>
      <c r="AF10" s="83"/>
      <c r="AJ10" s="83"/>
      <c r="AL10" s="83"/>
    </row>
    <row r="11" spans="2:40" x14ac:dyDescent="0.3">
      <c r="F11" s="68"/>
      <c r="H11" s="38" t="s">
        <v>620</v>
      </c>
      <c r="I11" s="152" t="s">
        <v>627</v>
      </c>
      <c r="K11" s="60" t="str">
        <v>Amil - Hospital Ipiranga Mogi - Ambulatório </v>
      </c>
      <c r="M11" s="79" t="s">
        <v>604</v>
      </c>
      <c r="N11" s="150" t="s">
        <v>628</v>
      </c>
      <c r="R11" s="59" t="s">
        <v>64</v>
      </c>
      <c r="V11" s="170" t="s">
        <v>557</v>
      </c>
      <c r="Z11" s="1" t="s">
        <v>71</v>
      </c>
      <c r="AA11" s="1" t="s">
        <v>71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620</v>
      </c>
      <c r="I12" s="152" t="s">
        <v>629</v>
      </c>
      <c r="K12" s="60" t="str">
        <v>Amil - Hospital Metropolitano - Centro Médico </v>
      </c>
      <c r="M12" s="79" t="s">
        <v>604</v>
      </c>
      <c r="N12" s="150" t="s">
        <v>630</v>
      </c>
      <c r="R12" s="59" t="s">
        <v>631</v>
      </c>
      <c r="V12" s="170" t="s">
        <v>558</v>
      </c>
      <c r="Z12" s="1" t="s">
        <v>458</v>
      </c>
      <c r="AA12" s="1" t="s">
        <v>458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620</v>
      </c>
      <c r="I13" s="152" t="s">
        <v>632</v>
      </c>
      <c r="K13" s="60" t="str">
        <v>Amil - Hospital Paulistano - Ambulatório </v>
      </c>
      <c r="M13" s="79" t="s">
        <v>604</v>
      </c>
      <c r="N13" s="150" t="s">
        <v>633</v>
      </c>
      <c r="R13" s="59" t="s">
        <v>634</v>
      </c>
      <c r="V13" s="170" t="s">
        <v>559</v>
      </c>
      <c r="Z13" s="1" t="s">
        <v>58</v>
      </c>
      <c r="AA13" s="1" t="s">
        <v>58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620</v>
      </c>
      <c r="I14" s="58" t="s">
        <v>635</v>
      </c>
      <c r="K14" s="60" t="str">
        <v>Amil - Ud Cubatão Sp - Hospital Da Luz </v>
      </c>
      <c r="M14" s="79" t="s">
        <v>604</v>
      </c>
      <c r="N14" s="150" t="s">
        <v>97</v>
      </c>
      <c r="R14" s="59" t="s">
        <v>620</v>
      </c>
      <c r="V14" s="170" t="s">
        <v>560</v>
      </c>
      <c r="Z14" s="1" t="s">
        <v>533</v>
      </c>
      <c r="AA14" s="1" t="s">
        <v>71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620</v>
      </c>
      <c r="I15" s="58" t="s">
        <v>636</v>
      </c>
      <c r="K15" s="60" t="str">
        <v>Amil - Unidade Avançada Carlos Chagas </v>
      </c>
      <c r="M15" s="79" t="s">
        <v>604</v>
      </c>
      <c r="N15" s="150" t="s">
        <v>637</v>
      </c>
      <c r="R15" s="59" t="s">
        <v>638</v>
      </c>
      <c r="V15" s="170" t="s">
        <v>56</v>
      </c>
      <c r="Z15" s="1" t="s">
        <v>533</v>
      </c>
      <c r="AA15" s="1" t="s">
        <v>458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620</v>
      </c>
      <c r="I16" s="58" t="s">
        <v>639</v>
      </c>
      <c r="K16" s="60" t="str">
        <v>Amil - Unidade Avançada Luz Butantã </v>
      </c>
      <c r="M16" s="79" t="s">
        <v>604</v>
      </c>
      <c r="N16" s="150" t="s">
        <v>640</v>
      </c>
      <c r="R16" s="59" t="s">
        <v>641</v>
      </c>
      <c r="V16" s="170" t="s">
        <v>561</v>
      </c>
      <c r="Z16" s="1" t="s">
        <v>533</v>
      </c>
      <c r="AA16" s="1" t="s">
        <v>58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620</v>
      </c>
      <c r="I17" s="58" t="s">
        <v>642</v>
      </c>
      <c r="K17" s="60" t="str">
        <v>Amil - Unidade Avançada Luz Joao Dias </v>
      </c>
      <c r="M17" s="79" t="s">
        <v>604</v>
      </c>
      <c r="N17" s="150" t="s">
        <v>643</v>
      </c>
      <c r="R17" s="59" t="s">
        <v>644</v>
      </c>
      <c r="V17" s="170" t="s">
        <v>562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620</v>
      </c>
      <c r="I18" s="58" t="s">
        <v>645</v>
      </c>
      <c r="K18" s="60" t="str">
        <v>Amil - Unidade Avançada Vitoria </v>
      </c>
      <c r="M18" s="79" t="s">
        <v>604</v>
      </c>
      <c r="N18" s="150" t="s">
        <v>646</v>
      </c>
      <c r="R18" s="59" t="s">
        <v>647</v>
      </c>
      <c r="V18" s="170" t="s">
        <v>563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620</v>
      </c>
      <c r="I19" s="58" t="s">
        <v>648</v>
      </c>
      <c r="K19" s="60" t="str">
        <v>Amil Espaço Saúde - Ana Rosa </v>
      </c>
      <c r="M19" s="79" t="s">
        <v>604</v>
      </c>
      <c r="N19" s="150" t="s">
        <v>382</v>
      </c>
      <c r="R19" s="59" t="s">
        <v>649</v>
      </c>
      <c r="V19" s="170" t="s">
        <v>564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620</v>
      </c>
      <c r="I20" s="58" t="s">
        <v>650</v>
      </c>
      <c r="K20" s="60" t="str">
        <v>Amil Espaço Saúde - Botafogo </v>
      </c>
      <c r="M20" s="79" t="s">
        <v>604</v>
      </c>
      <c r="N20" s="150" t="s">
        <v>651</v>
      </c>
      <c r="R20" s="59" t="s">
        <v>652</v>
      </c>
      <c r="V20" s="170" t="s">
        <v>565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653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620</v>
      </c>
      <c r="I21" s="58" t="s">
        <v>654</v>
      </c>
      <c r="K21" s="60" t="str">
        <v>Amil Espaço Saúde - Campo Grande </v>
      </c>
      <c r="M21" s="79" t="s">
        <v>604</v>
      </c>
      <c r="N21" s="150" t="s">
        <v>655</v>
      </c>
      <c r="R21" s="59" t="s">
        <v>656</v>
      </c>
      <c r="V21" s="170" t="s">
        <v>566</v>
      </c>
      <c r="AA21" s="1" t="str">
        <v>Inativo</v>
      </c>
      <c r="AB21" s="1" t="s">
        <v>653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620</v>
      </c>
      <c r="I22" s="58" t="s">
        <v>657</v>
      </c>
      <c r="K22" s="60" t="str">
        <v>Amil Espaço Saúde - Caxias </v>
      </c>
      <c r="M22" s="79" t="s">
        <v>604</v>
      </c>
      <c r="N22" s="150" t="s">
        <v>658</v>
      </c>
      <c r="R22" s="59" t="s">
        <v>659</v>
      </c>
      <c r="V22" s="170" t="s">
        <v>567</v>
      </c>
      <c r="AA22" s="1" t="str">
        <v>Fora da Linha</v>
      </c>
      <c r="AB22" s="1" t="s">
        <v>653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620</v>
      </c>
      <c r="I23" s="58" t="s">
        <v>660</v>
      </c>
      <c r="K23" s="60" t="str">
        <v>Amil Espaço Saúde - Guarulhos </v>
      </c>
      <c r="M23" s="79" t="s">
        <v>604</v>
      </c>
      <c r="N23" s="150" t="s">
        <v>661</v>
      </c>
      <c r="R23" s="59" t="s">
        <v>662</v>
      </c>
      <c r="V23" s="170" t="s">
        <v>136</v>
      </c>
      <c r="AB23" s="1" t="s">
        <v>653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620</v>
      </c>
      <c r="I24" s="58" t="s">
        <v>663</v>
      </c>
      <c r="K24" s="60" t="str">
        <v>Amil Espaço Saúde - Niterói </v>
      </c>
      <c r="M24" s="79" t="s">
        <v>604</v>
      </c>
      <c r="N24" s="150" t="s">
        <v>664</v>
      </c>
      <c r="R24" s="61" t="s">
        <v>665</v>
      </c>
      <c r="V24" s="170" t="s">
        <v>457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620</v>
      </c>
      <c r="I25" s="58" t="s">
        <v>666</v>
      </c>
      <c r="K25" s="60" t="str">
        <v>Amil Espaço Saúde - Nova Iguaçu </v>
      </c>
      <c r="M25" s="79" t="s">
        <v>604</v>
      </c>
      <c r="N25" s="150" t="s">
        <v>667</v>
      </c>
      <c r="V25" s="170" t="s">
        <v>526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620</v>
      </c>
      <c r="I26" s="58" t="s">
        <v>668</v>
      </c>
      <c r="K26" s="60" t="str">
        <v>Amil Espaço Saúde - Osasco </v>
      </c>
      <c r="M26" s="79" t="s">
        <v>604</v>
      </c>
      <c r="N26" s="150" t="s">
        <v>669</v>
      </c>
      <c r="V26" s="171" t="s">
        <v>568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620</v>
      </c>
      <c r="I27" s="58" t="s">
        <v>670</v>
      </c>
      <c r="K27" s="60" t="str">
        <v>Amil Espaço Saúde - Santana </v>
      </c>
      <c r="M27" s="79" t="s">
        <v>604</v>
      </c>
      <c r="N27" s="150" t="s">
        <v>671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620</v>
      </c>
      <c r="I28" s="58" t="s">
        <v>672</v>
      </c>
      <c r="K28" s="60" t="str">
        <v>Amil Espaço Saúde - Tijuca </v>
      </c>
      <c r="M28" s="79" t="s">
        <v>604</v>
      </c>
      <c r="N28" s="150" t="s">
        <v>81</v>
      </c>
      <c r="Z28" s="1" t="s">
        <v>71</v>
      </c>
    </row>
    <row r="29" spans="6:38" x14ac:dyDescent="0.3">
      <c r="F29" s="68"/>
      <c r="H29" s="38" t="s">
        <v>620</v>
      </c>
      <c r="I29" s="58" t="s">
        <v>673</v>
      </c>
      <c r="K29" s="60" t="str">
        <v>Amil Telemedicina </v>
      </c>
      <c r="M29" s="79" t="s">
        <v>604</v>
      </c>
      <c r="N29" s="150" t="s">
        <v>674</v>
      </c>
      <c r="Z29" s="1" t="s">
        <v>458</v>
      </c>
    </row>
    <row r="30" spans="6:38" x14ac:dyDescent="0.3">
      <c r="F30" s="68"/>
      <c r="H30" s="38" t="s">
        <v>620</v>
      </c>
      <c r="I30" s="58" t="s">
        <v>675</v>
      </c>
      <c r="K30" s="60" t="str">
        <v>Centro Médico Jardim </v>
      </c>
      <c r="M30" s="79" t="s">
        <v>604</v>
      </c>
      <c r="N30" s="150" t="s">
        <v>676</v>
      </c>
      <c r="Z30" s="1" t="s">
        <v>58</v>
      </c>
    </row>
    <row r="31" spans="6:38" x14ac:dyDescent="0.3">
      <c r="F31" s="68"/>
      <c r="H31" s="38" t="s">
        <v>620</v>
      </c>
      <c r="I31" s="58" t="s">
        <v>677</v>
      </c>
      <c r="K31" s="60" t="str">
        <v>Centro Médico Joao Azevedo - Sbc  II</v>
      </c>
      <c r="M31" s="79" t="s">
        <v>604</v>
      </c>
      <c r="N31" s="150" t="s">
        <v>678</v>
      </c>
      <c r="Z31" s="1" t="s">
        <v>533</v>
      </c>
    </row>
    <row r="32" spans="6:38" x14ac:dyDescent="0.3">
      <c r="F32" s="68"/>
      <c r="H32" s="38" t="s">
        <v>620</v>
      </c>
      <c r="I32" s="58" t="s">
        <v>679</v>
      </c>
      <c r="K32" s="60" t="str">
        <v>Centro Médico João Azevedo - Sbc I  </v>
      </c>
      <c r="M32" s="79" t="s">
        <v>604</v>
      </c>
      <c r="N32" s="150" t="s">
        <v>680</v>
      </c>
    </row>
    <row r="33" spans="6:14" x14ac:dyDescent="0.3">
      <c r="F33" s="68"/>
      <c r="H33" s="38" t="s">
        <v>620</v>
      </c>
      <c r="I33" s="58" t="s">
        <v>681</v>
      </c>
      <c r="K33" s="60" t="str">
        <v>Centro Médico Luiz Ferreira - Sbc </v>
      </c>
      <c r="M33" s="79" t="s">
        <v>604</v>
      </c>
      <c r="N33" s="150" t="s">
        <v>682</v>
      </c>
    </row>
    <row r="34" spans="6:14" x14ac:dyDescent="0.3">
      <c r="F34" s="68"/>
      <c r="H34" s="38" t="s">
        <v>620</v>
      </c>
      <c r="I34" s="58" t="s">
        <v>683</v>
      </c>
      <c r="K34" s="60" t="str">
        <v>Centro Médico - Samaritano Higienópolis </v>
      </c>
      <c r="M34" s="79" t="s">
        <v>604</v>
      </c>
      <c r="N34" s="150" t="s">
        <v>684</v>
      </c>
    </row>
    <row r="35" spans="6:14" x14ac:dyDescent="0.3">
      <c r="F35" s="68"/>
      <c r="H35" s="38" t="s">
        <v>620</v>
      </c>
      <c r="I35" s="58" t="s">
        <v>685</v>
      </c>
      <c r="K35" s="60" t="str">
        <v>Centro Médico Hospital São Lucas </v>
      </c>
      <c r="M35" s="79" t="s">
        <v>604</v>
      </c>
      <c r="N35" s="150" t="s">
        <v>686</v>
      </c>
    </row>
    <row r="36" spans="6:14" x14ac:dyDescent="0.3">
      <c r="F36" s="68"/>
      <c r="H36" s="38" t="s">
        <v>620</v>
      </c>
      <c r="I36" s="58" t="s">
        <v>687</v>
      </c>
      <c r="K36" s="60" t="str">
        <v>Hospital Alvorada Ambulatório Arapanés </v>
      </c>
      <c r="M36" s="79" t="s">
        <v>604</v>
      </c>
      <c r="N36" s="150" t="s">
        <v>688</v>
      </c>
    </row>
    <row r="37" spans="6:14" x14ac:dyDescent="0.3">
      <c r="F37" s="68"/>
      <c r="H37" s="38" t="s">
        <v>620</v>
      </c>
      <c r="I37" s="58" t="s">
        <v>689</v>
      </c>
      <c r="K37" s="60" t="str">
        <v>Hospital Alvorada Moema </v>
      </c>
      <c r="M37" s="79" t="s">
        <v>604</v>
      </c>
      <c r="N37" s="150" t="s">
        <v>690</v>
      </c>
    </row>
    <row r="38" spans="6:14" x14ac:dyDescent="0.3">
      <c r="F38" s="68"/>
      <c r="H38" s="38" t="s">
        <v>620</v>
      </c>
      <c r="I38" s="58" t="s">
        <v>691</v>
      </c>
      <c r="K38" s="60" t="str">
        <v>Hospital Américas - Ambulatório </v>
      </c>
      <c r="M38" s="79" t="s">
        <v>604</v>
      </c>
      <c r="N38" s="150" t="s">
        <v>692</v>
      </c>
    </row>
    <row r="39" spans="6:14" x14ac:dyDescent="0.3">
      <c r="F39" s="68"/>
      <c r="H39" s="38" t="s">
        <v>620</v>
      </c>
      <c r="I39" s="58" t="s">
        <v>693</v>
      </c>
      <c r="K39" s="60" t="str">
        <v>Hospital Samaritano Paulista - Ambulatório </v>
      </c>
      <c r="M39" s="79" t="s">
        <v>604</v>
      </c>
      <c r="N39" s="150" t="s">
        <v>694</v>
      </c>
    </row>
    <row r="40" spans="6:14" x14ac:dyDescent="0.3">
      <c r="F40" s="68"/>
      <c r="H40" s="38" t="s">
        <v>620</v>
      </c>
      <c r="I40" s="58" t="s">
        <v>695</v>
      </c>
      <c r="K40" s="60" t="str">
        <v>Amil Espaço Saúde - Tatuapé</v>
      </c>
      <c r="M40" s="38" t="s">
        <v>620</v>
      </c>
      <c r="N40" s="58" t="s">
        <v>696</v>
      </c>
    </row>
    <row r="41" spans="6:14" x14ac:dyDescent="0.3">
      <c r="F41" s="68"/>
      <c r="H41" s="38" t="s">
        <v>620</v>
      </c>
      <c r="I41" s="58" t="s">
        <v>697</v>
      </c>
      <c r="K41" s="60" t="str">
        <v>Amil Espaço Saúde - Santo Amaro</v>
      </c>
      <c r="M41" s="38" t="s">
        <v>620</v>
      </c>
      <c r="N41" s="58" t="s">
        <v>698</v>
      </c>
    </row>
    <row r="42" spans="6:14" x14ac:dyDescent="0.3">
      <c r="F42" s="68"/>
      <c r="H42" s="38" t="s">
        <v>620</v>
      </c>
      <c r="I42" s="58" t="s">
        <v>488</v>
      </c>
      <c r="K42" s="60" t="str">
        <v>Amil Espaço Saúde - Guarulhos</v>
      </c>
      <c r="M42" s="38" t="s">
        <v>620</v>
      </c>
      <c r="N42" s="58" t="s">
        <v>699</v>
      </c>
    </row>
    <row r="43" spans="6:14" x14ac:dyDescent="0.3">
      <c r="F43" s="68"/>
      <c r="H43" s="38" t="s">
        <v>620</v>
      </c>
      <c r="I43" s="58" t="s">
        <v>700</v>
      </c>
      <c r="K43" s="60" t="str">
        <v xml:space="preserve">Amil Espaço Saúde - Santa Helena </v>
      </c>
      <c r="M43" s="38" t="s">
        <v>620</v>
      </c>
      <c r="N43" s="58" t="s">
        <v>701</v>
      </c>
    </row>
    <row r="44" spans="6:14" x14ac:dyDescent="0.3">
      <c r="F44" s="68"/>
      <c r="H44" s="38" t="s">
        <v>620</v>
      </c>
      <c r="I44" s="58" t="s">
        <v>702</v>
      </c>
      <c r="K44" s="60" t="str">
        <v>Hospital Samaritano - Não Especificado</v>
      </c>
      <c r="M44" s="38" t="s">
        <v>620</v>
      </c>
      <c r="N44" s="58" t="s">
        <v>703</v>
      </c>
    </row>
    <row r="45" spans="6:14" x14ac:dyDescent="0.3">
      <c r="F45" s="68"/>
      <c r="H45" s="38" t="s">
        <v>620</v>
      </c>
      <c r="I45" s="58" t="s">
        <v>704</v>
      </c>
      <c r="K45" s="60" t="str">
        <v>SUS</v>
      </c>
      <c r="M45" s="38" t="s">
        <v>620</v>
      </c>
      <c r="N45" s="58" t="s">
        <v>705</v>
      </c>
    </row>
    <row r="46" spans="6:14" x14ac:dyDescent="0.3">
      <c r="F46" s="68"/>
      <c r="H46" s="79" t="s">
        <v>604</v>
      </c>
      <c r="I46" s="149" t="s">
        <v>706</v>
      </c>
      <c r="K46" s="60"/>
      <c r="M46" s="38" t="s">
        <v>620</v>
      </c>
      <c r="N46" s="58" t="s">
        <v>707</v>
      </c>
    </row>
    <row r="47" spans="6:14" x14ac:dyDescent="0.3">
      <c r="F47" s="68"/>
      <c r="H47" s="228" t="s">
        <v>620</v>
      </c>
      <c r="I47" s="229" t="s">
        <v>708</v>
      </c>
      <c r="K47" s="60"/>
      <c r="M47" s="38" t="s">
        <v>620</v>
      </c>
      <c r="N47" s="58" t="s">
        <v>709</v>
      </c>
    </row>
    <row r="48" spans="6:14" x14ac:dyDescent="0.3">
      <c r="F48" s="68"/>
      <c r="H48" s="230" t="s">
        <v>604</v>
      </c>
      <c r="I48" s="231" t="s">
        <v>708</v>
      </c>
      <c r="K48" s="60"/>
      <c r="M48" s="38" t="s">
        <v>620</v>
      </c>
      <c r="N48" s="58" t="s">
        <v>710</v>
      </c>
    </row>
    <row r="49" spans="6:14" x14ac:dyDescent="0.3">
      <c r="F49" s="68"/>
      <c r="I49" s="62"/>
      <c r="K49" s="60"/>
      <c r="M49" s="38" t="s">
        <v>620</v>
      </c>
      <c r="N49" s="58" t="s">
        <v>711</v>
      </c>
    </row>
    <row r="50" spans="6:14" x14ac:dyDescent="0.3">
      <c r="F50" s="68"/>
      <c r="I50" s="62"/>
      <c r="K50" s="60"/>
      <c r="M50" s="38" t="s">
        <v>620</v>
      </c>
      <c r="N50" s="58" t="s">
        <v>712</v>
      </c>
    </row>
    <row r="51" spans="6:14" x14ac:dyDescent="0.3">
      <c r="F51" s="68"/>
      <c r="I51" s="62"/>
      <c r="K51" s="60"/>
      <c r="M51" s="38" t="s">
        <v>620</v>
      </c>
      <c r="N51" s="58" t="s">
        <v>713</v>
      </c>
    </row>
    <row r="52" spans="6:14" x14ac:dyDescent="0.3">
      <c r="F52" s="68"/>
      <c r="I52" s="62"/>
      <c r="K52" s="60"/>
      <c r="M52" s="38" t="s">
        <v>620</v>
      </c>
      <c r="N52" s="58" t="s">
        <v>714</v>
      </c>
    </row>
    <row r="53" spans="6:14" x14ac:dyDescent="0.3">
      <c r="F53" s="68"/>
      <c r="I53" s="62"/>
      <c r="K53" s="60"/>
      <c r="M53" s="38" t="s">
        <v>620</v>
      </c>
      <c r="N53" s="58" t="s">
        <v>715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620</v>
      </c>
      <c r="N54" s="58" t="s">
        <v>716</v>
      </c>
    </row>
    <row r="55" spans="6:14" ht="15" thickBot="1" x14ac:dyDescent="0.35">
      <c r="M55" s="155" t="s">
        <v>620</v>
      </c>
      <c r="N55" s="156" t="s">
        <v>618</v>
      </c>
    </row>
    <row r="56" spans="6:14" x14ac:dyDescent="0.3">
      <c r="M56" s="199" t="s">
        <v>604</v>
      </c>
      <c r="N56" s="200" t="s">
        <v>220</v>
      </c>
    </row>
    <row r="57" spans="6:14" x14ac:dyDescent="0.3">
      <c r="M57" s="199" t="s">
        <v>604</v>
      </c>
      <c r="N57" s="200" t="s">
        <v>223</v>
      </c>
    </row>
    <row r="58" spans="6:14" x14ac:dyDescent="0.3">
      <c r="M58" s="199" t="s">
        <v>604</v>
      </c>
      <c r="N58" s="200" t="s">
        <v>90</v>
      </c>
    </row>
    <row r="59" spans="6:14" x14ac:dyDescent="0.3">
      <c r="M59" s="199" t="s">
        <v>604</v>
      </c>
      <c r="N59" s="201" t="s">
        <v>717</v>
      </c>
    </row>
    <row r="60" spans="6:14" x14ac:dyDescent="0.3">
      <c r="M60" s="199" t="s">
        <v>604</v>
      </c>
      <c r="N60" s="202" t="s">
        <v>389</v>
      </c>
    </row>
    <row r="61" spans="6:14" x14ac:dyDescent="0.3">
      <c r="M61" s="199" t="s">
        <v>604</v>
      </c>
      <c r="N61" s="202" t="s">
        <v>718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719</v>
      </c>
      <c r="AF1" s="15" t="s">
        <v>720</v>
      </c>
      <c r="AG1" s="16" t="s">
        <v>35</v>
      </c>
    </row>
    <row r="2" spans="1:33" x14ac:dyDescent="0.3">
      <c r="A2" s="17" t="s">
        <v>47</v>
      </c>
      <c r="B2" s="3"/>
      <c r="C2" s="3" t="s">
        <v>721</v>
      </c>
      <c r="D2" s="18" t="s">
        <v>627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70</v>
      </c>
      <c r="R2" s="20"/>
      <c r="S2" s="20"/>
      <c r="T2" s="20" t="s">
        <v>57</v>
      </c>
      <c r="U2" s="20" t="s">
        <v>71</v>
      </c>
      <c r="V2" s="20"/>
      <c r="W2" s="20"/>
      <c r="X2" s="20"/>
      <c r="Y2" s="20"/>
      <c r="Z2" s="3" t="s">
        <v>60</v>
      </c>
      <c r="AA2" s="20"/>
      <c r="AB2" s="3" t="s">
        <v>118</v>
      </c>
      <c r="AC2" s="3"/>
      <c r="AD2" s="3" t="s">
        <v>85</v>
      </c>
      <c r="AE2" s="3"/>
      <c r="AF2" s="3" t="s">
        <v>722</v>
      </c>
      <c r="AG2" s="17" t="s">
        <v>62</v>
      </c>
    </row>
    <row r="3" spans="1:33" x14ac:dyDescent="0.3">
      <c r="A3" s="17" t="s">
        <v>65</v>
      </c>
      <c r="B3" s="3"/>
      <c r="C3" s="3" t="s">
        <v>488</v>
      </c>
      <c r="D3" s="18" t="s">
        <v>403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543</v>
      </c>
      <c r="R3" s="3"/>
      <c r="S3" s="3"/>
      <c r="T3" s="3" t="s">
        <v>183</v>
      </c>
      <c r="U3" s="3" t="s">
        <v>458</v>
      </c>
      <c r="V3" s="3"/>
      <c r="W3" s="3"/>
      <c r="X3" s="3"/>
      <c r="Y3" s="3"/>
      <c r="Z3" s="3" t="s">
        <v>607</v>
      </c>
      <c r="AA3" s="3"/>
      <c r="AB3" s="3" t="s">
        <v>587</v>
      </c>
      <c r="AC3" s="3"/>
      <c r="AD3" s="3" t="s">
        <v>73</v>
      </c>
      <c r="AE3" s="3"/>
      <c r="AF3" s="3" t="s">
        <v>723</v>
      </c>
      <c r="AG3" s="17" t="s">
        <v>610</v>
      </c>
    </row>
    <row r="4" spans="1:33" x14ac:dyDescent="0.3">
      <c r="A4" s="3"/>
      <c r="B4" s="3"/>
      <c r="C4" s="3" t="s">
        <v>724</v>
      </c>
      <c r="D4" s="18" t="s">
        <v>592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545</v>
      </c>
      <c r="R4" s="3"/>
      <c r="S4" s="3"/>
      <c r="T4" s="3" t="s">
        <v>609</v>
      </c>
      <c r="U4" s="3"/>
      <c r="V4" s="3"/>
      <c r="W4" s="3"/>
      <c r="X4" s="3"/>
      <c r="Y4" s="3"/>
      <c r="Z4" s="3" t="s">
        <v>61</v>
      </c>
      <c r="AA4" s="3"/>
      <c r="AB4" s="21" t="s">
        <v>110</v>
      </c>
      <c r="AC4" s="3"/>
      <c r="AD4" s="3" t="s">
        <v>377</v>
      </c>
      <c r="AE4" s="3"/>
      <c r="AF4" s="3" t="s">
        <v>725</v>
      </c>
      <c r="AG4" s="17" t="s">
        <v>65</v>
      </c>
    </row>
    <row r="5" spans="1:33" x14ac:dyDescent="0.3">
      <c r="M5" s="1"/>
      <c r="O5" s="1"/>
      <c r="Q5" s="22" t="s">
        <v>547</v>
      </c>
      <c r="AB5" s="3" t="s">
        <v>61</v>
      </c>
      <c r="AF5" t="s">
        <v>726</v>
      </c>
    </row>
    <row r="6" spans="1:33" x14ac:dyDescent="0.3">
      <c r="M6" s="1"/>
      <c r="O6" s="1"/>
      <c r="Q6" s="23" t="s">
        <v>549</v>
      </c>
      <c r="AF6" t="s">
        <v>727</v>
      </c>
    </row>
    <row r="7" spans="1:33" x14ac:dyDescent="0.3">
      <c r="M7" s="1"/>
      <c r="O7" s="1"/>
      <c r="Q7" s="23" t="s">
        <v>551</v>
      </c>
      <c r="AF7" t="s">
        <v>728</v>
      </c>
    </row>
    <row r="8" spans="1:33" x14ac:dyDescent="0.3">
      <c r="M8" s="1"/>
      <c r="O8" s="1"/>
      <c r="Q8" s="23" t="s">
        <v>553</v>
      </c>
      <c r="AF8" t="s">
        <v>729</v>
      </c>
    </row>
    <row r="9" spans="1:33" x14ac:dyDescent="0.3">
      <c r="M9" s="1"/>
      <c r="O9" s="1"/>
      <c r="Q9" s="23" t="s">
        <v>554</v>
      </c>
      <c r="AF9" t="s">
        <v>730</v>
      </c>
    </row>
    <row r="10" spans="1:33" x14ac:dyDescent="0.3">
      <c r="M10" s="1"/>
      <c r="O10" s="1"/>
      <c r="Q10" s="23" t="s">
        <v>556</v>
      </c>
      <c r="AF10" t="s">
        <v>731</v>
      </c>
      <c r="AG10" t="s">
        <v>732</v>
      </c>
    </row>
    <row r="11" spans="1:33" x14ac:dyDescent="0.3">
      <c r="M11" s="1"/>
      <c r="O11" s="1"/>
      <c r="Q11" s="23" t="s">
        <v>557</v>
      </c>
      <c r="AF11" t="s">
        <v>733</v>
      </c>
    </row>
    <row r="12" spans="1:33" x14ac:dyDescent="0.3">
      <c r="M12" s="1"/>
      <c r="O12" s="1"/>
      <c r="Q12" s="23" t="s">
        <v>558</v>
      </c>
    </row>
    <row r="13" spans="1:33" x14ac:dyDescent="0.3">
      <c r="M13" s="1"/>
      <c r="O13" s="1"/>
      <c r="Q13" s="23" t="s">
        <v>559</v>
      </c>
    </row>
    <row r="14" spans="1:33" x14ac:dyDescent="0.3">
      <c r="M14" s="1"/>
      <c r="O14" s="1"/>
      <c r="Q14" s="23" t="s">
        <v>560</v>
      </c>
    </row>
    <row r="15" spans="1:33" x14ac:dyDescent="0.3">
      <c r="M15" s="1"/>
      <c r="O15" s="1"/>
      <c r="Q15" s="23" t="s">
        <v>56</v>
      </c>
    </row>
    <row r="16" spans="1:33" x14ac:dyDescent="0.3">
      <c r="M16" s="1"/>
      <c r="O16" s="1"/>
      <c r="Q16" s="23" t="s">
        <v>561</v>
      </c>
    </row>
    <row r="17" spans="13:33" x14ac:dyDescent="0.3">
      <c r="M17" s="1"/>
      <c r="O17" s="1"/>
      <c r="Q17" s="23" t="s">
        <v>562</v>
      </c>
      <c r="AF17" t="s">
        <v>734</v>
      </c>
    </row>
    <row r="18" spans="13:33" ht="43.2" x14ac:dyDescent="0.3">
      <c r="M18" s="1"/>
      <c r="O18" s="1"/>
      <c r="Q18" s="23" t="s">
        <v>563</v>
      </c>
      <c r="AF18" s="24" t="s">
        <v>720</v>
      </c>
      <c r="AG18" s="24" t="s">
        <v>600</v>
      </c>
    </row>
    <row r="19" spans="13:33" x14ac:dyDescent="0.3">
      <c r="M19" s="1"/>
      <c r="O19" s="1"/>
      <c r="Q19" s="23" t="s">
        <v>564</v>
      </c>
      <c r="AF19" t="s">
        <v>735</v>
      </c>
      <c r="AG19" t="s">
        <v>47</v>
      </c>
    </row>
    <row r="20" spans="13:33" x14ac:dyDescent="0.3">
      <c r="M20" s="1"/>
      <c r="O20" s="1"/>
      <c r="Q20" s="23" t="s">
        <v>565</v>
      </c>
      <c r="AF20" t="s">
        <v>736</v>
      </c>
      <c r="AG20" t="s">
        <v>65</v>
      </c>
    </row>
    <row r="21" spans="13:33" x14ac:dyDescent="0.3">
      <c r="M21" s="1"/>
      <c r="O21" s="1"/>
      <c r="Q21" s="23" t="s">
        <v>566</v>
      </c>
      <c r="AG21" t="s">
        <v>737</v>
      </c>
    </row>
    <row r="22" spans="13:33" x14ac:dyDescent="0.3">
      <c r="M22" s="1"/>
      <c r="O22" s="1"/>
      <c r="Q22" s="23" t="s">
        <v>567</v>
      </c>
    </row>
    <row r="23" spans="13:33" x14ac:dyDescent="0.3">
      <c r="M23" s="1"/>
      <c r="O23" s="1"/>
      <c r="Q23" s="23" t="s">
        <v>136</v>
      </c>
    </row>
    <row r="24" spans="13:33" x14ac:dyDescent="0.3">
      <c r="M24" s="1"/>
      <c r="O24" s="1"/>
      <c r="Q24" s="23" t="s">
        <v>457</v>
      </c>
    </row>
    <row r="25" spans="13:33" x14ac:dyDescent="0.3">
      <c r="M25" s="1"/>
      <c r="O25" s="1"/>
      <c r="Q25" s="23" t="s">
        <v>526</v>
      </c>
    </row>
    <row r="26" spans="13:33" x14ac:dyDescent="0.3">
      <c r="M26" s="1"/>
      <c r="O26" s="1"/>
      <c r="Q26" s="23" t="s">
        <v>568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3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Ismael Milhomem</cp:lastModifiedBy>
  <cp:revision/>
  <dcterms:created xsi:type="dcterms:W3CDTF">2025-04-02T18:38:02Z</dcterms:created>
  <dcterms:modified xsi:type="dcterms:W3CDTF">2026-06-18T14:14:12Z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