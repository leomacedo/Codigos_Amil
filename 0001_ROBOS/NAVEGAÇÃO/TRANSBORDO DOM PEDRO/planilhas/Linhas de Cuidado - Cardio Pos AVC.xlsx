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386" documentId="8_{4ED2CA62-C521-45AF-BB36-5860814BF344}" xr6:coauthVersionLast="47" xr6:coauthVersionMax="47" xr10:uidLastSave="{01506EC2-6414-4793-8618-0D9196C2A498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2" i="32" l="1"/>
  <c r="AN62" i="32"/>
  <c r="AO62" i="32"/>
  <c r="AP62" i="32"/>
  <c r="AU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T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T56" i="32" s="1"/>
  <c r="AP56" i="32"/>
  <c r="AO56" i="32"/>
  <c r="AN56" i="32"/>
  <c r="AM56" i="32"/>
  <c r="AU55" i="32"/>
  <c r="AQ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T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R48" i="32" s="1"/>
  <c r="AP48" i="32"/>
  <c r="AO48" i="32"/>
  <c r="AN48" i="32"/>
  <c r="AM48" i="32"/>
  <c r="AU47" i="32"/>
  <c r="AR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T44" i="32" s="1"/>
  <c r="AP44" i="32"/>
  <c r="AO44" i="32"/>
  <c r="AN44" i="32"/>
  <c r="AM44" i="32"/>
  <c r="AU43" i="32"/>
  <c r="AT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R40" i="32" s="1"/>
  <c r="AP40" i="32"/>
  <c r="AO40" i="32"/>
  <c r="AN40" i="32"/>
  <c r="AM40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T36" i="32" s="1"/>
  <c r="AP36" i="32"/>
  <c r="AO36" i="32"/>
  <c r="AN36" i="32"/>
  <c r="AM36" i="32"/>
  <c r="AU35" i="32"/>
  <c r="AT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Q32" i="32" s="1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S28" i="32" s="1"/>
  <c r="AP28" i="32"/>
  <c r="AO28" i="32"/>
  <c r="AN28" i="32"/>
  <c r="AM28" i="32"/>
  <c r="AU27" i="32"/>
  <c r="AT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Q24" i="32" s="1"/>
  <c r="AP24" i="32"/>
  <c r="AO24" i="32"/>
  <c r="AN24" i="32"/>
  <c r="AM24" i="32"/>
  <c r="AU23" i="32"/>
  <c r="AP23" i="32"/>
  <c r="AO23" i="32"/>
  <c r="AN23" i="32"/>
  <c r="AM23" i="32"/>
  <c r="AU22" i="32"/>
  <c r="AS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S20" i="32" s="1"/>
  <c r="AP20" i="32"/>
  <c r="AO20" i="32"/>
  <c r="AN20" i="32"/>
  <c r="AM20" i="32"/>
  <c r="AU19" i="32"/>
  <c r="AT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Q16" i="32" s="1"/>
  <c r="AP16" i="32"/>
  <c r="AO16" i="32"/>
  <c r="AN16" i="32"/>
  <c r="AM16" i="32"/>
  <c r="AU15" i="32"/>
  <c r="AR15" i="32" s="1"/>
  <c r="AP15" i="32"/>
  <c r="AO15" i="32"/>
  <c r="AN15" i="32"/>
  <c r="AM15" i="32"/>
  <c r="AU14" i="32"/>
  <c r="AS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P8" i="32"/>
  <c r="AO8" i="32"/>
  <c r="AN8" i="32"/>
  <c r="AM8" i="32"/>
  <c r="AU7" i="32"/>
  <c r="AR7" i="32" s="1"/>
  <c r="AP7" i="32"/>
  <c r="AO7" i="32"/>
  <c r="AN7" i="32"/>
  <c r="AM7" i="32"/>
  <c r="AU6" i="32"/>
  <c r="AS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Q62" i="32" l="1"/>
  <c r="AR62" i="32"/>
  <c r="AS62" i="32"/>
  <c r="AT62" i="32"/>
  <c r="AS58" i="32"/>
  <c r="AR58" i="32"/>
  <c r="AQ58" i="32"/>
  <c r="AS40" i="32"/>
  <c r="AS57" i="32"/>
  <c r="AQ56" i="32"/>
  <c r="AT49" i="32"/>
  <c r="AS49" i="32"/>
  <c r="AR49" i="32"/>
  <c r="AQ44" i="32"/>
  <c r="AS34" i="32"/>
  <c r="AQ34" i="32"/>
  <c r="AT33" i="32"/>
  <c r="AQ33" i="32"/>
  <c r="AS25" i="32"/>
  <c r="AR16" i="32"/>
  <c r="AT14" i="32"/>
  <c r="AQ10" i="32"/>
  <c r="AS7" i="32"/>
  <c r="AS56" i="32"/>
  <c r="AR56" i="32"/>
  <c r="AQ20" i="32"/>
  <c r="AT9" i="32"/>
  <c r="AQ9" i="32"/>
  <c r="AQ60" i="32"/>
  <c r="AR59" i="32"/>
  <c r="AQ59" i="32"/>
  <c r="AQ57" i="32"/>
  <c r="AQ49" i="32"/>
  <c r="AQ42" i="32"/>
  <c r="AS32" i="32"/>
  <c r="AR24" i="32"/>
  <c r="AT17" i="32"/>
  <c r="AS17" i="32"/>
  <c r="AR17" i="32"/>
  <c r="AQ17" i="32"/>
  <c r="AS8" i="32"/>
  <c r="AT4" i="32"/>
  <c r="AR50" i="32"/>
  <c r="AR18" i="32"/>
  <c r="AT12" i="32"/>
  <c r="AQ12" i="32"/>
  <c r="AT8" i="32"/>
  <c r="AR8" i="32"/>
  <c r="AT57" i="32"/>
  <c r="AT55" i="32"/>
  <c r="AS55" i="32"/>
  <c r="AR55" i="32"/>
  <c r="AQ52" i="32"/>
  <c r="AR42" i="32"/>
  <c r="AT39" i="32"/>
  <c r="AQ36" i="32"/>
  <c r="AR35" i="32"/>
  <c r="AQ35" i="32"/>
  <c r="AR32" i="32"/>
  <c r="AR27" i="32"/>
  <c r="AS23" i="32"/>
  <c r="AQ23" i="32"/>
  <c r="AT22" i="32"/>
  <c r="AS18" i="32"/>
  <c r="AQ18" i="32"/>
  <c r="AS16" i="32"/>
  <c r="AT15" i="32"/>
  <c r="AS9" i="32"/>
  <c r="AT6" i="32"/>
  <c r="AS47" i="32"/>
  <c r="AS33" i="32"/>
  <c r="AT25" i="32"/>
  <c r="AR25" i="32"/>
  <c r="AT23" i="32"/>
  <c r="AR23" i="32"/>
  <c r="AT20" i="32"/>
  <c r="AQ15" i="32"/>
  <c r="AS10" i="32"/>
  <c r="AR51" i="32"/>
  <c r="AQ51" i="32"/>
  <c r="AQ43" i="32"/>
  <c r="AR33" i="32"/>
  <c r="AT31" i="32"/>
  <c r="AS31" i="32"/>
  <c r="AR31" i="32"/>
  <c r="AQ31" i="32"/>
  <c r="AT28" i="32"/>
  <c r="AQ28" i="32"/>
  <c r="AR26" i="32"/>
  <c r="AQ7" i="32"/>
  <c r="AR57" i="32"/>
  <c r="AS50" i="32"/>
  <c r="AQ50" i="32"/>
  <c r="AS48" i="32"/>
  <c r="AT41" i="32"/>
  <c r="AR41" i="32"/>
  <c r="AQ41" i="32"/>
  <c r="AR19" i="32"/>
  <c r="AS15" i="32"/>
  <c r="AR9" i="32"/>
  <c r="AT47" i="32"/>
  <c r="AS41" i="32"/>
  <c r="AT30" i="32"/>
  <c r="AS26" i="32"/>
  <c r="AQ26" i="32"/>
  <c r="AS24" i="32"/>
  <c r="AQ11" i="32"/>
  <c r="AT7" i="32"/>
  <c r="AR43" i="32"/>
  <c r="AS42" i="32"/>
  <c r="AS39" i="32"/>
  <c r="AR34" i="32"/>
  <c r="AQ25" i="32"/>
  <c r="AR10" i="32"/>
  <c r="AQ8" i="32"/>
  <c r="AT16" i="32"/>
  <c r="AQ19" i="32"/>
  <c r="AT24" i="32"/>
  <c r="AQ27" i="32"/>
  <c r="AT32" i="32"/>
  <c r="AT40" i="32"/>
  <c r="AT48" i="32"/>
  <c r="AQ3" i="32"/>
  <c r="AR3" i="32"/>
  <c r="AQ4" i="32"/>
  <c r="AS3" i="32"/>
  <c r="AR4" i="32"/>
  <c r="AQ5" i="32"/>
  <c r="AS11" i="32"/>
  <c r="AR12" i="32"/>
  <c r="AQ13" i="32"/>
  <c r="AS19" i="32"/>
  <c r="AR20" i="32"/>
  <c r="AQ21" i="32"/>
  <c r="AS27" i="32"/>
  <c r="AR28" i="32"/>
  <c r="AQ29" i="32"/>
  <c r="AS35" i="32"/>
  <c r="AR36" i="32"/>
  <c r="AQ37" i="32"/>
  <c r="AS43" i="32"/>
  <c r="AR44" i="32"/>
  <c r="AQ45" i="32"/>
  <c r="AS51" i="32"/>
  <c r="AR52" i="32"/>
  <c r="AQ53" i="32"/>
  <c r="AS59" i="32"/>
  <c r="AR60" i="32"/>
  <c r="AQ61" i="32"/>
  <c r="AR11" i="32"/>
  <c r="AR5" i="32"/>
  <c r="AQ6" i="32"/>
  <c r="AR13" i="32"/>
  <c r="AQ14" i="32"/>
  <c r="AR21" i="32"/>
  <c r="AQ22" i="32"/>
  <c r="AR29" i="32"/>
  <c r="AQ30" i="32"/>
  <c r="AS36" i="32"/>
  <c r="AR37" i="32"/>
  <c r="AQ38" i="32"/>
  <c r="AS44" i="32"/>
  <c r="AR45" i="32"/>
  <c r="AQ46" i="32"/>
  <c r="AS52" i="32"/>
  <c r="AR53" i="32"/>
  <c r="AQ54" i="32"/>
  <c r="AS60" i="32"/>
  <c r="AR61" i="32"/>
  <c r="AS5" i="32"/>
  <c r="AR6" i="32"/>
  <c r="AS13" i="32"/>
  <c r="AR14" i="32"/>
  <c r="AS21" i="32"/>
  <c r="AR22" i="32"/>
  <c r="AS29" i="32"/>
  <c r="AR30" i="32"/>
  <c r="AS37" i="32"/>
  <c r="AR38" i="32"/>
  <c r="AQ39" i="32"/>
  <c r="AS45" i="32"/>
  <c r="AR46" i="32"/>
  <c r="AQ47" i="32"/>
  <c r="AS53" i="32"/>
  <c r="AR54" i="32"/>
  <c r="AS61" i="32"/>
  <c r="AS38" i="32"/>
  <c r="AQ40" i="32"/>
  <c r="AS46" i="32"/>
  <c r="AQ48" i="32"/>
  <c r="AS54" i="32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L106" i="54" l="1"/>
  <c r="T15" i="54"/>
  <c r="X24" i="54"/>
  <c r="L86" i="54"/>
  <c r="L92" i="54"/>
  <c r="C50" i="54"/>
  <c r="L104" i="54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K2" i="49" s="1"/>
  <c r="AM2" i="32"/>
  <c r="AN2" i="32"/>
  <c r="F2" i="49" a="1"/>
  <c r="F2" i="49" s="1"/>
  <c r="L111" i="54" l="1"/>
  <c r="H47" i="54"/>
  <c r="F86" i="54"/>
  <c r="E86" i="54"/>
  <c r="G92" i="54"/>
  <c r="G106" i="54"/>
  <c r="C106" i="54"/>
  <c r="D86" i="54"/>
  <c r="F92" i="54"/>
  <c r="F106" i="54"/>
  <c r="C92" i="54"/>
  <c r="G86" i="54"/>
  <c r="E92" i="54"/>
  <c r="E106" i="54"/>
  <c r="D92" i="54"/>
  <c r="D106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P26" i="54"/>
  <c r="Y16" i="54"/>
  <c r="H106" i="54" l="1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<sst xmlns="http://schemas.openxmlformats.org/spreadsheetml/2006/main" count="1914" uniqueCount="510">
  <si>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</si>
  <si>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</si>
  <si>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</si>
  <si>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</si>
  <si>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</si>
  <si>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</si>
  <si>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</si>
  <si>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</si>
  <si>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</si>
  <si>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</si>
  <si>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</si>
  <si>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</si>
  <si>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</si>
  <si>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</si>
  <si>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</si>
  <si>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</si>
  <si>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</si>
  <si>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</si>
  <si>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</si>
  <si>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</si>
  <si>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</si>
  <si>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</si>
  <si>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</si>
  <si>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</si>
  <si>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</si>
  <si>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</si>
  <si>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</si>
  <si>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</si>
  <si>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</si>
  <si>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</si>
  <si>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</si>
  <si>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</si>
  <si>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</si>
  <si>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</si>
  <si>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</si>
  <si>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</si>
  <si>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</si>
  <si>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</si>
  <si>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</si>
  <si>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</si>
  <si>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</si>
  <si>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</si>
  <si>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</si>
  <si>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</si>
  <si>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</si>
  <si>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</si>
  <si>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</si>
  <si>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</si>
  <si>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</si>
  <si>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 xml:space="preserve">Forms </t>
  </si>
  <si>
    <t>GILVAN CARNEIRO</t>
  </si>
  <si>
    <t>M</t>
  </si>
  <si>
    <t>SP</t>
  </si>
  <si>
    <t>SAO PAULO</t>
  </si>
  <si>
    <t>Av Carlos Lacerda, 3232 - Pirajussara CEP 05789001 Sao Paulo SP</t>
  </si>
  <si>
    <t>11958997396</t>
  </si>
  <si>
    <t>Caio</t>
  </si>
  <si>
    <t>1. Aceitou o programa</t>
  </si>
  <si>
    <t>Contato Com Sucesso</t>
  </si>
  <si>
    <t>Ativo</t>
  </si>
  <si>
    <t>Não se aplica</t>
  </si>
  <si>
    <t>AVC RECENTE</t>
  </si>
  <si>
    <t>Agendada</t>
  </si>
  <si>
    <t>Realizada</t>
  </si>
  <si>
    <t>Pós-AVC</t>
  </si>
  <si>
    <t>ANTONIO SOBRINHO DA SILVA</t>
  </si>
  <si>
    <t>R Jorge Kobayashi, 72 - Colinas De Itapevi CEP 06655810 Itapevi SP</t>
  </si>
  <si>
    <t>11998978476</t>
  </si>
  <si>
    <t>3. Recusa por falta de interesse</t>
  </si>
  <si>
    <t>Fora da Linha</t>
  </si>
  <si>
    <t>27/12/2026 - Falo com Alessandra - Filha // Desligou de forma abrupa 12/03</t>
  </si>
  <si>
    <t>Desflagado</t>
  </si>
  <si>
    <t>CAZUMI JOSE HIRATA</t>
  </si>
  <si>
    <t>Av Jabaquara 1195, 1195 - Mirandopolis CEP 04045970 Sao Paulo SP</t>
  </si>
  <si>
    <t>11995061936</t>
  </si>
  <si>
    <t>FALO COM A SRA LUCI - ESPOSA -AVC RECENTE - NÃO ATENDE MAIS</t>
  </si>
  <si>
    <t>PAULO XAVIER DOS SANTOS</t>
  </si>
  <si>
    <t>ND</t>
  </si>
  <si>
    <t>11962088683</t>
  </si>
  <si>
    <t>NÃO DÁ SEGUIMENTO</t>
  </si>
  <si>
    <t xml:space="preserve">Baixa </t>
  </si>
  <si>
    <t>Interno - Amil Geral</t>
  </si>
  <si>
    <t>Triggers</t>
  </si>
  <si>
    <t>NEUSA DUTRA GOMES</t>
  </si>
  <si>
    <t>F</t>
  </si>
  <si>
    <t>PLANALTO PAULISTA</t>
  </si>
  <si>
    <t>600</t>
  </si>
  <si>
    <t>11-996001590; 11-996513083</t>
  </si>
  <si>
    <t>FALO COM A CINTIA</t>
  </si>
  <si>
    <t>Aguardando Agendamento</t>
  </si>
  <si>
    <t>MAURO GOUVEA</t>
  </si>
  <si>
    <t>VILA GUMERCINDO</t>
  </si>
  <si>
    <t>500</t>
  </si>
  <si>
    <t>11-32099067; 11-998012413</t>
  </si>
  <si>
    <t>POSSÍVEL AVC HÁ 20 DIAS - LIGAR EM 20 DIAS</t>
  </si>
  <si>
    <t>ISA ARAUJO FIGARELLA</t>
  </si>
  <si>
    <t>JARDIM INGA</t>
  </si>
  <si>
    <t>50</t>
  </si>
  <si>
    <t>11-55133065; 11-54154782; 11-954154782</t>
  </si>
  <si>
    <t>AVC HÁ 9 ANOS E AIT HÁ 3 MESES</t>
  </si>
  <si>
    <t>JULIANA AGUIAR ALVES</t>
  </si>
  <si>
    <t>VILA MARARI</t>
  </si>
  <si>
    <t>60</t>
  </si>
  <si>
    <t>11-969491797</t>
  </si>
  <si>
    <t>Giovanna</t>
  </si>
  <si>
    <t xml:space="preserve">Média </t>
  </si>
  <si>
    <t>Confirmado</t>
  </si>
  <si>
    <t>JONAS FRANCISCO PIRES</t>
  </si>
  <si>
    <t>Avenida Padre Antonio Jose Dos Santos, 296 - Cidade Monçoes CEP 04563000 Sao Paulo SP</t>
  </si>
  <si>
    <t>11947462849</t>
  </si>
  <si>
    <t>VOZ FEMININA RESPONDIA APENAS NÃO PARA AS PERGUNTAS</t>
  </si>
  <si>
    <t>YON WOOK PARK</t>
  </si>
  <si>
    <t>R Loureiro Da Cruz, 11 - Aclimaçao CEP 01529020 Sao Paulo SP</t>
  </si>
  <si>
    <t>11987630172</t>
  </si>
  <si>
    <t>DESLIGOU DE FORMA ABRUPTA</t>
  </si>
  <si>
    <t>MARIO CANDIDO</t>
  </si>
  <si>
    <t>R Francisco Alves, 721 - Jardim Sonia Maria CEP 09380360 Maua SP</t>
  </si>
  <si>
    <t>11985495973</t>
  </si>
  <si>
    <t>6. Contato sem sucesso</t>
  </si>
  <si>
    <t>Contato Sem Sucesso</t>
  </si>
  <si>
    <t>CHAMADA BLOQUEADA</t>
  </si>
  <si>
    <t>VALDECI APARECIDO BASSO</t>
  </si>
  <si>
    <t>11959020743</t>
  </si>
  <si>
    <t>NÃO ATENDE</t>
  </si>
  <si>
    <t>Pendente</t>
  </si>
  <si>
    <t>RINAUDA MARTA NOMURA</t>
  </si>
  <si>
    <t>R OSIRIS MAGALHAES DE ALMEIDA, 725, Jardim Monte Kemel</t>
  </si>
  <si>
    <t>11993929169</t>
  </si>
  <si>
    <t>Amil - Ud Cubatão Sp - Hospital Da Luz </t>
  </si>
  <si>
    <t>ROBERTA ELOISA DE AZEVEDO</t>
  </si>
  <si>
    <t>11974058870</t>
  </si>
  <si>
    <t>OCUPADA - AG. DISPONIBILIADE - Hemorragia subaracnoidea</t>
  </si>
  <si>
    <t>PEDRINA DEDES FERREIRA</t>
  </si>
  <si>
    <t>ANTONIO ANGELO CUZZIOL, 41, TABOÃO, SÃO BERNARDO DO CAMPO</t>
  </si>
  <si>
    <t>11968981957</t>
  </si>
  <si>
    <t>4. Inelegível fora do escopo</t>
  </si>
  <si>
    <t>JÁ DE ALTA DA FISIO</t>
  </si>
  <si>
    <t>Não</t>
  </si>
  <si>
    <t xml:space="preserve">Navegação </t>
  </si>
  <si>
    <t>Captado pela Amil/Call Center</t>
  </si>
  <si>
    <t>RITA DE CASSIA BANDEIRA REIMBERG</t>
  </si>
  <si>
    <t>TU DE COLUNA - CONFIRMADO AVC //  2021 E 2023 (TROMBOFILIAS)</t>
  </si>
  <si>
    <t>ANTONIO JOSE MILANI</t>
  </si>
  <si>
    <t>11976243144</t>
  </si>
  <si>
    <t>ANTONIO ANGELO BROGGIO</t>
  </si>
  <si>
    <t>11981446100</t>
  </si>
  <si>
    <t>INSTITUCIONALZIADO</t>
  </si>
  <si>
    <t>LUIZ LEOMAR DE SOUZA</t>
  </si>
  <si>
    <t>11982331392</t>
  </si>
  <si>
    <t>NEGA AVC</t>
  </si>
  <si>
    <t>EDILIANA DE ANDRADE SOUZA</t>
  </si>
  <si>
    <t xml:space="preserve">há dois anos, segue com hemiparesia. </t>
  </si>
  <si>
    <t>MAURO COSTA BITENCOURT</t>
  </si>
  <si>
    <t>PARQUE SANTO ANTONIO</t>
  </si>
  <si>
    <t>11961520901</t>
  </si>
  <si>
    <t>AVC - 01/02/2026 - APARENTEMENTE DISLALIA</t>
  </si>
  <si>
    <t>Migrou do Fluxo de Negativa</t>
  </si>
  <si>
    <t>Maria Aparecida Castelli</t>
  </si>
  <si>
    <t xml:space="preserve">(11) 9958-49371 </t>
  </si>
  <si>
    <t>Hellen</t>
  </si>
  <si>
    <t>Marlene Aparecida Cambili Almazan</t>
  </si>
  <si>
    <t>(11) 9994-38848  (11) 9640-58575</t>
  </si>
  <si>
    <t>JOSEFINA PEREIRA DE ANDRADE</t>
  </si>
  <si>
    <t xml:space="preserve">TABOAO </t>
  </si>
  <si>
    <t>11971270511</t>
  </si>
  <si>
    <t>EDILEUSA CELESTINO DE ALMEIDA</t>
  </si>
  <si>
    <t xml:space="preserve">VILA MARARI </t>
  </si>
  <si>
    <t>FEV/2026 - AVC // DISLALIA // escala ok</t>
  </si>
  <si>
    <t>LEIA OLIVEIRA</t>
  </si>
  <si>
    <t xml:space="preserve">VILA SOUZA </t>
  </si>
  <si>
    <t>FILHA Caroline - AVC 02/26 - Dislalia e sequela motora - INSTITUCIONALIZADA</t>
  </si>
  <si>
    <t>ROSANI BRIGIDA DE LANNA BATISTA</t>
  </si>
  <si>
    <t xml:space="preserve">CENTRO </t>
  </si>
  <si>
    <t xml:space="preserve">FALO COM ESPOSO - Não quer e não me deixou explicar </t>
  </si>
  <si>
    <t>MARCOS BELTRAN</t>
  </si>
  <si>
    <t>PONTE GRANDE</t>
  </si>
  <si>
    <t>RELATOU ESTAR BEM VIA MENSAGEM, NÃO DEU CONTINUIDADE</t>
  </si>
  <si>
    <t xml:space="preserve">Não realizada - Falta </t>
  </si>
  <si>
    <t>JOSE ANTONIO MARTINEZ Y PEREZ</t>
  </si>
  <si>
    <t>EM PLATO</t>
  </si>
  <si>
    <t>IDALICIO FERREIRA OLIVEIRA</t>
  </si>
  <si>
    <t xml:space="preserve">PARQUE RESIDENCIAL COCAIA </t>
  </si>
  <si>
    <t>LURDES (FILHA) - AVC HÁ 8 DIAS - DISLALIA LEVE</t>
  </si>
  <si>
    <t>NELSON FANTIM</t>
  </si>
  <si>
    <t>CIDADE PATRIARCA</t>
  </si>
  <si>
    <t>FALO COM IVONE - ESPOSA / HEMIPLEGIA BILATERAL - 01/03 e 02/03</t>
  </si>
  <si>
    <t>JOAO LUIZ DE OLIVEIRA JUNIOR</t>
  </si>
  <si>
    <t>CONJUNTO RESIDENCIAL JOSE BONIFACIO</t>
  </si>
  <si>
    <t>16.03.2026</t>
  </si>
  <si>
    <t xml:space="preserve"> HEMIP. A DIR. + DISLALIA - FISIO 2 X SEMANA // SEM FONO POR ORA</t>
  </si>
  <si>
    <t>GSC</t>
  </si>
  <si>
    <t>JOSÉ DANTAS DA SILVA</t>
  </si>
  <si>
    <t xml:space="preserve">GUARULHOS </t>
  </si>
  <si>
    <t>APARECIDA DA SILVA PEREIRA</t>
  </si>
  <si>
    <t>11974093645</t>
  </si>
  <si>
    <t>Externo - Geral</t>
  </si>
  <si>
    <t>ELIU YOSHIMITSU MATSUTANI</t>
  </si>
  <si>
    <t>MOGI DAS CRUZES</t>
  </si>
  <si>
    <t>11975061669</t>
  </si>
  <si>
    <t>06/05/2026 14:20</t>
  </si>
  <si>
    <t>LUIZ VIEIRA DA SILVA</t>
  </si>
  <si>
    <t>VILA PROGRESSO (ZONA LESTE)</t>
  </si>
  <si>
    <t>AKIKO KATSUKI YANAGUIMOTO</t>
  </si>
  <si>
    <t>VILA BRASILINA</t>
  </si>
  <si>
    <t>AMANDIO FERREIRA RAINHO</t>
  </si>
  <si>
    <t>JARDIM MONTE KEMEL</t>
  </si>
  <si>
    <t>16/04/2026 30/04 05/05</t>
  </si>
  <si>
    <t>PATRICIA KELLY FERNANDES DOS SANTOS</t>
  </si>
  <si>
    <t>Jardim Novo Pantanal</t>
  </si>
  <si>
    <t>HELVECIO JOSE SANT ANNA</t>
  </si>
  <si>
    <t>Jardim Danfer</t>
  </si>
  <si>
    <t>ROSANGELA GONCALVES VIEIRA DE SA</t>
  </si>
  <si>
    <t>VILA PARANAGUA</t>
  </si>
  <si>
    <t xml:space="preserve">Viva Bem </t>
  </si>
  <si>
    <t>JOSE VIEIRA GOMES</t>
  </si>
  <si>
    <t>VILA FLORIDA</t>
  </si>
  <si>
    <t xml:space="preserve">Alta </t>
  </si>
  <si>
    <t>RAIMUNDA MARIA SALES</t>
  </si>
  <si>
    <t>VILA MARIANA</t>
  </si>
  <si>
    <t>LUCIN KOUYOUMJIAM</t>
  </si>
  <si>
    <t>PARADA INGLESA</t>
  </si>
  <si>
    <t>LIDIANE DE JESUS RODRIGUES</t>
  </si>
  <si>
    <t xml:space="preserve">291.818.638-45 </t>
  </si>
  <si>
    <t xml:space="preserve">TABOAO DA SERRA </t>
  </si>
  <si>
    <t xml:space="preserve">em março </t>
  </si>
  <si>
    <t>DANIEL SILVA DE ASSUNCAO FABIAO ALVES</t>
  </si>
  <si>
    <t xml:space="preserve">316.716.888-99 </t>
  </si>
  <si>
    <t xml:space="preserve">VILA DO CASTELO </t>
  </si>
  <si>
    <t>04/05/2026 11:20</t>
  </si>
  <si>
    <t>EDSON CARLOS DA SILVA</t>
  </si>
  <si>
    <t>341.188.648-00</t>
  </si>
  <si>
    <t>UNIAO DE VILA NOVA</t>
  </si>
  <si>
    <t>ALEXANDRE GOMES DOS SANTOS</t>
  </si>
  <si>
    <t>BALNEARIO MAR PAULISTA</t>
  </si>
  <si>
    <t xml:space="preserve">Sim </t>
  </si>
  <si>
    <t>RITA BETANIA DINIZ PEREIRA</t>
  </si>
  <si>
    <t>CIDADE SOBERANA</t>
  </si>
  <si>
    <t>11961622016</t>
  </si>
  <si>
    <t>JOVINO RUBIM DE TOLEDO</t>
  </si>
  <si>
    <t>SE</t>
  </si>
  <si>
    <t>11945905786 / 11998675869 / 1131151629</t>
  </si>
  <si>
    <t>LILIAM DO CARMO ASSOLI SILVA</t>
  </si>
  <si>
    <t>VILA SAO JOAO</t>
  </si>
  <si>
    <t>11975517801 / 11992842590 / 11975517801</t>
  </si>
  <si>
    <t>ANTONIO EMILIO GLIBER</t>
  </si>
  <si>
    <t>944.640.228-04</t>
  </si>
  <si>
    <t>SAO BERNARDO DO CAMPO</t>
  </si>
  <si>
    <t>INDEPENDENCIA</t>
  </si>
  <si>
    <t>MARIA LUIZA CONCEICAO PINTO</t>
  </si>
  <si>
    <t>917.976.838-53</t>
  </si>
  <si>
    <t>GUARAPIRANGA</t>
  </si>
  <si>
    <t>04/05/2026 11:00</t>
  </si>
  <si>
    <t>MARTHA AYAKO NAKAYAMA</t>
  </si>
  <si>
    <t>380.921.237-72</t>
  </si>
  <si>
    <t>JOSE MANUEL DA SILVA MARTINS</t>
  </si>
  <si>
    <t>236.065.417-91</t>
  </si>
  <si>
    <t>RAIMUNDO FERNANDES DA SILVA</t>
  </si>
  <si>
    <t>012.235.518-06</t>
  </si>
  <si>
    <t xml:space="preserve">DIADEMA </t>
  </si>
  <si>
    <t>MARIA TERESA J TABUCO</t>
  </si>
  <si>
    <t>VILA BUENOS AIRES</t>
  </si>
  <si>
    <t>11982203439; 11983304758; 11932957812</t>
  </si>
  <si>
    <t>IZILDO GREGORIO JARDIM</t>
  </si>
  <si>
    <t>VILA GUARANI</t>
  </si>
  <si>
    <t>11-997321601; 11-50171402</t>
  </si>
  <si>
    <t>NILDO DE SOUZA BRITO</t>
  </si>
  <si>
    <t>892.612.325-15</t>
  </si>
  <si>
    <t>DIADEMA</t>
  </si>
  <si>
    <t>CENTRO</t>
  </si>
  <si>
    <t>7. Em fase de captação</t>
  </si>
  <si>
    <t>Inativo</t>
  </si>
  <si>
    <t>FELIPE ROSA</t>
  </si>
  <si>
    <t>386.724.560-68</t>
  </si>
  <si>
    <t>TATUAPE</t>
  </si>
  <si>
    <t>Captação + Navegação</t>
  </si>
  <si>
    <t>PAULO FRANCISCO VERA CRUZ</t>
  </si>
  <si>
    <t>994.167.868-53</t>
  </si>
  <si>
    <t>IEDA VALQUIRIA DA CUNHA SOUZA</t>
  </si>
  <si>
    <t>283.868.738-76</t>
  </si>
  <si>
    <t>VERA LUCIA DA SILVA E SILVA</t>
  </si>
  <si>
    <t>185.494.308-11</t>
  </si>
  <si>
    <t>DURLEI TEIXEIRA DE LIMA</t>
  </si>
  <si>
    <t>JARDIM ALZIRA</t>
  </si>
  <si>
    <t>SAULO DO AMOR DIVINO WEIGERT</t>
  </si>
  <si>
    <t>218.181.808-80</t>
  </si>
  <si>
    <t>BARRA FUNDA</t>
  </si>
  <si>
    <t>Forms</t>
  </si>
  <si>
    <t>WELHINGTON VIANA LIMA</t>
  </si>
  <si>
    <t>087.768.518-50</t>
  </si>
  <si>
    <t>VILA REGINA ( ZONA LESTE)</t>
  </si>
  <si>
    <t>SEBASTIAO NOGUEIRA DE LIMA</t>
  </si>
  <si>
    <t>994.741.318-72</t>
  </si>
  <si>
    <t>SERPA</t>
  </si>
  <si>
    <t>JUSCELINO SILVA PEREIRA</t>
  </si>
  <si>
    <t>086.289.668-11</t>
  </si>
  <si>
    <t>SITIO MORRO GRANDE</t>
  </si>
  <si>
    <t>CELSO ESTEVES MORON</t>
  </si>
  <si>
    <t>120.139.238-13</t>
  </si>
  <si>
    <t xml:space="preserve">ITAIM BIBI 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</si>
  <si>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</si>
  <si>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</si>
  <si>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</si>
  <si>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</si>
  <si>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</si>
  <si>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</si>
  <si>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</si>
  <si>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</si>
  <si>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</si>
  <si>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</si>
  <si>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</si>
  <si>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</si>
  <si>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</si>
  <si>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</si>
  <si>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</si>
  <si>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</si>
  <si>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</si>
  <si>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</si>
  <si>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</si>
  <si>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</si>
  <si>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</si>
  <si>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</si>
  <si>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</si>
  <si>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</si>
  <si>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</si>
  <si>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</si>
  <si>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</si>
  <si>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</si>
  <si>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</si>
  <si>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</si>
  <si>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</si>
  <si>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</si>
  <si>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</si>
  <si>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</si>
  <si>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</si>
  <si>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</si>
  <si>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</si>
  <si>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</si>
  <si>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</si>
  <si>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</si>
  <si>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</si>
  <si>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</si>
  <si>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</si>
  <si>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</si>
  <si>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</si>
  <si>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</si>
  <si>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</si>
  <si>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</si>
  <si>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</si>
  <si>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</si>
  <si>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Negativo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</si>
  <si>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</si>
  <si>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</si>
  <si>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</si>
  <si>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</si>
  <si>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</si>
  <si>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</si>
  <si>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</si>
  <si>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</si>
  <si>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</si>
  <si>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</si>
  <si>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Casos Prioritário - E-mail</t>
  </si>
  <si>
    <t>Forms Total Care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</si>
  <si>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</si>
  <si>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</si>
  <si>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</si>
  <si>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</si>
  <si>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</si>
  <si>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</si>
  <si>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</si>
  <si>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</si>
  <si>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</si>
  <si>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</si>
  <si>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</si>
  <si>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</si>
  <si>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Transbordo/Navegação</t>
  </si>
  <si>
    <t>Pós-TMO</t>
  </si>
  <si>
    <t>Aguardando Contato</t>
  </si>
  <si>
    <t>NA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</si>
  <si>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</si>
  <si>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</si>
  <si>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</si>
  <si>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</si>
  <si>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</si>
  <si>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</si>
  <si>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</si>
  <si>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</si>
  <si>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</si>
  <si>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</si>
  <si>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</si>
  <si>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</si>
  <si>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</si>
  <si>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</si>
  <si>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</si>
  <si>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</si>
  <si>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</si>
  <si>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</si>
  <si>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</si>
  <si>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</si>
  <si>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</si>
  <si>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</si>
  <si>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</si>
  <si>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</si>
  <si>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</si>
  <si>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</si>
  <si>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</si>
  <si>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</si>
  <si>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</si>
  <si>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</si>
  <si>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</si>
  <si>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</si>
  <si>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</si>
  <si>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</si>
  <si>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</si>
  <si>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</si>
  <si>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</si>
  <si>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</si>
  <si>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</si>
  <si>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</si>
  <si>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</si>
  <si>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</si>
  <si>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</si>
  <si>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</si>
  <si>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</si>
  <si>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</si>
  <si>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</si>
  <si>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</si>
  <si>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</si>
  <si>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</si>
  <si>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</si>
  <si>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</si>
  <si>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</si>
  <si>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</si>
  <si>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</si>
  <si>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</si>
  <si>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</si>
  <si>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</si>
  <si>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</si>
  <si>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</si>
  <si>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</si>
  <si>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</si>
  <si>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</si>
  <si>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</si>
  <si>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</si>
  <si>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</si>
  <si>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</si>
  <si>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</si>
  <si>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</si>
  <si>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</si>
  <si>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</si>
  <si>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</si>
  <si>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</si>
  <si>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</si>
  <si>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</si>
  <si>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</si>
  <si>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</si>
  <si>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</si>
  <si>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</si>
  <si>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</si>
  <si>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</si>
  <si>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</si>
  <si>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</si>
  <si>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</si>
  <si>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</si>
  <si>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</si>
  <si>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</si>
  <si>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</si>
  <si>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</si>
  <si>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</si>
  <si>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</si>
  <si>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</si>
  <si>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</si>
  <si>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</si>
  <si>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</si>
  <si>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</si>
  <si>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AES - Nova Iguaçu &lt;= 400</t>
  </si>
  <si>
    <t>Optin</t>
  </si>
  <si>
    <t>ASM - Centro Médico Hospital São Lucas &gt; 400</t>
  </si>
  <si>
    <t>Captado Total Care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</si>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</sst>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21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B02F5B17-3809-40E0-9883-A21BD72C2878}">
    <nsvFilter filterId="{9931A248-8A11-4D8E-BACD-A0C0D59E4D18}" ref="A1:AU69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6"/>
  <sheetViews>
    <sheetView showGridLines="0" tabSelected="1" zoomScaleNormal="100" workbookViewId="0">
      <pane xSplit="6" ySplit="1" topLeftCell="G45" activePane="bottomRight" state="frozen"/>
      <selection pane="bottomRight" activeCell="M62" sqref="M62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7.28515625" style="29" customWidth="1"/>
    <col min="4" max="4" width="21.7109375" style="29" bestFit="1" customWidth="1"/>
    <col min="5" max="5" width="11.7109375" style="28" bestFit="1" customWidth="1"/>
    <col min="6" max="6" width="31.85546875" style="224" bestFit="1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9.28515625" style="31" customWidth="1"/>
    <col min="18" max="18" width="16.28515625" style="27" bestFit="1" customWidth="1"/>
    <col min="19" max="19" width="14.7109375" style="27" customWidth="1"/>
    <col min="20" max="20" width="14.85546875" style="27" customWidth="1"/>
    <col min="21" max="21" width="13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3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8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1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1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5" t="s">
        <v>34</v>
      </c>
      <c r="AJ1" s="225" t="s">
        <v>35</v>
      </c>
      <c r="AK1" s="225" t="s">
        <v>36</v>
      </c>
      <c r="AL1" s="34" t="s">
        <v>37</v>
      </c>
      <c r="AM1" s="197" t="s">
        <v>38</v>
      </c>
      <c r="AN1" s="34" t="s">
        <v>39</v>
      </c>
      <c r="AO1" s="229" t="s">
        <v>40</v>
      </c>
      <c r="AP1" s="229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46030</v>
      </c>
      <c r="C2" s="89" t="s">
        <v>48</v>
      </c>
      <c r="D2" s="89" t="s">
        <v>49</v>
      </c>
      <c r="E2" s="90">
        <v>450110320</v>
      </c>
      <c r="F2" s="222" t="s">
        <v>50</v>
      </c>
      <c r="G2" s="92"/>
      <c r="H2" s="93">
        <v>26819</v>
      </c>
      <c r="I2" s="89">
        <v>52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100</v>
      </c>
      <c r="O2" s="94" t="s">
        <v>55</v>
      </c>
      <c r="P2" s="95" t="s">
        <v>56</v>
      </c>
      <c r="Q2" s="145" t="s">
        <v>57</v>
      </c>
      <c r="R2" s="96">
        <v>46077</v>
      </c>
      <c r="S2" s="97"/>
      <c r="T2" s="97" t="s">
        <v>58</v>
      </c>
      <c r="U2" s="97" t="s">
        <v>59</v>
      </c>
      <c r="V2" s="93">
        <v>46077</v>
      </c>
      <c r="W2" s="93" t="s">
        <v>60</v>
      </c>
      <c r="X2" s="93" t="s">
        <v>60</v>
      </c>
      <c r="Y2" s="98" t="s">
        <v>61</v>
      </c>
      <c r="Z2" s="89" t="s">
        <v>62</v>
      </c>
      <c r="AA2" s="97">
        <v>46077</v>
      </c>
      <c r="AB2" s="89" t="s">
        <v>63</v>
      </c>
      <c r="AC2" s="120"/>
      <c r="AD2" s="89"/>
      <c r="AE2" s="89"/>
      <c r="AF2" s="99"/>
      <c r="AG2" s="99"/>
      <c r="AH2" s="99"/>
      <c r="AI2" s="100"/>
      <c r="AJ2" s="100" t="s">
        <v>47</v>
      </c>
      <c r="AK2" s="100" t="s">
        <v>47</v>
      </c>
      <c r="AL2" s="45" t="s">
        <v>64</v>
      </c>
      <c r="AM2" s="200" t="str">
        <f>MONTH(B2)&amp;"/"&amp;YEAR(B2)</f>
        <v>1/2026</v>
      </c>
      <c r="AN2" s="45">
        <f>WEEKNUM(B2)-WEEKNUM(EOMONTH(B2,-1)+1)+1</f>
        <v>2</v>
      </c>
      <c r="AO2" s="45" t="str">
        <f>MONTH(R2)&amp;"/"&amp;YEAR(R2)</f>
        <v>2/2026</v>
      </c>
      <c r="AP2" s="45">
        <f>WEEKNUM(R2)-WEEKNUM(EOMONTH(R2,-1)+1)+1</f>
        <v>4</v>
      </c>
      <c r="AQ2" s="45">
        <f>IF(AU2="S",IF(Q2="1. Aceitou o programa",R2-B2,0),0)</f>
        <v>47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46030</v>
      </c>
      <c r="C3" s="89" t="s">
        <v>48</v>
      </c>
      <c r="D3" s="89" t="s">
        <v>49</v>
      </c>
      <c r="E3" s="90">
        <v>94578522</v>
      </c>
      <c r="F3" s="222" t="s">
        <v>65</v>
      </c>
      <c r="G3" s="92"/>
      <c r="H3" s="93">
        <v>18008</v>
      </c>
      <c r="I3" s="89">
        <v>77</v>
      </c>
      <c r="J3" s="89" t="s">
        <v>51</v>
      </c>
      <c r="K3" s="89" t="s">
        <v>52</v>
      </c>
      <c r="L3" s="89" t="s">
        <v>53</v>
      </c>
      <c r="M3" s="89" t="s">
        <v>66</v>
      </c>
      <c r="N3" s="89">
        <v>60</v>
      </c>
      <c r="O3" s="94" t="s">
        <v>67</v>
      </c>
      <c r="P3" s="95" t="s">
        <v>56</v>
      </c>
      <c r="Q3" s="145" t="s">
        <v>68</v>
      </c>
      <c r="R3" s="96"/>
      <c r="S3" s="97">
        <v>46077</v>
      </c>
      <c r="T3" s="97" t="s">
        <v>58</v>
      </c>
      <c r="U3" s="97" t="s">
        <v>69</v>
      </c>
      <c r="V3" s="93">
        <v>46077</v>
      </c>
      <c r="W3" s="93">
        <v>46125</v>
      </c>
      <c r="X3" s="93"/>
      <c r="Y3" s="98" t="s">
        <v>70</v>
      </c>
      <c r="Z3" s="89"/>
      <c r="AA3" s="97"/>
      <c r="AB3" s="89"/>
      <c r="AC3" s="120"/>
      <c r="AD3" s="89"/>
      <c r="AE3" s="89"/>
      <c r="AF3" s="99"/>
      <c r="AG3" s="99"/>
      <c r="AH3" s="99"/>
      <c r="AI3" s="100"/>
      <c r="AJ3" s="100" t="s">
        <v>71</v>
      </c>
      <c r="AK3" s="100"/>
      <c r="AL3" s="45" t="s">
        <v>64</v>
      </c>
      <c r="AM3" s="200" t="str">
        <f>MONTH(B3)&amp;"/"&amp;YEAR(B3)</f>
        <v>1/2026</v>
      </c>
      <c r="AN3" s="45">
        <f>WEEKNUM(B3)-WEEKNUM(EOMONTH(B3,-1)+1)+1</f>
        <v>2</v>
      </c>
      <c r="AO3" s="45" t="str">
        <f>MONTH(R3)&amp;"/"&amp;YEAR(R3)</f>
        <v>1/1900</v>
      </c>
      <c r="AP3" s="45" t="e">
        <f>WEEKNUM(R3)-WEEKNUM(EOMONTH(R3,-1)+1)+1</f>
        <v>#NUM!</v>
      </c>
      <c r="AQ3" s="45">
        <f>IF(AU3="S",IF(Q3="1. Aceitou o programa",R3-B3,0),0)</f>
        <v>0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46030</v>
      </c>
      <c r="C4" s="89" t="s">
        <v>48</v>
      </c>
      <c r="D4" s="89" t="s">
        <v>49</v>
      </c>
      <c r="E4" s="90">
        <v>128560118</v>
      </c>
      <c r="F4" s="222" t="s">
        <v>72</v>
      </c>
      <c r="G4" s="92"/>
      <c r="H4" s="93">
        <v>13993</v>
      </c>
      <c r="I4" s="89">
        <v>88</v>
      </c>
      <c r="J4" s="89" t="s">
        <v>51</v>
      </c>
      <c r="K4" s="89" t="s">
        <v>52</v>
      </c>
      <c r="L4" s="89" t="s">
        <v>53</v>
      </c>
      <c r="M4" s="89" t="s">
        <v>73</v>
      </c>
      <c r="N4" s="89">
        <v>400</v>
      </c>
      <c r="O4" s="94" t="s">
        <v>74</v>
      </c>
      <c r="P4" s="95" t="s">
        <v>56</v>
      </c>
      <c r="Q4" s="145" t="s">
        <v>68</v>
      </c>
      <c r="R4" s="96"/>
      <c r="S4" s="97">
        <v>46077</v>
      </c>
      <c r="T4" s="97" t="s">
        <v>58</v>
      </c>
      <c r="U4" s="97" t="s">
        <v>69</v>
      </c>
      <c r="V4" s="93">
        <v>46077</v>
      </c>
      <c r="W4" s="93">
        <v>46125</v>
      </c>
      <c r="X4" s="93">
        <v>46141</v>
      </c>
      <c r="Y4" s="98" t="s">
        <v>75</v>
      </c>
      <c r="Z4" s="89" t="s">
        <v>62</v>
      </c>
      <c r="AA4" s="97">
        <v>46157</v>
      </c>
      <c r="AB4" s="89"/>
      <c r="AC4" s="120"/>
      <c r="AD4" s="89"/>
      <c r="AE4" s="89"/>
      <c r="AF4" s="99"/>
      <c r="AG4" s="99"/>
      <c r="AH4" s="99"/>
      <c r="AI4" s="100"/>
      <c r="AJ4" s="100" t="s">
        <v>71</v>
      </c>
      <c r="AK4" s="100"/>
      <c r="AL4" s="45" t="s">
        <v>64</v>
      </c>
      <c r="AM4" s="200" t="str">
        <f>MONTH(B4)&amp;"/"&amp;YEAR(B4)</f>
        <v>1/2026</v>
      </c>
      <c r="AN4" s="45">
        <f>WEEKNUM(B4)-WEEKNUM(EOMONTH(B4,-1)+1)+1</f>
        <v>2</v>
      </c>
      <c r="AO4" s="45" t="str">
        <f>MONTH(R4)&amp;"/"&amp;YEAR(R4)</f>
        <v>1/1900</v>
      </c>
      <c r="AP4" s="45" t="e">
        <f>WEEKNUM(R4)-WEEKNUM(EOMONTH(R4,-1)+1)+1</f>
        <v>#NUM!</v>
      </c>
      <c r="AQ4" s="45">
        <f>IF(AU4="S",IF(Q4="1. Aceitou o programa",R4-B4,0),0)</f>
        <v>0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46030</v>
      </c>
      <c r="C5" s="89" t="s">
        <v>48</v>
      </c>
      <c r="D5" s="89" t="s">
        <v>49</v>
      </c>
      <c r="E5" s="90">
        <v>86832934</v>
      </c>
      <c r="F5" s="222" t="s">
        <v>76</v>
      </c>
      <c r="G5" s="92"/>
      <c r="H5" s="93">
        <v>26573</v>
      </c>
      <c r="I5" s="89">
        <v>126</v>
      </c>
      <c r="J5" s="89" t="s">
        <v>51</v>
      </c>
      <c r="K5" s="89" t="s">
        <v>52</v>
      </c>
      <c r="L5" s="89" t="s">
        <v>53</v>
      </c>
      <c r="M5" s="89" t="s">
        <v>77</v>
      </c>
      <c r="N5" s="89">
        <v>60</v>
      </c>
      <c r="O5" s="94" t="s">
        <v>78</v>
      </c>
      <c r="P5" s="95" t="s">
        <v>56</v>
      </c>
      <c r="Q5" s="145" t="s">
        <v>57</v>
      </c>
      <c r="R5" s="96">
        <v>46127</v>
      </c>
      <c r="S5" s="97"/>
      <c r="T5" s="97" t="s">
        <v>58</v>
      </c>
      <c r="U5" s="97" t="s">
        <v>59</v>
      </c>
      <c r="V5" s="93">
        <v>46077</v>
      </c>
      <c r="W5" s="93">
        <v>46125</v>
      </c>
      <c r="X5" s="93" t="s">
        <v>60</v>
      </c>
      <c r="Y5" s="98" t="s">
        <v>79</v>
      </c>
      <c r="Z5" s="89" t="s">
        <v>62</v>
      </c>
      <c r="AA5" s="97">
        <v>46127</v>
      </c>
      <c r="AB5" s="89" t="s">
        <v>63</v>
      </c>
      <c r="AC5" s="120"/>
      <c r="AD5" s="89" t="s">
        <v>80</v>
      </c>
      <c r="AE5" s="89">
        <v>2</v>
      </c>
      <c r="AF5" s="99" t="s">
        <v>81</v>
      </c>
      <c r="AG5" s="99"/>
      <c r="AH5" s="99"/>
      <c r="AI5" s="100" t="s">
        <v>47</v>
      </c>
      <c r="AJ5" s="100" t="s">
        <v>47</v>
      </c>
      <c r="AK5" s="100" t="s">
        <v>47</v>
      </c>
      <c r="AL5" s="45" t="s">
        <v>64</v>
      </c>
      <c r="AM5" s="200" t="str">
        <f>MONTH(B5)&amp;"/"&amp;YEAR(B5)</f>
        <v>1/2026</v>
      </c>
      <c r="AN5" s="45">
        <f>WEEKNUM(B5)-WEEKNUM(EOMONTH(B5,-1)+1)+1</f>
        <v>2</v>
      </c>
      <c r="AO5" s="45" t="str">
        <f>MONTH(R5)&amp;"/"&amp;YEAR(R5)</f>
        <v>4/2026</v>
      </c>
      <c r="AP5" s="45">
        <f>WEEKNUM(R5)-WEEKNUM(EOMONTH(R5,-1)+1)+1</f>
        <v>3</v>
      </c>
      <c r="AQ5" s="45">
        <f>IF(AU5="S",IF(Q5="1. Aceitou o programa",R5-B5,0),0)</f>
        <v>97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48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46030</v>
      </c>
      <c r="C6" s="89" t="s">
        <v>48</v>
      </c>
      <c r="D6" s="89" t="s">
        <v>82</v>
      </c>
      <c r="E6" s="90">
        <v>222857366</v>
      </c>
      <c r="F6" s="222" t="s">
        <v>83</v>
      </c>
      <c r="G6" s="92"/>
      <c r="H6" s="93">
        <v>17250</v>
      </c>
      <c r="I6" s="89">
        <v>79</v>
      </c>
      <c r="J6" s="89" t="s">
        <v>84</v>
      </c>
      <c r="K6" s="89" t="s">
        <v>52</v>
      </c>
      <c r="L6" s="89" t="s">
        <v>53</v>
      </c>
      <c r="M6" s="89" t="s">
        <v>85</v>
      </c>
      <c r="N6" s="89" t="s">
        <v>86</v>
      </c>
      <c r="O6" s="94" t="s">
        <v>87</v>
      </c>
      <c r="P6" s="95" t="s">
        <v>56</v>
      </c>
      <c r="Q6" s="145" t="s">
        <v>57</v>
      </c>
      <c r="R6" s="96">
        <v>46078</v>
      </c>
      <c r="S6" s="97"/>
      <c r="T6" s="97" t="s">
        <v>58</v>
      </c>
      <c r="U6" s="97" t="s">
        <v>59</v>
      </c>
      <c r="V6" s="93">
        <v>46078</v>
      </c>
      <c r="W6" s="93" t="s">
        <v>60</v>
      </c>
      <c r="X6" s="93" t="s">
        <v>60</v>
      </c>
      <c r="Y6" s="98" t="s">
        <v>88</v>
      </c>
      <c r="Z6" s="89" t="s">
        <v>89</v>
      </c>
      <c r="AA6" s="97"/>
      <c r="AB6" s="89"/>
      <c r="AC6" s="120"/>
      <c r="AD6" s="89"/>
      <c r="AE6" s="89"/>
      <c r="AF6" s="99"/>
      <c r="AG6" s="99"/>
      <c r="AH6" s="99"/>
      <c r="AI6" s="100"/>
      <c r="AJ6" s="100" t="s">
        <v>47</v>
      </c>
      <c r="AK6" s="100" t="s">
        <v>47</v>
      </c>
      <c r="AL6" s="45" t="s">
        <v>64</v>
      </c>
      <c r="AM6" s="200" t="str">
        <f>MONTH(B6)&amp;"/"&amp;YEAR(B6)</f>
        <v>1/2026</v>
      </c>
      <c r="AN6" s="45">
        <f>WEEKNUM(B6)-WEEKNUM(EOMONTH(B6,-1)+1)+1</f>
        <v>2</v>
      </c>
      <c r="AO6" s="45" t="str">
        <f>MONTH(R6)&amp;"/"&amp;YEAR(R6)</f>
        <v>2/2026</v>
      </c>
      <c r="AP6" s="45">
        <f>WEEKNUM(R6)-WEEKNUM(EOMONTH(R6,-1)+1)+1</f>
        <v>4</v>
      </c>
      <c r="AQ6" s="45">
        <f>IF(AU6="S",IF(Q6="1. Aceitou o programa",R6-B6,0),0)</f>
        <v>48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46030</v>
      </c>
      <c r="C7" s="89" t="s">
        <v>48</v>
      </c>
      <c r="D7" s="89" t="s">
        <v>82</v>
      </c>
      <c r="E7" s="90">
        <v>451708490</v>
      </c>
      <c r="F7" s="222" t="s">
        <v>90</v>
      </c>
      <c r="G7" s="92"/>
      <c r="H7" s="93">
        <v>16840</v>
      </c>
      <c r="I7" s="89">
        <v>80</v>
      </c>
      <c r="J7" s="89" t="s">
        <v>51</v>
      </c>
      <c r="K7" s="89" t="s">
        <v>52</v>
      </c>
      <c r="L7" s="89" t="s">
        <v>53</v>
      </c>
      <c r="M7" s="89" t="s">
        <v>91</v>
      </c>
      <c r="N7" s="89" t="s">
        <v>92</v>
      </c>
      <c r="O7" s="94" t="s">
        <v>93</v>
      </c>
      <c r="P7" s="95" t="s">
        <v>56</v>
      </c>
      <c r="Q7" s="145" t="s">
        <v>57</v>
      </c>
      <c r="R7" s="96">
        <v>46058</v>
      </c>
      <c r="S7" s="97"/>
      <c r="T7" s="97" t="s">
        <v>58</v>
      </c>
      <c r="U7" s="97" t="s">
        <v>59</v>
      </c>
      <c r="V7" s="93">
        <v>46058</v>
      </c>
      <c r="W7" s="93" t="s">
        <v>60</v>
      </c>
      <c r="X7" s="93" t="s">
        <v>60</v>
      </c>
      <c r="Y7" s="98" t="s">
        <v>94</v>
      </c>
      <c r="Z7" s="89" t="s">
        <v>89</v>
      </c>
      <c r="AA7" s="97"/>
      <c r="AB7" s="89"/>
      <c r="AC7" s="120"/>
      <c r="AD7" s="89"/>
      <c r="AE7" s="89"/>
      <c r="AF7" s="99"/>
      <c r="AG7" s="99"/>
      <c r="AH7" s="99"/>
      <c r="AI7" s="100"/>
      <c r="AJ7" s="100" t="s">
        <v>47</v>
      </c>
      <c r="AK7" s="100" t="s">
        <v>47</v>
      </c>
      <c r="AL7" s="45" t="s">
        <v>64</v>
      </c>
      <c r="AM7" s="200" t="str">
        <f>MONTH(B7)&amp;"/"&amp;YEAR(B7)</f>
        <v>1/2026</v>
      </c>
      <c r="AN7" s="45">
        <f>WEEKNUM(B7)-WEEKNUM(EOMONTH(B7,-1)+1)+1</f>
        <v>2</v>
      </c>
      <c r="AO7" s="45" t="str">
        <f>MONTH(R7)&amp;"/"&amp;YEAR(R7)</f>
        <v>2/2026</v>
      </c>
      <c r="AP7" s="45">
        <f>WEEKNUM(R7)-WEEKNUM(EOMONTH(R7,-1)+1)+1</f>
        <v>1</v>
      </c>
      <c r="AQ7" s="45">
        <f>IF(AU7="S",IF(Q7="1. Aceitou o programa",R7-B7,0),0)</f>
        <v>28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46030</v>
      </c>
      <c r="C8" s="89" t="s">
        <v>48</v>
      </c>
      <c r="D8" s="89" t="s">
        <v>82</v>
      </c>
      <c r="E8" s="90">
        <v>72529316</v>
      </c>
      <c r="F8" s="222" t="s">
        <v>95</v>
      </c>
      <c r="G8" s="92"/>
      <c r="H8" s="93">
        <v>31040</v>
      </c>
      <c r="I8" s="89">
        <v>41</v>
      </c>
      <c r="J8" s="89" t="s">
        <v>84</v>
      </c>
      <c r="K8" s="89" t="s">
        <v>52</v>
      </c>
      <c r="L8" s="89" t="s">
        <v>53</v>
      </c>
      <c r="M8" s="89" t="s">
        <v>96</v>
      </c>
      <c r="N8" s="89" t="s">
        <v>97</v>
      </c>
      <c r="O8" s="94" t="s">
        <v>98</v>
      </c>
      <c r="P8" s="95" t="s">
        <v>56</v>
      </c>
      <c r="Q8" s="145" t="s">
        <v>57</v>
      </c>
      <c r="R8" s="96">
        <v>46066</v>
      </c>
      <c r="S8" s="97"/>
      <c r="T8" s="97" t="s">
        <v>58</v>
      </c>
      <c r="U8" s="97" t="s">
        <v>59</v>
      </c>
      <c r="V8" s="93">
        <v>46066</v>
      </c>
      <c r="W8" s="93" t="s">
        <v>60</v>
      </c>
      <c r="X8" s="93" t="s">
        <v>60</v>
      </c>
      <c r="Y8" s="98" t="s">
        <v>99</v>
      </c>
      <c r="Z8" s="89" t="s">
        <v>89</v>
      </c>
      <c r="AA8" s="97"/>
      <c r="AB8" s="89"/>
      <c r="AC8" s="120"/>
      <c r="AD8" s="89"/>
      <c r="AE8" s="89"/>
      <c r="AF8" s="99"/>
      <c r="AG8" s="99"/>
      <c r="AH8" s="99"/>
      <c r="AI8" s="100"/>
      <c r="AJ8" s="100" t="s">
        <v>47</v>
      </c>
      <c r="AK8" s="100" t="s">
        <v>47</v>
      </c>
      <c r="AL8" s="45" t="s">
        <v>64</v>
      </c>
      <c r="AM8" s="200" t="str">
        <f>MONTH(B8)&amp;"/"&amp;YEAR(B8)</f>
        <v>1/2026</v>
      </c>
      <c r="AN8" s="45">
        <f>WEEKNUM(B8)-WEEKNUM(EOMONTH(B8,-1)+1)+1</f>
        <v>2</v>
      </c>
      <c r="AO8" s="45" t="str">
        <f>MONTH(R8)&amp;"/"&amp;YEAR(R8)</f>
        <v>2/2026</v>
      </c>
      <c r="AP8" s="45">
        <f>WEEKNUM(R8)-WEEKNUM(EOMONTH(R8,-1)+1)+1</f>
        <v>2</v>
      </c>
      <c r="AQ8" s="45">
        <f>IF(AU8="S",IF(Q8="1. Aceitou o programa",R8-B8,0),0)</f>
        <v>36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46030</v>
      </c>
      <c r="C9" s="89" t="s">
        <v>48</v>
      </c>
      <c r="D9" s="89" t="s">
        <v>82</v>
      </c>
      <c r="E9" s="90">
        <v>93636998</v>
      </c>
      <c r="F9" s="222" t="s">
        <v>100</v>
      </c>
      <c r="G9" s="92"/>
      <c r="H9" s="93">
        <v>34980</v>
      </c>
      <c r="I9" s="89">
        <v>30</v>
      </c>
      <c r="J9" s="89" t="s">
        <v>84</v>
      </c>
      <c r="K9" s="89" t="s">
        <v>52</v>
      </c>
      <c r="L9" s="89" t="s">
        <v>53</v>
      </c>
      <c r="M9" s="89" t="s">
        <v>101</v>
      </c>
      <c r="N9" s="89" t="s">
        <v>102</v>
      </c>
      <c r="O9" s="94" t="s">
        <v>103</v>
      </c>
      <c r="P9" s="95" t="s">
        <v>104</v>
      </c>
      <c r="Q9" s="145" t="s">
        <v>57</v>
      </c>
      <c r="R9" s="96">
        <v>46072</v>
      </c>
      <c r="S9" s="97"/>
      <c r="T9" s="97" t="s">
        <v>58</v>
      </c>
      <c r="U9" s="97" t="s">
        <v>59</v>
      </c>
      <c r="V9" s="93">
        <v>46072</v>
      </c>
      <c r="W9" s="93" t="s">
        <v>60</v>
      </c>
      <c r="X9" s="93" t="s">
        <v>60</v>
      </c>
      <c r="Y9" s="98"/>
      <c r="Z9" s="89" t="s">
        <v>62</v>
      </c>
      <c r="AA9" s="97">
        <v>46184</v>
      </c>
      <c r="AB9" s="89" t="s">
        <v>63</v>
      </c>
      <c r="AC9" s="120">
        <v>46184</v>
      </c>
      <c r="AD9" s="89" t="s">
        <v>105</v>
      </c>
      <c r="AE9" s="89"/>
      <c r="AF9" s="99"/>
      <c r="AG9" s="99"/>
      <c r="AH9" s="99" t="s">
        <v>106</v>
      </c>
      <c r="AI9" s="100"/>
      <c r="AJ9" s="100" t="s">
        <v>47</v>
      </c>
      <c r="AK9" s="100" t="s">
        <v>47</v>
      </c>
      <c r="AL9" s="45" t="s">
        <v>64</v>
      </c>
      <c r="AM9" s="200" t="str">
        <f>MONTH(B9)&amp;"/"&amp;YEAR(B9)</f>
        <v>1/2026</v>
      </c>
      <c r="AN9" s="45">
        <f>WEEKNUM(B9)-WEEKNUM(EOMONTH(B9,-1)+1)+1</f>
        <v>2</v>
      </c>
      <c r="AO9" s="45" t="str">
        <f>MONTH(R9)&amp;"/"&amp;YEAR(R9)</f>
        <v>2/2026</v>
      </c>
      <c r="AP9" s="45">
        <f>WEEKNUM(R9)-WEEKNUM(EOMONTH(R9,-1)+1)+1</f>
        <v>3</v>
      </c>
      <c r="AQ9" s="45">
        <f>IF(AU9="S",IF(Q9="1. Aceitou o programa",R9-B9,0),0)</f>
        <v>42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112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46030</v>
      </c>
      <c r="C10" s="89" t="s">
        <v>48</v>
      </c>
      <c r="D10" s="89" t="s">
        <v>49</v>
      </c>
      <c r="E10" s="90">
        <v>76790019</v>
      </c>
      <c r="F10" s="222" t="s">
        <v>107</v>
      </c>
      <c r="G10" s="92"/>
      <c r="H10" s="93">
        <v>29270</v>
      </c>
      <c r="I10" s="89">
        <v>46</v>
      </c>
      <c r="J10" s="89" t="s">
        <v>51</v>
      </c>
      <c r="K10" s="89" t="s">
        <v>52</v>
      </c>
      <c r="L10" s="89" t="s">
        <v>53</v>
      </c>
      <c r="M10" s="89" t="s">
        <v>108</v>
      </c>
      <c r="N10" s="89">
        <v>50</v>
      </c>
      <c r="O10" s="94" t="s">
        <v>109</v>
      </c>
      <c r="P10" s="95" t="s">
        <v>56</v>
      </c>
      <c r="Q10" s="145" t="s">
        <v>68</v>
      </c>
      <c r="R10" s="96"/>
      <c r="S10" s="97">
        <v>46077</v>
      </c>
      <c r="T10" s="97" t="s">
        <v>58</v>
      </c>
      <c r="U10" s="97" t="s">
        <v>69</v>
      </c>
      <c r="V10" s="93">
        <v>46077</v>
      </c>
      <c r="W10" s="93">
        <v>46125</v>
      </c>
      <c r="X10" s="93"/>
      <c r="Y10" s="98" t="s">
        <v>110</v>
      </c>
      <c r="Z10" s="89"/>
      <c r="AA10" s="97"/>
      <c r="AB10" s="89"/>
      <c r="AC10" s="120"/>
      <c r="AD10" s="89"/>
      <c r="AE10" s="89"/>
      <c r="AF10" s="99"/>
      <c r="AG10" s="99"/>
      <c r="AH10" s="99"/>
      <c r="AI10" s="100"/>
      <c r="AJ10" s="100" t="s">
        <v>71</v>
      </c>
      <c r="AK10" s="100"/>
      <c r="AL10" s="45" t="s">
        <v>64</v>
      </c>
      <c r="AM10" s="200" t="str">
        <f>MONTH(B10)&amp;"/"&amp;YEAR(B10)</f>
        <v>1/2026</v>
      </c>
      <c r="AN10" s="45">
        <f>WEEKNUM(B10)-WEEKNUM(EOMONTH(B10,-1)+1)+1</f>
        <v>2</v>
      </c>
      <c r="AO10" s="45" t="str">
        <f>MONTH(R10)&amp;"/"&amp;YEAR(R10)</f>
        <v>1/1900</v>
      </c>
      <c r="AP10" s="45" t="e">
        <f>WEEKNUM(R10)-WEEKNUM(EOMONTH(R10,-1)+1)+1</f>
        <v>#NUM!</v>
      </c>
      <c r="AQ10" s="45">
        <f>IF(AU10="S",IF(Q10="1. Aceitou o programa",R10-B10,0),0)</f>
        <v>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46030</v>
      </c>
      <c r="C11" s="89" t="s">
        <v>48</v>
      </c>
      <c r="D11" s="89" t="s">
        <v>49</v>
      </c>
      <c r="E11" s="90">
        <v>86198842</v>
      </c>
      <c r="F11" s="222" t="s">
        <v>111</v>
      </c>
      <c r="G11" s="92"/>
      <c r="H11" s="93">
        <v>23977</v>
      </c>
      <c r="I11" s="89">
        <v>60</v>
      </c>
      <c r="J11" s="89" t="s">
        <v>51</v>
      </c>
      <c r="K11" s="89" t="s">
        <v>52</v>
      </c>
      <c r="L11" s="89" t="s">
        <v>53</v>
      </c>
      <c r="M11" s="89" t="s">
        <v>112</v>
      </c>
      <c r="N11" s="89">
        <v>60</v>
      </c>
      <c r="O11" s="94" t="s">
        <v>113</v>
      </c>
      <c r="P11" s="95" t="s">
        <v>56</v>
      </c>
      <c r="Q11" s="145" t="s">
        <v>68</v>
      </c>
      <c r="R11" s="96"/>
      <c r="S11" s="97">
        <v>46077</v>
      </c>
      <c r="T11" s="97" t="s">
        <v>58</v>
      </c>
      <c r="U11" s="97" t="s">
        <v>69</v>
      </c>
      <c r="V11" s="93">
        <v>46077</v>
      </c>
      <c r="W11" s="93">
        <v>46125</v>
      </c>
      <c r="X11" s="93"/>
      <c r="Y11" s="98" t="s">
        <v>114</v>
      </c>
      <c r="Z11" s="89"/>
      <c r="AA11" s="97"/>
      <c r="AB11" s="89"/>
      <c r="AC11" s="120"/>
      <c r="AD11" s="89"/>
      <c r="AE11" s="89"/>
      <c r="AF11" s="99"/>
      <c r="AG11" s="99"/>
      <c r="AH11" s="99"/>
      <c r="AI11" s="100"/>
      <c r="AJ11" s="100"/>
      <c r="AK11" s="100"/>
      <c r="AL11" s="45" t="s">
        <v>64</v>
      </c>
      <c r="AM11" s="200" t="str">
        <f>MONTH(B11)&amp;"/"&amp;YEAR(B11)</f>
        <v>1/2026</v>
      </c>
      <c r="AN11" s="45">
        <f>WEEKNUM(B11)-WEEKNUM(EOMONTH(B11,-1)+1)+1</f>
        <v>2</v>
      </c>
      <c r="AO11" s="45" t="str">
        <f>MONTH(R11)&amp;"/"&amp;YEAR(R11)</f>
        <v>1/1900</v>
      </c>
      <c r="AP11" s="45" t="e">
        <f>WEEKNUM(R11)-WEEKNUM(EOMONTH(R11,-1)+1)+1</f>
        <v>#NUM!</v>
      </c>
      <c r="AQ11" s="45">
        <f>IF(AU11="S",IF(Q11="1. Aceitou o programa",R11-B11,0),0)</f>
        <v>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46030</v>
      </c>
      <c r="C12" s="89" t="s">
        <v>48</v>
      </c>
      <c r="D12" s="89" t="s">
        <v>49</v>
      </c>
      <c r="E12" s="90">
        <v>79565265</v>
      </c>
      <c r="F12" s="222" t="s">
        <v>115</v>
      </c>
      <c r="G12" s="92"/>
      <c r="H12" s="93">
        <v>18094</v>
      </c>
      <c r="I12" s="89">
        <v>76</v>
      </c>
      <c r="J12" s="89" t="s">
        <v>51</v>
      </c>
      <c r="K12" s="89" t="s">
        <v>52</v>
      </c>
      <c r="L12" s="89" t="s">
        <v>53</v>
      </c>
      <c r="M12" s="89" t="s">
        <v>116</v>
      </c>
      <c r="N12" s="89">
        <v>60</v>
      </c>
      <c r="O12" s="94" t="s">
        <v>117</v>
      </c>
      <c r="P12" s="95" t="s">
        <v>56</v>
      </c>
      <c r="Q12" s="145" t="s">
        <v>118</v>
      </c>
      <c r="R12" s="96"/>
      <c r="S12" s="97">
        <v>46150</v>
      </c>
      <c r="T12" s="97" t="s">
        <v>119</v>
      </c>
      <c r="U12" s="97" t="s">
        <v>69</v>
      </c>
      <c r="V12" s="93">
        <v>46077</v>
      </c>
      <c r="W12" s="93">
        <v>46125</v>
      </c>
      <c r="X12" s="93">
        <v>46142</v>
      </c>
      <c r="Y12" s="98" t="s">
        <v>120</v>
      </c>
      <c r="Z12" s="89"/>
      <c r="AA12" s="97"/>
      <c r="AB12" s="89"/>
      <c r="AC12" s="120"/>
      <c r="AD12" s="89"/>
      <c r="AE12" s="89"/>
      <c r="AF12" s="99"/>
      <c r="AG12" s="99"/>
      <c r="AH12" s="99"/>
      <c r="AI12" s="100"/>
      <c r="AJ12" s="100"/>
      <c r="AK12" s="100"/>
      <c r="AL12" s="45" t="s">
        <v>64</v>
      </c>
      <c r="AM12" s="200" t="str">
        <f>MONTH(B12)&amp;"/"&amp;YEAR(B12)</f>
        <v>1/2026</v>
      </c>
      <c r="AN12" s="45">
        <f>WEEKNUM(B12)-WEEKNUM(EOMONTH(B12,-1)+1)+1</f>
        <v>2</v>
      </c>
      <c r="AO12" s="45" t="str">
        <f>MONTH(R12)&amp;"/"&amp;YEAR(R12)</f>
        <v>1/1900</v>
      </c>
      <c r="AP12" s="45" t="e">
        <f>WEEKNUM(R12)-WEEKNUM(EOMONTH(R12,-1)+1)+1</f>
        <v>#NUM!</v>
      </c>
      <c r="AQ12" s="45">
        <f>IF(AU12="S",IF(Q12="1. Aceitou o programa",R12-B12,0),0)</f>
        <v>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46030</v>
      </c>
      <c r="C13" s="89" t="s">
        <v>48</v>
      </c>
      <c r="D13" s="89" t="s">
        <v>49</v>
      </c>
      <c r="E13" s="90">
        <v>95179124</v>
      </c>
      <c r="F13" s="222" t="s">
        <v>121</v>
      </c>
      <c r="G13" s="92"/>
      <c r="H13" s="93">
        <v>24037</v>
      </c>
      <c r="I13" s="89">
        <v>126</v>
      </c>
      <c r="J13" s="89" t="s">
        <v>51</v>
      </c>
      <c r="K13" s="89" t="s">
        <v>52</v>
      </c>
      <c r="L13" s="89" t="s">
        <v>53</v>
      </c>
      <c r="M13" s="89" t="s">
        <v>77</v>
      </c>
      <c r="N13" s="89">
        <v>110</v>
      </c>
      <c r="O13" s="94" t="s">
        <v>122</v>
      </c>
      <c r="P13" s="95" t="s">
        <v>56</v>
      </c>
      <c r="Q13" s="145" t="s">
        <v>57</v>
      </c>
      <c r="R13" s="96">
        <v>46189</v>
      </c>
      <c r="S13" s="97">
        <v>46150</v>
      </c>
      <c r="T13" s="97" t="s">
        <v>58</v>
      </c>
      <c r="U13" s="97" t="s">
        <v>59</v>
      </c>
      <c r="V13" s="93">
        <v>46077</v>
      </c>
      <c r="W13" s="93">
        <v>46125</v>
      </c>
      <c r="X13" s="93">
        <v>46142</v>
      </c>
      <c r="Y13" s="98" t="s">
        <v>123</v>
      </c>
      <c r="Z13" s="89" t="s">
        <v>62</v>
      </c>
      <c r="AA13" s="97">
        <v>46196</v>
      </c>
      <c r="AB13" s="89"/>
      <c r="AC13" s="120"/>
      <c r="AD13" s="89"/>
      <c r="AE13" s="89"/>
      <c r="AF13" s="99"/>
      <c r="AG13" s="99"/>
      <c r="AH13" s="99"/>
      <c r="AI13" s="100"/>
      <c r="AJ13" s="100" t="s">
        <v>124</v>
      </c>
      <c r="AK13" s="100"/>
      <c r="AL13" s="45" t="s">
        <v>64</v>
      </c>
      <c r="AM13" s="200" t="str">
        <f>MONTH(B13)&amp;"/"&amp;YEAR(B13)</f>
        <v>1/2026</v>
      </c>
      <c r="AN13" s="45">
        <f>WEEKNUM(B13)-WEEKNUM(EOMONTH(B13,-1)+1)+1</f>
        <v>2</v>
      </c>
      <c r="AO13" s="45" t="str">
        <f>MONTH(R13)&amp;"/"&amp;YEAR(R13)</f>
        <v>6/2026</v>
      </c>
      <c r="AP13" s="45">
        <f>WEEKNUM(R13)-WEEKNUM(EOMONTH(R13,-1)+1)+1</f>
        <v>3</v>
      </c>
      <c r="AQ13" s="45">
        <f>IF(AU13="S",IF(Q13="1. Aceitou o programa",R13-B13,0),0)</f>
        <v>159</v>
      </c>
      <c r="AR13" s="45">
        <f>IF(AU13="S",IF(AND(S13&lt;&gt;"",R13&lt;&gt;""),S13-R13,0),0)</f>
        <v>-39</v>
      </c>
      <c r="AS13" s="45">
        <f>IF(AU13="S",IF(Q13="1. Aceitou o programa",IF(OR(X13="Não se Aplica",X13=""),IF(OR(W13="Não se Aplica",W13=""),0,W13-V13),AVERAGE(X13-W13,W13-V13)),0),0)</f>
        <v>32.5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46035</v>
      </c>
      <c r="C14" s="89" t="s">
        <v>48</v>
      </c>
      <c r="D14" s="89" t="s">
        <v>49</v>
      </c>
      <c r="E14" s="90">
        <v>792036077</v>
      </c>
      <c r="F14" s="222" t="s">
        <v>125</v>
      </c>
      <c r="G14" s="92"/>
      <c r="H14" s="93">
        <v>15891</v>
      </c>
      <c r="I14" s="89">
        <v>82</v>
      </c>
      <c r="J14" s="89" t="s">
        <v>84</v>
      </c>
      <c r="K14" s="89" t="s">
        <v>52</v>
      </c>
      <c r="L14" s="89" t="s">
        <v>126</v>
      </c>
      <c r="M14" s="89" t="s">
        <v>126</v>
      </c>
      <c r="N14" s="89">
        <v>100</v>
      </c>
      <c r="O14" s="94" t="s">
        <v>127</v>
      </c>
      <c r="P14" s="95" t="s">
        <v>56</v>
      </c>
      <c r="Q14" s="145" t="s">
        <v>57</v>
      </c>
      <c r="R14" s="96">
        <v>46077</v>
      </c>
      <c r="S14" s="97"/>
      <c r="T14" s="97" t="s">
        <v>58</v>
      </c>
      <c r="U14" s="97" t="s">
        <v>59</v>
      </c>
      <c r="V14" s="93">
        <v>46078</v>
      </c>
      <c r="W14" s="93" t="s">
        <v>60</v>
      </c>
      <c r="X14" s="93" t="s">
        <v>60</v>
      </c>
      <c r="Y14" s="98" t="s">
        <v>88</v>
      </c>
      <c r="Z14" s="89" t="s">
        <v>62</v>
      </c>
      <c r="AA14" s="97">
        <v>46170</v>
      </c>
      <c r="AB14" s="89" t="s">
        <v>63</v>
      </c>
      <c r="AC14" s="120"/>
      <c r="AD14" s="89" t="s">
        <v>80</v>
      </c>
      <c r="AE14" s="89">
        <v>0</v>
      </c>
      <c r="AF14" s="99" t="s">
        <v>128</v>
      </c>
      <c r="AG14" s="99" t="s">
        <v>128</v>
      </c>
      <c r="AH14" s="99" t="s">
        <v>106</v>
      </c>
      <c r="AI14" s="100"/>
      <c r="AJ14" s="100" t="s">
        <v>47</v>
      </c>
      <c r="AK14" s="100" t="s">
        <v>47</v>
      </c>
      <c r="AL14" s="45" t="s">
        <v>64</v>
      </c>
      <c r="AM14" s="200" t="str">
        <f>MONTH(B14)&amp;"/"&amp;YEAR(B14)</f>
        <v>1/2026</v>
      </c>
      <c r="AN14" s="45">
        <f>WEEKNUM(B14)-WEEKNUM(EOMONTH(B14,-1)+1)+1</f>
        <v>3</v>
      </c>
      <c r="AO14" s="45" t="str">
        <f>MONTH(R14)&amp;"/"&amp;YEAR(R14)</f>
        <v>2/2026</v>
      </c>
      <c r="AP14" s="45">
        <f>WEEKNUM(R14)-WEEKNUM(EOMONTH(R14,-1)+1)+1</f>
        <v>4</v>
      </c>
      <c r="AQ14" s="45">
        <f>IF(AU14="S",IF(Q14="1. Aceitou o programa",R14-B14,0),0)</f>
        <v>42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93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46041</v>
      </c>
      <c r="C15" s="89" t="s">
        <v>48</v>
      </c>
      <c r="D15" s="89" t="s">
        <v>49</v>
      </c>
      <c r="E15" s="90">
        <v>93805811</v>
      </c>
      <c r="F15" s="222" t="s">
        <v>129</v>
      </c>
      <c r="G15" s="92"/>
      <c r="H15" s="93">
        <v>30783</v>
      </c>
      <c r="I15" s="89">
        <v>42</v>
      </c>
      <c r="J15" s="89" t="s">
        <v>84</v>
      </c>
      <c r="K15" s="89" t="s">
        <v>52</v>
      </c>
      <c r="L15" s="89" t="s">
        <v>53</v>
      </c>
      <c r="M15" s="89" t="s">
        <v>77</v>
      </c>
      <c r="N15" s="89">
        <v>380</v>
      </c>
      <c r="O15" s="94" t="s">
        <v>130</v>
      </c>
      <c r="P15" s="95" t="s">
        <v>56</v>
      </c>
      <c r="Q15" s="145" t="s">
        <v>68</v>
      </c>
      <c r="R15" s="96"/>
      <c r="S15" s="97">
        <v>46078</v>
      </c>
      <c r="T15" s="97" t="s">
        <v>58</v>
      </c>
      <c r="U15" s="97" t="s">
        <v>69</v>
      </c>
      <c r="V15" s="93">
        <v>46078</v>
      </c>
      <c r="W15" s="93">
        <v>46125</v>
      </c>
      <c r="X15" s="93"/>
      <c r="Y15" s="98" t="s">
        <v>131</v>
      </c>
      <c r="Z15" s="89" t="s">
        <v>89</v>
      </c>
      <c r="AA15" s="97"/>
      <c r="AB15" s="89"/>
      <c r="AC15" s="120"/>
      <c r="AD15" s="89"/>
      <c r="AE15" s="89"/>
      <c r="AF15" s="99"/>
      <c r="AG15" s="99"/>
      <c r="AH15" s="99"/>
      <c r="AI15" s="100"/>
      <c r="AJ15" s="100"/>
      <c r="AK15" s="100"/>
      <c r="AL15" s="45" t="s">
        <v>64</v>
      </c>
      <c r="AM15" s="200" t="str">
        <f>MONTH(B15)&amp;"/"&amp;YEAR(B15)</f>
        <v>1/2026</v>
      </c>
      <c r="AN15" s="45">
        <f>WEEKNUM(B15)-WEEKNUM(EOMONTH(B15,-1)+1)+1</f>
        <v>4</v>
      </c>
      <c r="AO15" s="45" t="str">
        <f>MONTH(R15)&amp;"/"&amp;YEAR(R15)</f>
        <v>1/1900</v>
      </c>
      <c r="AP15" s="45" t="e">
        <f>WEEKNUM(R15)-WEEKNUM(EOMONTH(R15,-1)+1)+1</f>
        <v>#NUM!</v>
      </c>
      <c r="AQ15" s="45">
        <f>IF(AU15="S",IF(Q15="1. Aceitou o programa",R15-B15,0),0)</f>
        <v>0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46041</v>
      </c>
      <c r="C16" s="89" t="s">
        <v>48</v>
      </c>
      <c r="D16" s="89" t="s">
        <v>49</v>
      </c>
      <c r="E16" s="90">
        <v>789137178</v>
      </c>
      <c r="F16" s="222" t="s">
        <v>132</v>
      </c>
      <c r="G16" s="92"/>
      <c r="H16" s="93">
        <v>12964</v>
      </c>
      <c r="I16" s="89">
        <v>90</v>
      </c>
      <c r="J16" s="89" t="s">
        <v>84</v>
      </c>
      <c r="K16" s="89" t="s">
        <v>52</v>
      </c>
      <c r="L16" s="89" t="s">
        <v>133</v>
      </c>
      <c r="M16" s="89" t="s">
        <v>133</v>
      </c>
      <c r="N16" s="89">
        <v>100</v>
      </c>
      <c r="O16" s="94" t="s">
        <v>134</v>
      </c>
      <c r="P16" s="95" t="s">
        <v>56</v>
      </c>
      <c r="Q16" s="145" t="s">
        <v>135</v>
      </c>
      <c r="R16" s="96"/>
      <c r="S16" s="97">
        <v>46078</v>
      </c>
      <c r="T16" s="97" t="s">
        <v>58</v>
      </c>
      <c r="U16" s="97" t="s">
        <v>69</v>
      </c>
      <c r="V16" s="93">
        <v>46078</v>
      </c>
      <c r="W16" s="93"/>
      <c r="X16" s="93"/>
      <c r="Y16" s="98" t="s">
        <v>136</v>
      </c>
      <c r="Z16" s="89"/>
      <c r="AA16" s="97"/>
      <c r="AB16" s="89"/>
      <c r="AC16" s="120"/>
      <c r="AD16" s="89"/>
      <c r="AE16" s="89"/>
      <c r="AF16" s="99"/>
      <c r="AG16" s="99"/>
      <c r="AH16" s="99"/>
      <c r="AI16" s="100"/>
      <c r="AJ16" s="100"/>
      <c r="AK16" s="100"/>
      <c r="AL16" s="45" t="s">
        <v>64</v>
      </c>
      <c r="AM16" s="200" t="str">
        <f>MONTH(B16)&amp;"/"&amp;YEAR(B16)</f>
        <v>1/2026</v>
      </c>
      <c r="AN16" s="45">
        <f>WEEKNUM(B16)-WEEKNUM(EOMONTH(B16,-1)+1)+1</f>
        <v>4</v>
      </c>
      <c r="AO16" s="45" t="str">
        <f>MONTH(R16)&amp;"/"&amp;YEAR(R16)</f>
        <v>1/1900</v>
      </c>
      <c r="AP16" s="45" t="e">
        <f>WEEKNUM(R16)-WEEKNUM(EOMONTH(R16,-1)+1)+1</f>
        <v>#NUM!</v>
      </c>
      <c r="AQ16" s="45">
        <f>IF(AU16="S",IF(Q16="1. Aceitou o programa",R16-B16,0),0)</f>
        <v>0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137</v>
      </c>
      <c r="B17" s="88">
        <v>46042</v>
      </c>
      <c r="C17" s="89" t="s">
        <v>138</v>
      </c>
      <c r="D17" s="89" t="s">
        <v>139</v>
      </c>
      <c r="E17" s="90">
        <v>451948360</v>
      </c>
      <c r="F17" s="222" t="s">
        <v>140</v>
      </c>
      <c r="G17" s="92"/>
      <c r="H17" s="93">
        <v>25805</v>
      </c>
      <c r="I17" s="89">
        <v>55</v>
      </c>
      <c r="J17" s="89" t="s">
        <v>84</v>
      </c>
      <c r="K17" s="89" t="s">
        <v>52</v>
      </c>
      <c r="L17" s="89" t="s">
        <v>53</v>
      </c>
      <c r="M17" s="89" t="s">
        <v>77</v>
      </c>
      <c r="N17" s="89"/>
      <c r="O17" s="94">
        <v>11988437339</v>
      </c>
      <c r="P17" s="95" t="s">
        <v>56</v>
      </c>
      <c r="Q17" s="145" t="s">
        <v>57</v>
      </c>
      <c r="R17" s="96">
        <v>46125</v>
      </c>
      <c r="S17" s="97"/>
      <c r="T17" s="97" t="s">
        <v>58</v>
      </c>
      <c r="U17" s="97" t="s">
        <v>59</v>
      </c>
      <c r="V17" s="93">
        <v>46093</v>
      </c>
      <c r="W17" s="93">
        <v>46125</v>
      </c>
      <c r="X17" s="93" t="s">
        <v>60</v>
      </c>
      <c r="Y17" s="98" t="s">
        <v>141</v>
      </c>
      <c r="Z17" s="89" t="s">
        <v>62</v>
      </c>
      <c r="AA17" s="97">
        <v>46126</v>
      </c>
      <c r="AB17" s="89" t="s">
        <v>63</v>
      </c>
      <c r="AC17" s="120"/>
      <c r="AD17" s="89" t="s">
        <v>105</v>
      </c>
      <c r="AE17" s="89">
        <v>4</v>
      </c>
      <c r="AF17" s="99" t="s">
        <v>81</v>
      </c>
      <c r="AG17" s="99"/>
      <c r="AH17" s="99"/>
      <c r="AI17" s="100"/>
      <c r="AJ17" s="100" t="s">
        <v>47</v>
      </c>
      <c r="AK17" s="100" t="s">
        <v>47</v>
      </c>
      <c r="AL17" s="45" t="s">
        <v>64</v>
      </c>
      <c r="AM17" s="200" t="str">
        <f>MONTH(B17)&amp;"/"&amp;YEAR(B17)</f>
        <v>1/2026</v>
      </c>
      <c r="AN17" s="45">
        <f>WEEKNUM(B17)-WEEKNUM(EOMONTH(B17,-1)+1)+1</f>
        <v>4</v>
      </c>
      <c r="AO17" s="45" t="str">
        <f>MONTH(R17)&amp;"/"&amp;YEAR(R17)</f>
        <v>4/2026</v>
      </c>
      <c r="AP17" s="45">
        <f>WEEKNUM(R17)-WEEKNUM(EOMONTH(R17,-1)+1)+1</f>
        <v>3</v>
      </c>
      <c r="AQ17" s="45">
        <f>IF(AU17="S",IF(Q17="1. Aceitou o programa",R17-B17,0),0)</f>
        <v>83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32</v>
      </c>
      <c r="AT17" s="45">
        <f>IF(AU17="S",IF(AND(Q17="1. Aceitou o programa",AB17="Realizada"),IFERROR(IF(AA17="",0,AA17-R17),0),0),0)</f>
        <v>1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46043</v>
      </c>
      <c r="C18" s="89" t="s">
        <v>48</v>
      </c>
      <c r="D18" s="89" t="s">
        <v>49</v>
      </c>
      <c r="E18" s="90">
        <v>450026779</v>
      </c>
      <c r="F18" s="222" t="s">
        <v>142</v>
      </c>
      <c r="G18" s="92"/>
      <c r="H18" s="93">
        <v>14411</v>
      </c>
      <c r="I18" s="89">
        <v>86</v>
      </c>
      <c r="J18" s="89" t="s">
        <v>51</v>
      </c>
      <c r="K18" s="89" t="s">
        <v>52</v>
      </c>
      <c r="L18" s="89" t="s">
        <v>53</v>
      </c>
      <c r="M18" s="89" t="s">
        <v>77</v>
      </c>
      <c r="N18" s="89">
        <v>100</v>
      </c>
      <c r="O18" s="94" t="s">
        <v>143</v>
      </c>
      <c r="P18" s="95" t="s">
        <v>56</v>
      </c>
      <c r="Q18" s="145" t="s">
        <v>57</v>
      </c>
      <c r="R18" s="96">
        <v>46125</v>
      </c>
      <c r="S18" s="97"/>
      <c r="T18" s="97" t="s">
        <v>58</v>
      </c>
      <c r="U18" s="97" t="s">
        <v>59</v>
      </c>
      <c r="V18" s="93">
        <v>46079</v>
      </c>
      <c r="W18" s="93">
        <v>46125</v>
      </c>
      <c r="X18" s="93" t="s">
        <v>60</v>
      </c>
      <c r="Y18" s="98" t="s">
        <v>123</v>
      </c>
      <c r="Z18" s="89" t="s">
        <v>62</v>
      </c>
      <c r="AA18" s="97">
        <v>46126</v>
      </c>
      <c r="AB18" s="89"/>
      <c r="AC18" s="120"/>
      <c r="AD18" s="89"/>
      <c r="AE18" s="89"/>
      <c r="AF18" s="99"/>
      <c r="AG18" s="99"/>
      <c r="AH18" s="99"/>
      <c r="AI18" s="100"/>
      <c r="AJ18" s="100" t="s">
        <v>47</v>
      </c>
      <c r="AK18" s="100" t="s">
        <v>47</v>
      </c>
      <c r="AL18" s="45" t="s">
        <v>64</v>
      </c>
      <c r="AM18" s="200" t="str">
        <f>MONTH(B18)&amp;"/"&amp;YEAR(B18)</f>
        <v>1/2026</v>
      </c>
      <c r="AN18" s="45">
        <f>WEEKNUM(B18)-WEEKNUM(EOMONTH(B18,-1)+1)+1</f>
        <v>4</v>
      </c>
      <c r="AO18" s="45" t="str">
        <f>MONTH(R18)&amp;"/"&amp;YEAR(R18)</f>
        <v>4/2026</v>
      </c>
      <c r="AP18" s="45">
        <f>WEEKNUM(R18)-WEEKNUM(EOMONTH(R18,-1)+1)+1</f>
        <v>3</v>
      </c>
      <c r="AQ18" s="45">
        <f>IF(AU18="S",IF(Q18="1. Aceitou o programa",R18-B18,0),0)</f>
        <v>82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46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46043</v>
      </c>
      <c r="C19" s="89" t="s">
        <v>48</v>
      </c>
      <c r="D19" s="89" t="s">
        <v>49</v>
      </c>
      <c r="E19" s="90">
        <v>805067043</v>
      </c>
      <c r="F19" s="222" t="s">
        <v>144</v>
      </c>
      <c r="G19" s="92"/>
      <c r="H19" s="93">
        <v>16285</v>
      </c>
      <c r="I19" s="89">
        <v>81</v>
      </c>
      <c r="J19" s="89" t="s">
        <v>51</v>
      </c>
      <c r="K19" s="89" t="s">
        <v>52</v>
      </c>
      <c r="L19" s="89" t="s">
        <v>53</v>
      </c>
      <c r="M19" s="89" t="s">
        <v>77</v>
      </c>
      <c r="N19" s="89">
        <v>100</v>
      </c>
      <c r="O19" s="94" t="s">
        <v>145</v>
      </c>
      <c r="P19" s="95" t="s">
        <v>56</v>
      </c>
      <c r="Q19" s="145" t="s">
        <v>135</v>
      </c>
      <c r="R19" s="96"/>
      <c r="S19" s="97">
        <v>46078</v>
      </c>
      <c r="T19" s="97" t="s">
        <v>58</v>
      </c>
      <c r="U19" s="97" t="s">
        <v>69</v>
      </c>
      <c r="V19" s="93">
        <v>46078</v>
      </c>
      <c r="W19" s="93"/>
      <c r="X19" s="93"/>
      <c r="Y19" s="98" t="s">
        <v>146</v>
      </c>
      <c r="Z19" s="89"/>
      <c r="AA19" s="97"/>
      <c r="AB19" s="89"/>
      <c r="AC19" s="120"/>
      <c r="AD19" s="89"/>
      <c r="AE19" s="89"/>
      <c r="AF19" s="99"/>
      <c r="AG19" s="99"/>
      <c r="AH19" s="99"/>
      <c r="AI19" s="100"/>
      <c r="AJ19" s="100"/>
      <c r="AK19" s="100"/>
      <c r="AL19" s="45" t="s">
        <v>64</v>
      </c>
      <c r="AM19" s="200" t="str">
        <f>MONTH(B19)&amp;"/"&amp;YEAR(B19)</f>
        <v>1/2026</v>
      </c>
      <c r="AN19" s="45">
        <f>WEEKNUM(B19)-WEEKNUM(EOMONTH(B19,-1)+1)+1</f>
        <v>4</v>
      </c>
      <c r="AO19" s="45" t="str">
        <f>MONTH(R19)&amp;"/"&amp;YEAR(R19)</f>
        <v>1/1900</v>
      </c>
      <c r="AP19" s="45" t="e">
        <f>WEEKNUM(R19)-WEEKNUM(EOMONTH(R19,-1)+1)+1</f>
        <v>#NUM!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46044</v>
      </c>
      <c r="C20" s="89" t="s">
        <v>48</v>
      </c>
      <c r="D20" s="89" t="s">
        <v>49</v>
      </c>
      <c r="E20" s="90">
        <v>457869844</v>
      </c>
      <c r="F20" s="222" t="s">
        <v>147</v>
      </c>
      <c r="G20" s="92"/>
      <c r="H20" s="93">
        <v>16155</v>
      </c>
      <c r="I20" s="89">
        <v>82</v>
      </c>
      <c r="J20" s="89" t="s">
        <v>51</v>
      </c>
      <c r="K20" s="89" t="s">
        <v>52</v>
      </c>
      <c r="L20" s="89" t="s">
        <v>53</v>
      </c>
      <c r="M20" s="89" t="s">
        <v>77</v>
      </c>
      <c r="N20" s="89">
        <v>100</v>
      </c>
      <c r="O20" s="94" t="s">
        <v>148</v>
      </c>
      <c r="P20" s="95" t="s">
        <v>56</v>
      </c>
      <c r="Q20" s="145" t="s">
        <v>135</v>
      </c>
      <c r="R20" s="96"/>
      <c r="S20" s="97">
        <v>46079</v>
      </c>
      <c r="T20" s="97" t="s">
        <v>58</v>
      </c>
      <c r="U20" s="97" t="s">
        <v>69</v>
      </c>
      <c r="V20" s="93">
        <v>46079</v>
      </c>
      <c r="W20" s="93"/>
      <c r="X20" s="93"/>
      <c r="Y20" s="98" t="s">
        <v>149</v>
      </c>
      <c r="Z20" s="89"/>
      <c r="AA20" s="97"/>
      <c r="AB20" s="89"/>
      <c r="AC20" s="120"/>
      <c r="AD20" s="89"/>
      <c r="AE20" s="89"/>
      <c r="AF20" s="99"/>
      <c r="AG20" s="99"/>
      <c r="AH20" s="99"/>
      <c r="AI20" s="100"/>
      <c r="AJ20" s="100"/>
      <c r="AK20" s="100"/>
      <c r="AL20" s="45" t="s">
        <v>64</v>
      </c>
      <c r="AM20" s="200" t="str">
        <f>MONTH(B20)&amp;"/"&amp;YEAR(B20)</f>
        <v>1/2026</v>
      </c>
      <c r="AN20" s="45">
        <f>WEEKNUM(B20)-WEEKNUM(EOMONTH(B20,-1)+1)+1</f>
        <v>4</v>
      </c>
      <c r="AO20" s="45" t="str">
        <f>MONTH(R20)&amp;"/"&amp;YEAR(R20)</f>
        <v>1/1900</v>
      </c>
      <c r="AP20" s="45" t="e">
        <f>WEEKNUM(R20)-WEEKNUM(EOMONTH(R20,-1)+1)+1</f>
        <v>#NUM!</v>
      </c>
      <c r="AQ20" s="45">
        <f>IF(AU20="S",IF(Q20="1. Aceitou o programa",R20-B20,0),0)</f>
        <v>0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137</v>
      </c>
      <c r="B21" s="88">
        <v>46051</v>
      </c>
      <c r="C21" s="89" t="s">
        <v>138</v>
      </c>
      <c r="D21" s="89" t="s">
        <v>139</v>
      </c>
      <c r="E21" s="90">
        <v>450914879</v>
      </c>
      <c r="F21" s="222" t="s">
        <v>150</v>
      </c>
      <c r="G21" s="92"/>
      <c r="H21" s="93">
        <v>30364</v>
      </c>
      <c r="I21" s="89">
        <v>43</v>
      </c>
      <c r="J21" s="89" t="s">
        <v>84</v>
      </c>
      <c r="K21" s="89" t="s">
        <v>52</v>
      </c>
      <c r="L21" s="89" t="s">
        <v>53</v>
      </c>
      <c r="M21" s="89" t="s">
        <v>77</v>
      </c>
      <c r="N21" s="89"/>
      <c r="O21" s="94">
        <v>11984780557</v>
      </c>
      <c r="P21" s="95" t="s">
        <v>56</v>
      </c>
      <c r="Q21" s="145" t="s">
        <v>57</v>
      </c>
      <c r="R21" s="96">
        <v>46125</v>
      </c>
      <c r="S21" s="97"/>
      <c r="T21" s="97" t="s">
        <v>58</v>
      </c>
      <c r="U21" s="97" t="s">
        <v>59</v>
      </c>
      <c r="V21" s="93">
        <v>46051</v>
      </c>
      <c r="W21" s="93">
        <v>46125</v>
      </c>
      <c r="X21" s="93" t="s">
        <v>60</v>
      </c>
      <c r="Y21" s="98" t="s">
        <v>151</v>
      </c>
      <c r="Z21" s="89" t="s">
        <v>62</v>
      </c>
      <c r="AA21" s="97">
        <v>46126</v>
      </c>
      <c r="AB21" s="89" t="s">
        <v>63</v>
      </c>
      <c r="AC21" s="120"/>
      <c r="AD21" s="89"/>
      <c r="AE21" s="89"/>
      <c r="AF21" s="99"/>
      <c r="AG21" s="99"/>
      <c r="AH21" s="99"/>
      <c r="AI21" s="100"/>
      <c r="AJ21" s="100" t="s">
        <v>47</v>
      </c>
      <c r="AK21" s="100" t="s">
        <v>47</v>
      </c>
      <c r="AL21" s="45" t="s">
        <v>64</v>
      </c>
      <c r="AM21" s="200" t="str">
        <f>MONTH(B21)&amp;"/"&amp;YEAR(B21)</f>
        <v>1/2026</v>
      </c>
      <c r="AN21" s="45">
        <f>WEEKNUM(B21)-WEEKNUM(EOMONTH(B21,-1)+1)+1</f>
        <v>5</v>
      </c>
      <c r="AO21" s="45" t="str">
        <f>MONTH(R21)&amp;"/"&amp;YEAR(R21)</f>
        <v>4/2026</v>
      </c>
      <c r="AP21" s="45">
        <f>WEEKNUM(R21)-WEEKNUM(EOMONTH(R21,-1)+1)+1</f>
        <v>3</v>
      </c>
      <c r="AQ21" s="45">
        <f>IF(AU21="S",IF(Q21="1. Aceitou o programa",R21-B21,0),0)</f>
        <v>74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74</v>
      </c>
      <c r="AT21" s="45">
        <f>IF(AU21="S",IF(AND(Q21="1. Aceitou o programa",AB21="Realizada"),IFERROR(IF(AA21="",0,AA21-R21),0),0),0)</f>
        <v>1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46055</v>
      </c>
      <c r="C22" s="89" t="s">
        <v>48</v>
      </c>
      <c r="D22" s="89" t="s">
        <v>49</v>
      </c>
      <c r="E22" s="90">
        <v>79541447</v>
      </c>
      <c r="F22" s="222" t="s">
        <v>152</v>
      </c>
      <c r="G22" s="92"/>
      <c r="H22" s="93">
        <v>25065</v>
      </c>
      <c r="I22" s="89">
        <v>57</v>
      </c>
      <c r="J22" s="89" t="s">
        <v>51</v>
      </c>
      <c r="K22" s="89" t="s">
        <v>52</v>
      </c>
      <c r="L22" s="89" t="s">
        <v>153</v>
      </c>
      <c r="M22" s="89" t="s">
        <v>77</v>
      </c>
      <c r="N22" s="89">
        <v>40</v>
      </c>
      <c r="O22" s="94" t="s">
        <v>154</v>
      </c>
      <c r="P22" s="95" t="s">
        <v>56</v>
      </c>
      <c r="Q22" s="145" t="s">
        <v>57</v>
      </c>
      <c r="R22" s="96">
        <v>46077</v>
      </c>
      <c r="S22" s="97"/>
      <c r="T22" s="97" t="s">
        <v>58</v>
      </c>
      <c r="U22" s="97" t="s">
        <v>59</v>
      </c>
      <c r="V22" s="93">
        <v>46079</v>
      </c>
      <c r="W22" s="93" t="s">
        <v>60</v>
      </c>
      <c r="X22" s="93" t="s">
        <v>60</v>
      </c>
      <c r="Y22" s="98" t="s">
        <v>155</v>
      </c>
      <c r="Z22" s="89" t="s">
        <v>89</v>
      </c>
      <c r="AA22" s="97"/>
      <c r="AB22" s="89"/>
      <c r="AC22" s="120"/>
      <c r="AD22" s="89"/>
      <c r="AE22" s="89"/>
      <c r="AF22" s="99"/>
      <c r="AG22" s="99"/>
      <c r="AH22" s="99"/>
      <c r="AI22" s="100"/>
      <c r="AJ22" s="100" t="s">
        <v>47</v>
      </c>
      <c r="AK22" s="100" t="s">
        <v>47</v>
      </c>
      <c r="AL22" s="45" t="s">
        <v>64</v>
      </c>
      <c r="AM22" s="200" t="str">
        <f>MONTH(B22)&amp;"/"&amp;YEAR(B22)</f>
        <v>2/2026</v>
      </c>
      <c r="AN22" s="45">
        <f>WEEKNUM(B22)-WEEKNUM(EOMONTH(B22,-1)+1)+1</f>
        <v>1</v>
      </c>
      <c r="AO22" s="45" t="str">
        <f>MONTH(R22)&amp;"/"&amp;YEAR(R22)</f>
        <v>2/2026</v>
      </c>
      <c r="AP22" s="45">
        <f>WEEKNUM(R22)-WEEKNUM(EOMONTH(R22,-1)+1)+1</f>
        <v>4</v>
      </c>
      <c r="AQ22" s="45">
        <f>IF(AU22="S",IF(Q22="1. Aceitou o programa",R22-B22,0),0)</f>
        <v>22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137</v>
      </c>
      <c r="B23" s="88">
        <v>46058</v>
      </c>
      <c r="C23" s="89" t="s">
        <v>48</v>
      </c>
      <c r="D23" s="89" t="s">
        <v>156</v>
      </c>
      <c r="E23" s="90">
        <v>87326861</v>
      </c>
      <c r="F23" s="222" t="s">
        <v>157</v>
      </c>
      <c r="G23" s="92"/>
      <c r="H23" s="93">
        <v>17841</v>
      </c>
      <c r="I23" s="89"/>
      <c r="J23" s="89" t="s">
        <v>84</v>
      </c>
      <c r="K23" s="89" t="s">
        <v>52</v>
      </c>
      <c r="L23" s="89" t="s">
        <v>53</v>
      </c>
      <c r="M23" s="89"/>
      <c r="N23" s="89"/>
      <c r="O23" s="94" t="s">
        <v>158</v>
      </c>
      <c r="P23" s="95" t="s">
        <v>159</v>
      </c>
      <c r="Q23" s="145" t="s">
        <v>57</v>
      </c>
      <c r="R23" s="96">
        <v>46058</v>
      </c>
      <c r="S23" s="97"/>
      <c r="T23" s="97" t="s">
        <v>58</v>
      </c>
      <c r="U23" s="97" t="s">
        <v>59</v>
      </c>
      <c r="V23" s="93">
        <v>46058</v>
      </c>
      <c r="W23" s="93" t="s">
        <v>60</v>
      </c>
      <c r="X23" s="93" t="s">
        <v>60</v>
      </c>
      <c r="Y23" s="98"/>
      <c r="Z23" s="89" t="s">
        <v>62</v>
      </c>
      <c r="AA23" s="97">
        <v>46126</v>
      </c>
      <c r="AB23" s="89" t="s">
        <v>63</v>
      </c>
      <c r="AC23" s="120"/>
      <c r="AD23" s="89" t="s">
        <v>80</v>
      </c>
      <c r="AE23" s="89">
        <v>1</v>
      </c>
      <c r="AF23" s="99" t="s">
        <v>81</v>
      </c>
      <c r="AG23" s="99"/>
      <c r="AH23" s="99"/>
      <c r="AI23" s="100" t="s">
        <v>47</v>
      </c>
      <c r="AJ23" s="100" t="s">
        <v>47</v>
      </c>
      <c r="AK23" s="100" t="s">
        <v>47</v>
      </c>
      <c r="AL23" s="45" t="s">
        <v>64</v>
      </c>
      <c r="AM23" s="200" t="str">
        <f>MONTH(B23)&amp;"/"&amp;YEAR(B23)</f>
        <v>2/2026</v>
      </c>
      <c r="AN23" s="45">
        <f>WEEKNUM(B23)-WEEKNUM(EOMONTH(B23,-1)+1)+1</f>
        <v>1</v>
      </c>
      <c r="AO23" s="45" t="str">
        <f>MONTH(R23)&amp;"/"&amp;YEAR(R23)</f>
        <v>2/2026</v>
      </c>
      <c r="AP23" s="45">
        <f>WEEKNUM(R23)-WEEKNUM(EOMONTH(R23,-1)+1)+1</f>
        <v>1</v>
      </c>
      <c r="AQ23" s="45">
        <f>IF(AU23="S",IF(Q23="1. Aceitou o programa",R23-B23,0),0)</f>
        <v>0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68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137</v>
      </c>
      <c r="B24" s="88">
        <v>46058</v>
      </c>
      <c r="C24" s="89" t="s">
        <v>48</v>
      </c>
      <c r="D24" s="89" t="s">
        <v>156</v>
      </c>
      <c r="E24" s="90">
        <v>800025164</v>
      </c>
      <c r="F24" s="222" t="s">
        <v>160</v>
      </c>
      <c r="G24" s="92"/>
      <c r="H24" s="93">
        <v>16409</v>
      </c>
      <c r="I24" s="89"/>
      <c r="J24" s="89" t="s">
        <v>84</v>
      </c>
      <c r="K24" s="89" t="s">
        <v>52</v>
      </c>
      <c r="L24" s="89" t="s">
        <v>53</v>
      </c>
      <c r="M24" s="89"/>
      <c r="N24" s="89"/>
      <c r="O24" s="94" t="s">
        <v>161</v>
      </c>
      <c r="P24" s="95" t="s">
        <v>159</v>
      </c>
      <c r="Q24" s="145" t="s">
        <v>57</v>
      </c>
      <c r="R24" s="96">
        <v>46058</v>
      </c>
      <c r="S24" s="97"/>
      <c r="T24" s="97" t="s">
        <v>58</v>
      </c>
      <c r="U24" s="97" t="s">
        <v>59</v>
      </c>
      <c r="V24" s="93">
        <v>46058</v>
      </c>
      <c r="W24" s="93" t="s">
        <v>60</v>
      </c>
      <c r="X24" s="93" t="s">
        <v>60</v>
      </c>
      <c r="Y24" s="98"/>
      <c r="Z24" s="89" t="s">
        <v>62</v>
      </c>
      <c r="AA24" s="97"/>
      <c r="AB24" s="89"/>
      <c r="AC24" s="120"/>
      <c r="AD24" s="89"/>
      <c r="AE24" s="89"/>
      <c r="AF24" s="99"/>
      <c r="AG24" s="99"/>
      <c r="AH24" s="99"/>
      <c r="AI24" s="100"/>
      <c r="AJ24" s="100" t="s">
        <v>47</v>
      </c>
      <c r="AK24" s="100" t="s">
        <v>47</v>
      </c>
      <c r="AL24" s="45" t="s">
        <v>64</v>
      </c>
      <c r="AM24" s="200" t="str">
        <f>MONTH(B24)&amp;"/"&amp;YEAR(B24)</f>
        <v>2/2026</v>
      </c>
      <c r="AN24" s="45">
        <f>WEEKNUM(B24)-WEEKNUM(EOMONTH(B24,-1)+1)+1</f>
        <v>1</v>
      </c>
      <c r="AO24" s="45" t="str">
        <f>MONTH(R24)&amp;"/"&amp;YEAR(R24)</f>
        <v>2/2026</v>
      </c>
      <c r="AP24" s="45">
        <f>WEEKNUM(R24)-WEEKNUM(EOMONTH(R24,-1)+1)+1</f>
        <v>1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46058</v>
      </c>
      <c r="C25" s="89" t="s">
        <v>48</v>
      </c>
      <c r="D25" s="89" t="s">
        <v>49</v>
      </c>
      <c r="E25" s="90">
        <v>772399328</v>
      </c>
      <c r="F25" s="222" t="s">
        <v>162</v>
      </c>
      <c r="G25" s="92"/>
      <c r="H25" s="93">
        <v>17299</v>
      </c>
      <c r="I25" s="89">
        <v>79</v>
      </c>
      <c r="J25" s="89" t="s">
        <v>84</v>
      </c>
      <c r="K25" s="89" t="s">
        <v>52</v>
      </c>
      <c r="L25" s="89" t="s">
        <v>163</v>
      </c>
      <c r="M25" s="89" t="s">
        <v>77</v>
      </c>
      <c r="N25" s="89">
        <v>100</v>
      </c>
      <c r="O25" s="94" t="s">
        <v>164</v>
      </c>
      <c r="P25" s="95" t="s">
        <v>56</v>
      </c>
      <c r="Q25" s="145" t="s">
        <v>118</v>
      </c>
      <c r="R25" s="96"/>
      <c r="S25" s="97">
        <v>46150</v>
      </c>
      <c r="T25" s="97" t="s">
        <v>119</v>
      </c>
      <c r="U25" s="97" t="s">
        <v>69</v>
      </c>
      <c r="V25" s="93">
        <v>46079</v>
      </c>
      <c r="W25" s="93">
        <v>46125</v>
      </c>
      <c r="X25" s="93">
        <v>46142</v>
      </c>
      <c r="Y25" s="98" t="s">
        <v>123</v>
      </c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200" t="str">
        <f>MONTH(B25)&amp;"/"&amp;YEAR(B25)</f>
        <v>2/2026</v>
      </c>
      <c r="AN25" s="45">
        <f>WEEKNUM(B25)-WEEKNUM(EOMONTH(B25,-1)+1)+1</f>
        <v>1</v>
      </c>
      <c r="AO25" s="45" t="str">
        <f>MONTH(R25)&amp;"/"&amp;YEAR(R25)</f>
        <v>1/1900</v>
      </c>
      <c r="AP25" s="45" t="e">
        <f>WEEKNUM(R25)-WEEKNUM(EOMONTH(R25,-1)+1)+1</f>
        <v>#NUM!</v>
      </c>
      <c r="AQ25" s="45">
        <f>IF(AU25="S",IF(Q25="1. Aceitou o programa",R25-B25,0),0)</f>
        <v>0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0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46065</v>
      </c>
      <c r="C26" s="89" t="s">
        <v>48</v>
      </c>
      <c r="D26" s="89" t="s">
        <v>49</v>
      </c>
      <c r="E26" s="90">
        <v>452002621</v>
      </c>
      <c r="F26" s="222" t="s">
        <v>165</v>
      </c>
      <c r="G26" s="92"/>
      <c r="H26" s="93">
        <v>26526</v>
      </c>
      <c r="I26" s="89">
        <v>53</v>
      </c>
      <c r="J26" s="89" t="s">
        <v>84</v>
      </c>
      <c r="K26" s="89" t="s">
        <v>52</v>
      </c>
      <c r="L26" s="89" t="s">
        <v>166</v>
      </c>
      <c r="M26" s="89" t="s">
        <v>77</v>
      </c>
      <c r="N26" s="89">
        <v>100</v>
      </c>
      <c r="O26" s="94">
        <v>11982627039</v>
      </c>
      <c r="P26" s="95" t="s">
        <v>56</v>
      </c>
      <c r="Q26" s="145" t="s">
        <v>57</v>
      </c>
      <c r="R26" s="96">
        <v>46077</v>
      </c>
      <c r="S26" s="97"/>
      <c r="T26" s="97" t="s">
        <v>58</v>
      </c>
      <c r="U26" s="97" t="s">
        <v>59</v>
      </c>
      <c r="V26" s="93">
        <v>46079</v>
      </c>
      <c r="W26" s="93" t="s">
        <v>60</v>
      </c>
      <c r="X26" s="93" t="s">
        <v>60</v>
      </c>
      <c r="Y26" s="98" t="s">
        <v>167</v>
      </c>
      <c r="Z26" s="89" t="s">
        <v>62</v>
      </c>
      <c r="AA26" s="97">
        <v>46082</v>
      </c>
      <c r="AB26" s="89" t="s">
        <v>63</v>
      </c>
      <c r="AC26" s="120"/>
      <c r="AD26" s="89"/>
      <c r="AE26" s="89"/>
      <c r="AF26" s="99"/>
      <c r="AG26" s="99"/>
      <c r="AH26" s="99"/>
      <c r="AI26" s="100"/>
      <c r="AJ26" s="100" t="s">
        <v>47</v>
      </c>
      <c r="AK26" s="100" t="s">
        <v>47</v>
      </c>
      <c r="AL26" s="45" t="s">
        <v>64</v>
      </c>
      <c r="AM26" s="200" t="str">
        <f>MONTH(B26)&amp;"/"&amp;YEAR(B26)</f>
        <v>2/2026</v>
      </c>
      <c r="AN26" s="45">
        <f>WEEKNUM(B26)-WEEKNUM(EOMONTH(B26,-1)+1)+1</f>
        <v>2</v>
      </c>
      <c r="AO26" s="45" t="str">
        <f>MONTH(R26)&amp;"/"&amp;YEAR(R26)</f>
        <v>2/2026</v>
      </c>
      <c r="AP26" s="45">
        <f>WEEKNUM(R26)-WEEKNUM(EOMONTH(R26,-1)+1)+1</f>
        <v>4</v>
      </c>
      <c r="AQ26" s="45">
        <f>IF(AU26="S",IF(Q26="1. Aceitou o programa",R26-B26,0),0)</f>
        <v>12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5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46065</v>
      </c>
      <c r="C27" s="89" t="s">
        <v>48</v>
      </c>
      <c r="D27" s="89" t="s">
        <v>49</v>
      </c>
      <c r="E27" s="90">
        <v>810659794</v>
      </c>
      <c r="F27" s="222" t="s">
        <v>168</v>
      </c>
      <c r="G27" s="92"/>
      <c r="H27" s="93">
        <v>22028</v>
      </c>
      <c r="I27" s="89">
        <v>126</v>
      </c>
      <c r="J27" s="89" t="s">
        <v>84</v>
      </c>
      <c r="K27" s="89" t="s">
        <v>52</v>
      </c>
      <c r="L27" s="89" t="s">
        <v>169</v>
      </c>
      <c r="M27" s="89" t="s">
        <v>77</v>
      </c>
      <c r="N27" s="89">
        <v>100</v>
      </c>
      <c r="O27" s="94">
        <v>11970777649</v>
      </c>
      <c r="P27" s="95" t="s">
        <v>56</v>
      </c>
      <c r="Q27" s="145" t="s">
        <v>135</v>
      </c>
      <c r="R27" s="96"/>
      <c r="S27" s="97">
        <v>46079</v>
      </c>
      <c r="T27" s="97" t="s">
        <v>58</v>
      </c>
      <c r="U27" s="97" t="s">
        <v>69</v>
      </c>
      <c r="V27" s="93">
        <v>46079</v>
      </c>
      <c r="W27" s="93"/>
      <c r="X27" s="93"/>
      <c r="Y27" s="98" t="s">
        <v>170</v>
      </c>
      <c r="Z27" s="89" t="s">
        <v>62</v>
      </c>
      <c r="AA27" s="97">
        <v>46054</v>
      </c>
      <c r="AB27" s="89" t="s">
        <v>63</v>
      </c>
      <c r="AC27" s="120"/>
      <c r="AD27" s="89"/>
      <c r="AE27" s="89"/>
      <c r="AF27" s="99"/>
      <c r="AG27" s="99"/>
      <c r="AH27" s="99"/>
      <c r="AI27" s="100"/>
      <c r="AJ27" s="100" t="s">
        <v>71</v>
      </c>
      <c r="AK27" s="100"/>
      <c r="AL27" s="45" t="s">
        <v>64</v>
      </c>
      <c r="AM27" s="200" t="str">
        <f>MONTH(B27)&amp;"/"&amp;YEAR(B27)</f>
        <v>2/2026</v>
      </c>
      <c r="AN27" s="45">
        <f>WEEKNUM(B27)-WEEKNUM(EOMONTH(B27,-1)+1)+1</f>
        <v>2</v>
      </c>
      <c r="AO27" s="45" t="str">
        <f>MONTH(R27)&amp;"/"&amp;YEAR(R27)</f>
        <v>1/1900</v>
      </c>
      <c r="AP27" s="45" t="e">
        <f>WEEKNUM(R27)-WEEKNUM(EOMONTH(R27,-1)+1)+1</f>
        <v>#NUM!</v>
      </c>
      <c r="AQ27" s="45">
        <f>IF(AU27="S",IF(Q27="1. Aceitou o programa",R27-B27,0),0)</f>
        <v>0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46072</v>
      </c>
      <c r="C28" s="89" t="s">
        <v>48</v>
      </c>
      <c r="D28" s="89" t="s">
        <v>49</v>
      </c>
      <c r="E28" s="90">
        <v>94429498</v>
      </c>
      <c r="F28" s="222" t="s">
        <v>171</v>
      </c>
      <c r="G28" s="92"/>
      <c r="H28" s="93">
        <v>31933</v>
      </c>
      <c r="I28" s="89">
        <v>38</v>
      </c>
      <c r="J28" s="89" t="s">
        <v>84</v>
      </c>
      <c r="K28" s="89" t="s">
        <v>52</v>
      </c>
      <c r="L28" s="89" t="s">
        <v>172</v>
      </c>
      <c r="M28" s="89" t="s">
        <v>77</v>
      </c>
      <c r="N28" s="89">
        <v>110</v>
      </c>
      <c r="O28" s="94">
        <v>11963422365</v>
      </c>
      <c r="P28" s="95" t="s">
        <v>56</v>
      </c>
      <c r="Q28" s="145" t="s">
        <v>57</v>
      </c>
      <c r="R28" s="96">
        <v>46127</v>
      </c>
      <c r="S28" s="97"/>
      <c r="T28" s="97" t="s">
        <v>58</v>
      </c>
      <c r="U28" s="97" t="s">
        <v>59</v>
      </c>
      <c r="V28" s="93">
        <v>46079</v>
      </c>
      <c r="W28" s="93">
        <v>46125</v>
      </c>
      <c r="X28" s="93" t="s">
        <v>60</v>
      </c>
      <c r="Y28" s="98" t="s">
        <v>173</v>
      </c>
      <c r="Z28" s="89" t="s">
        <v>62</v>
      </c>
      <c r="AA28" s="97">
        <v>46127</v>
      </c>
      <c r="AB28" s="89" t="s">
        <v>63</v>
      </c>
      <c r="AC28" s="120"/>
      <c r="AD28" s="89"/>
      <c r="AE28" s="89"/>
      <c r="AF28" s="99"/>
      <c r="AG28" s="99"/>
      <c r="AH28" s="99"/>
      <c r="AI28" s="100"/>
      <c r="AJ28" s="100" t="s">
        <v>47</v>
      </c>
      <c r="AK28" s="100" t="s">
        <v>47</v>
      </c>
      <c r="AL28" s="45" t="s">
        <v>64</v>
      </c>
      <c r="AM28" s="200" t="str">
        <f>MONTH(B28)&amp;"/"&amp;YEAR(B28)</f>
        <v>2/2026</v>
      </c>
      <c r="AN28" s="45">
        <f>WEEKNUM(B28)-WEEKNUM(EOMONTH(B28,-1)+1)+1</f>
        <v>3</v>
      </c>
      <c r="AO28" s="45" t="str">
        <f>MONTH(R28)&amp;"/"&amp;YEAR(R28)</f>
        <v>4/2026</v>
      </c>
      <c r="AP28" s="45">
        <f>WEEKNUM(R28)-WEEKNUM(EOMONTH(R28,-1)+1)+1</f>
        <v>3</v>
      </c>
      <c r="AQ28" s="45">
        <f>IF(AU28="S",IF(Q28="1. Aceitou o programa",R28-B28,0),0)</f>
        <v>55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46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46078</v>
      </c>
      <c r="C29" s="89" t="s">
        <v>48</v>
      </c>
      <c r="D29" s="89" t="s">
        <v>49</v>
      </c>
      <c r="E29" s="90">
        <v>94188885</v>
      </c>
      <c r="F29" s="222" t="s">
        <v>174</v>
      </c>
      <c r="G29" s="92"/>
      <c r="H29" s="93">
        <v>21627</v>
      </c>
      <c r="I29" s="89">
        <v>67</v>
      </c>
      <c r="J29" s="89" t="s">
        <v>51</v>
      </c>
      <c r="K29" s="89" t="s">
        <v>52</v>
      </c>
      <c r="L29" s="89" t="s">
        <v>175</v>
      </c>
      <c r="M29" s="89" t="s">
        <v>77</v>
      </c>
      <c r="N29" s="89">
        <v>110</v>
      </c>
      <c r="O29" s="94">
        <v>11996669409</v>
      </c>
      <c r="P29" s="95" t="s">
        <v>56</v>
      </c>
      <c r="Q29" s="145" t="s">
        <v>68</v>
      </c>
      <c r="R29" s="96"/>
      <c r="S29" s="97">
        <v>46092</v>
      </c>
      <c r="T29" s="97" t="s">
        <v>58</v>
      </c>
      <c r="U29" s="97" t="s">
        <v>69</v>
      </c>
      <c r="V29" s="93">
        <v>46092</v>
      </c>
      <c r="W29" s="93">
        <v>46125</v>
      </c>
      <c r="X29" s="93"/>
      <c r="Y29" s="98" t="s">
        <v>176</v>
      </c>
      <c r="Z29" s="89" t="s">
        <v>62</v>
      </c>
      <c r="AA29" s="97">
        <v>46157</v>
      </c>
      <c r="AB29" s="89" t="s">
        <v>177</v>
      </c>
      <c r="AC29" s="120"/>
      <c r="AD29" s="89"/>
      <c r="AE29" s="89"/>
      <c r="AF29" s="99"/>
      <c r="AG29" s="99"/>
      <c r="AH29" s="99"/>
      <c r="AI29" s="100"/>
      <c r="AJ29" s="100" t="s">
        <v>71</v>
      </c>
      <c r="AK29" s="100"/>
      <c r="AL29" s="45" t="s">
        <v>64</v>
      </c>
      <c r="AM29" s="200" t="str">
        <f>MONTH(B29)&amp;"/"&amp;YEAR(B29)</f>
        <v>2/2026</v>
      </c>
      <c r="AN29" s="45">
        <f>WEEKNUM(B29)-WEEKNUM(EOMONTH(B29,-1)+1)+1</f>
        <v>4</v>
      </c>
      <c r="AO29" s="45" t="str">
        <f>MONTH(R29)&amp;"/"&amp;YEAR(R29)</f>
        <v>1/1900</v>
      </c>
      <c r="AP29" s="45" t="e">
        <f>WEEKNUM(R29)-WEEKNUM(EOMONTH(R29,-1)+1)+1</f>
        <v>#NUM!</v>
      </c>
      <c r="AQ29" s="45">
        <f>IF(AU29="S",IF(Q29="1. Aceitou o programa",R29-B29,0),0)</f>
        <v>0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46079</v>
      </c>
      <c r="C30" s="89" t="s">
        <v>138</v>
      </c>
      <c r="D30" s="89" t="s">
        <v>139</v>
      </c>
      <c r="E30" s="90">
        <v>301361053</v>
      </c>
      <c r="F30" s="222" t="s">
        <v>178</v>
      </c>
      <c r="G30" s="92"/>
      <c r="H30" s="93">
        <v>21713</v>
      </c>
      <c r="I30" s="89">
        <v>66</v>
      </c>
      <c r="J30" s="89" t="s">
        <v>51</v>
      </c>
      <c r="K30" s="89" t="s">
        <v>52</v>
      </c>
      <c r="L30" s="89" t="s">
        <v>53</v>
      </c>
      <c r="M30" s="89" t="s">
        <v>77</v>
      </c>
      <c r="N30" s="89"/>
      <c r="O30" s="94">
        <v>11967669822</v>
      </c>
      <c r="P30" s="95" t="s">
        <v>56</v>
      </c>
      <c r="Q30" s="145" t="s">
        <v>135</v>
      </c>
      <c r="R30" s="96"/>
      <c r="S30" s="97">
        <v>46142</v>
      </c>
      <c r="T30" s="97" t="s">
        <v>58</v>
      </c>
      <c r="U30" s="97" t="s">
        <v>69</v>
      </c>
      <c r="V30" s="93">
        <v>46092</v>
      </c>
      <c r="W30" s="93">
        <v>46142</v>
      </c>
      <c r="X30" s="93" t="s">
        <v>60</v>
      </c>
      <c r="Y30" s="98" t="s">
        <v>179</v>
      </c>
      <c r="Z30" s="89"/>
      <c r="AA30" s="97"/>
      <c r="AB30" s="89"/>
      <c r="AC30" s="120"/>
      <c r="AD30" s="89"/>
      <c r="AE30" s="89"/>
      <c r="AF30" s="99"/>
      <c r="AG30" s="99"/>
      <c r="AH30" s="99"/>
      <c r="AI30" s="100"/>
      <c r="AJ30" s="100" t="s">
        <v>71</v>
      </c>
      <c r="AK30" s="100" t="s">
        <v>47</v>
      </c>
      <c r="AL30" s="45" t="s">
        <v>64</v>
      </c>
      <c r="AM30" s="200" t="str">
        <f>MONTH(B30)&amp;"/"&amp;YEAR(B30)</f>
        <v>2/2026</v>
      </c>
      <c r="AN30" s="45">
        <f>WEEKNUM(B30)-WEEKNUM(EOMONTH(B30,-1)+1)+1</f>
        <v>4</v>
      </c>
      <c r="AO30" s="45" t="str">
        <f>MONTH(R30)&amp;"/"&amp;YEAR(R30)</f>
        <v>1/1900</v>
      </c>
      <c r="AP30" s="45" t="e">
        <f>WEEKNUM(R30)-WEEKNUM(EOMONTH(R30,-1)+1)+1</f>
        <v>#NUM!</v>
      </c>
      <c r="AQ30" s="45">
        <f>IF(AU30="S",IF(Q30="1. Aceitou o programa",R30-B30,0),0)</f>
        <v>0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0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46091</v>
      </c>
      <c r="C31" s="89" t="s">
        <v>48</v>
      </c>
      <c r="D31" s="89" t="s">
        <v>49</v>
      </c>
      <c r="E31" s="90">
        <v>451632320</v>
      </c>
      <c r="F31" s="222" t="s">
        <v>180</v>
      </c>
      <c r="G31" s="92"/>
      <c r="H31" s="93">
        <v>16055</v>
      </c>
      <c r="I31" s="89">
        <v>82</v>
      </c>
      <c r="J31" s="89" t="s">
        <v>51</v>
      </c>
      <c r="K31" s="89" t="s">
        <v>52</v>
      </c>
      <c r="L31" s="89" t="s">
        <v>181</v>
      </c>
      <c r="M31" s="89" t="s">
        <v>77</v>
      </c>
      <c r="N31" s="89">
        <v>100</v>
      </c>
      <c r="O31" s="94">
        <v>11995084735</v>
      </c>
      <c r="P31" s="95" t="s">
        <v>56</v>
      </c>
      <c r="Q31" s="145" t="s">
        <v>57</v>
      </c>
      <c r="R31" s="96">
        <v>46092</v>
      </c>
      <c r="S31" s="97"/>
      <c r="T31" s="97" t="s">
        <v>58</v>
      </c>
      <c r="U31" s="97" t="s">
        <v>59</v>
      </c>
      <c r="V31" s="93">
        <v>46092</v>
      </c>
      <c r="W31" s="93" t="s">
        <v>60</v>
      </c>
      <c r="X31" s="93" t="s">
        <v>60</v>
      </c>
      <c r="Y31" s="98" t="s">
        <v>182</v>
      </c>
      <c r="Z31" s="89" t="s">
        <v>89</v>
      </c>
      <c r="AA31" s="97"/>
      <c r="AB31" s="89"/>
      <c r="AC31" s="120"/>
      <c r="AD31" s="89"/>
      <c r="AE31" s="89"/>
      <c r="AF31" s="99"/>
      <c r="AG31" s="99"/>
      <c r="AH31" s="99"/>
      <c r="AI31" s="100"/>
      <c r="AJ31" s="100" t="s">
        <v>47</v>
      </c>
      <c r="AK31" s="100" t="s">
        <v>47</v>
      </c>
      <c r="AL31" s="45" t="s">
        <v>64</v>
      </c>
      <c r="AM31" s="200" t="str">
        <f>MONTH(B31)&amp;"/"&amp;YEAR(B31)</f>
        <v>3/2026</v>
      </c>
      <c r="AN31" s="45">
        <f>WEEKNUM(B31)-WEEKNUM(EOMONTH(B31,-1)+1)+1</f>
        <v>2</v>
      </c>
      <c r="AO31" s="45" t="str">
        <f>MONTH(R31)&amp;"/"&amp;YEAR(R31)</f>
        <v>3/2026</v>
      </c>
      <c r="AP31" s="45">
        <f>WEEKNUM(R31)-WEEKNUM(EOMONTH(R31,-1)+1)+1</f>
        <v>2</v>
      </c>
      <c r="AQ31" s="45">
        <f>IF(AU31="S",IF(Q31="1. Aceitou o programa",R31-B31,0),0)</f>
        <v>1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46091</v>
      </c>
      <c r="C32" s="89" t="s">
        <v>48</v>
      </c>
      <c r="D32" s="89" t="s">
        <v>49</v>
      </c>
      <c r="E32" s="90">
        <v>79230426</v>
      </c>
      <c r="F32" s="222" t="s">
        <v>183</v>
      </c>
      <c r="G32" s="92"/>
      <c r="H32" s="93">
        <v>15494</v>
      </c>
      <c r="I32" s="89">
        <v>83</v>
      </c>
      <c r="J32" s="89" t="s">
        <v>51</v>
      </c>
      <c r="K32" s="89" t="s">
        <v>52</v>
      </c>
      <c r="L32" s="89" t="s">
        <v>184</v>
      </c>
      <c r="M32" s="89" t="s">
        <v>77</v>
      </c>
      <c r="N32" s="89">
        <v>50</v>
      </c>
      <c r="O32" s="94">
        <v>11975451357</v>
      </c>
      <c r="P32" s="95" t="s">
        <v>56</v>
      </c>
      <c r="Q32" s="145" t="s">
        <v>57</v>
      </c>
      <c r="R32" s="96">
        <v>46092</v>
      </c>
      <c r="S32" s="97"/>
      <c r="T32" s="97" t="s">
        <v>58</v>
      </c>
      <c r="U32" s="97" t="s">
        <v>59</v>
      </c>
      <c r="V32" s="93">
        <v>46092</v>
      </c>
      <c r="W32" s="93" t="s">
        <v>60</v>
      </c>
      <c r="X32" s="93" t="s">
        <v>60</v>
      </c>
      <c r="Y32" s="98" t="s">
        <v>185</v>
      </c>
      <c r="Z32" s="89" t="s">
        <v>89</v>
      </c>
      <c r="AA32" s="97"/>
      <c r="AB32" s="89"/>
      <c r="AC32" s="120"/>
      <c r="AD32" s="89"/>
      <c r="AE32" s="89"/>
      <c r="AF32" s="99"/>
      <c r="AG32" s="99"/>
      <c r="AH32" s="99" t="s">
        <v>106</v>
      </c>
      <c r="AI32" s="100"/>
      <c r="AJ32" s="100" t="s">
        <v>47</v>
      </c>
      <c r="AK32" s="100" t="s">
        <v>47</v>
      </c>
      <c r="AL32" s="45" t="s">
        <v>64</v>
      </c>
      <c r="AM32" s="200" t="str">
        <f>MONTH(B32)&amp;"/"&amp;YEAR(B32)</f>
        <v>3/2026</v>
      </c>
      <c r="AN32" s="45">
        <f>WEEKNUM(B32)-WEEKNUM(EOMONTH(B32,-1)+1)+1</f>
        <v>2</v>
      </c>
      <c r="AO32" s="45" t="str">
        <f>MONTH(R32)&amp;"/"&amp;YEAR(R32)</f>
        <v>3/2026</v>
      </c>
      <c r="AP32" s="45">
        <f>WEEKNUM(R32)-WEEKNUM(EOMONTH(R32,-1)+1)+1</f>
        <v>2</v>
      </c>
      <c r="AQ32" s="45">
        <f>IF(AU32="S",IF(Q32="1. Aceitou o programa",R32-B32,0),0)</f>
        <v>1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46093</v>
      </c>
      <c r="C33" s="89" t="s">
        <v>138</v>
      </c>
      <c r="D33" s="89" t="s">
        <v>139</v>
      </c>
      <c r="E33" s="90">
        <v>87532912</v>
      </c>
      <c r="F33" s="222" t="s">
        <v>186</v>
      </c>
      <c r="G33" s="92"/>
      <c r="H33" s="93">
        <v>29307</v>
      </c>
      <c r="I33" s="89">
        <v>46</v>
      </c>
      <c r="J33" s="89" t="s">
        <v>51</v>
      </c>
      <c r="K33" s="89" t="s">
        <v>52</v>
      </c>
      <c r="L33" s="89" t="s">
        <v>187</v>
      </c>
      <c r="M33" s="89" t="s">
        <v>77</v>
      </c>
      <c r="N33" s="89">
        <v>100</v>
      </c>
      <c r="O33" s="94">
        <v>11932178446</v>
      </c>
      <c r="P33" s="95" t="s">
        <v>56</v>
      </c>
      <c r="Q33" s="145" t="s">
        <v>57</v>
      </c>
      <c r="R33" s="96">
        <v>46091</v>
      </c>
      <c r="S33" s="97"/>
      <c r="T33" s="97" t="s">
        <v>58</v>
      </c>
      <c r="U33" s="97" t="s">
        <v>59</v>
      </c>
      <c r="V33" s="93" t="s">
        <v>188</v>
      </c>
      <c r="W33" s="93" t="s">
        <v>60</v>
      </c>
      <c r="X33" s="93" t="s">
        <v>60</v>
      </c>
      <c r="Y33" s="98" t="s">
        <v>189</v>
      </c>
      <c r="Z33" s="89" t="s">
        <v>89</v>
      </c>
      <c r="AA33" s="97"/>
      <c r="AB33" s="89"/>
      <c r="AC33" s="120"/>
      <c r="AD33" s="89"/>
      <c r="AE33" s="89"/>
      <c r="AF33" s="99"/>
      <c r="AG33" s="99"/>
      <c r="AH33" s="99"/>
      <c r="AI33" s="100"/>
      <c r="AJ33" s="100" t="s">
        <v>47</v>
      </c>
      <c r="AK33" s="100" t="s">
        <v>47</v>
      </c>
      <c r="AL33" s="45" t="s">
        <v>64</v>
      </c>
      <c r="AM33" s="200" t="str">
        <f>MONTH(B33)&amp;"/"&amp;YEAR(B33)</f>
        <v>3/2026</v>
      </c>
      <c r="AN33" s="45">
        <f>WEEKNUM(B33)-WEEKNUM(EOMONTH(B33,-1)+1)+1</f>
        <v>2</v>
      </c>
      <c r="AO33" s="45" t="str">
        <f>MONTH(R33)&amp;"/"&amp;YEAR(R33)</f>
        <v>3/2026</v>
      </c>
      <c r="AP33" s="45">
        <f>WEEKNUM(R33)-WEEKNUM(EOMONTH(R33,-1)+1)+1</f>
        <v>2</v>
      </c>
      <c r="AQ33" s="45">
        <f>IF(AU33="S",IF(Q33="1. Aceitou o programa",R33-B33,0),0)</f>
        <v>-2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46098</v>
      </c>
      <c r="C34" s="89" t="s">
        <v>48</v>
      </c>
      <c r="D34" s="89" t="s">
        <v>190</v>
      </c>
      <c r="E34" s="90">
        <v>80514839</v>
      </c>
      <c r="F34" s="222" t="s">
        <v>191</v>
      </c>
      <c r="G34" s="92"/>
      <c r="H34" s="93">
        <v>22167</v>
      </c>
      <c r="I34" s="89">
        <v>65</v>
      </c>
      <c r="J34" s="89" t="s">
        <v>51</v>
      </c>
      <c r="K34" s="89" t="s">
        <v>52</v>
      </c>
      <c r="L34" s="89" t="s">
        <v>192</v>
      </c>
      <c r="M34" s="89" t="s">
        <v>77</v>
      </c>
      <c r="N34" s="89">
        <v>700</v>
      </c>
      <c r="O34" s="94">
        <v>11999782669</v>
      </c>
      <c r="P34" s="95" t="s">
        <v>159</v>
      </c>
      <c r="Q34" s="145" t="s">
        <v>57</v>
      </c>
      <c r="R34" s="96">
        <v>46125</v>
      </c>
      <c r="S34" s="97"/>
      <c r="T34" s="97" t="s">
        <v>58</v>
      </c>
      <c r="U34" s="97" t="s">
        <v>59</v>
      </c>
      <c r="V34" s="93">
        <v>46100</v>
      </c>
      <c r="W34" s="93">
        <v>46125</v>
      </c>
      <c r="X34" s="93" t="s">
        <v>60</v>
      </c>
      <c r="Y34" s="98"/>
      <c r="Z34" s="89" t="s">
        <v>62</v>
      </c>
      <c r="AA34" s="97">
        <v>46126</v>
      </c>
      <c r="AB34" s="89" t="s">
        <v>177</v>
      </c>
      <c r="AC34" s="120"/>
      <c r="AD34" s="89"/>
      <c r="AE34" s="89"/>
      <c r="AF34" s="99"/>
      <c r="AG34" s="99"/>
      <c r="AH34" s="99"/>
      <c r="AI34" s="100"/>
      <c r="AJ34" s="100" t="s">
        <v>47</v>
      </c>
      <c r="AK34" s="100" t="s">
        <v>47</v>
      </c>
      <c r="AL34" s="45" t="s">
        <v>64</v>
      </c>
      <c r="AM34" s="200" t="str">
        <f>MONTH(B34)&amp;"/"&amp;YEAR(B34)</f>
        <v>3/2026</v>
      </c>
      <c r="AN34" s="45">
        <f>WEEKNUM(B34)-WEEKNUM(EOMONTH(B34,-1)+1)+1</f>
        <v>3</v>
      </c>
      <c r="AO34" s="45" t="str">
        <f>MONTH(R34)&amp;"/"&amp;YEAR(R34)</f>
        <v>4/2026</v>
      </c>
      <c r="AP34" s="45">
        <f>WEEKNUM(R34)-WEEKNUM(EOMONTH(R34,-1)+1)+1</f>
        <v>3</v>
      </c>
      <c r="AQ34" s="45">
        <f>IF(AU34="S",IF(Q34="1. Aceitou o programa",R34-B34,0),0)</f>
        <v>27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25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46099</v>
      </c>
      <c r="C35" s="89" t="s">
        <v>48</v>
      </c>
      <c r="D35" s="89" t="s">
        <v>49</v>
      </c>
      <c r="E35" s="90">
        <v>783548516</v>
      </c>
      <c r="F35" s="222" t="s">
        <v>193</v>
      </c>
      <c r="G35" s="92"/>
      <c r="H35" s="93">
        <v>15963</v>
      </c>
      <c r="I35" s="89">
        <v>82</v>
      </c>
      <c r="J35" s="89" t="s">
        <v>84</v>
      </c>
      <c r="K35" s="89" t="s">
        <v>52</v>
      </c>
      <c r="L35" s="89" t="s">
        <v>53</v>
      </c>
      <c r="M35" s="89" t="s">
        <v>77</v>
      </c>
      <c r="N35" s="89">
        <v>100</v>
      </c>
      <c r="O35" s="94" t="s">
        <v>194</v>
      </c>
      <c r="P35" s="95" t="s">
        <v>56</v>
      </c>
      <c r="Q35" s="145" t="s">
        <v>57</v>
      </c>
      <c r="R35" s="96">
        <v>46125</v>
      </c>
      <c r="S35" s="97"/>
      <c r="T35" s="97" t="s">
        <v>58</v>
      </c>
      <c r="U35" s="97" t="s">
        <v>59</v>
      </c>
      <c r="V35" s="93">
        <v>46100</v>
      </c>
      <c r="W35" s="93">
        <v>46125</v>
      </c>
      <c r="X35" s="93" t="s">
        <v>60</v>
      </c>
      <c r="Y35" s="98"/>
      <c r="Z35" s="89" t="s">
        <v>62</v>
      </c>
      <c r="AA35" s="97">
        <v>46127</v>
      </c>
      <c r="AB35" s="89" t="s">
        <v>63</v>
      </c>
      <c r="AC35" s="120"/>
      <c r="AD35" s="89" t="s">
        <v>80</v>
      </c>
      <c r="AE35" s="89">
        <v>0</v>
      </c>
      <c r="AF35" s="99" t="s">
        <v>195</v>
      </c>
      <c r="AG35" s="99"/>
      <c r="AH35" s="99"/>
      <c r="AI35" s="100" t="s">
        <v>47</v>
      </c>
      <c r="AJ35" s="100" t="s">
        <v>47</v>
      </c>
      <c r="AK35" s="100" t="s">
        <v>47</v>
      </c>
      <c r="AL35" s="45" t="s">
        <v>64</v>
      </c>
      <c r="AM35" s="200" t="str">
        <f>MONTH(B35)&amp;"/"&amp;YEAR(B35)</f>
        <v>3/2026</v>
      </c>
      <c r="AN35" s="45">
        <f>WEEKNUM(B35)-WEEKNUM(EOMONTH(B35,-1)+1)+1</f>
        <v>3</v>
      </c>
      <c r="AO35" s="45" t="str">
        <f>MONTH(R35)&amp;"/"&amp;YEAR(R35)</f>
        <v>4/2026</v>
      </c>
      <c r="AP35" s="45">
        <f>WEEKNUM(R35)-WEEKNUM(EOMONTH(R35,-1)+1)+1</f>
        <v>3</v>
      </c>
      <c r="AQ35" s="45">
        <f>IF(AU35="S",IF(Q35="1. Aceitou o programa",R35-B35,0),0)</f>
        <v>26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25</v>
      </c>
      <c r="AT35" s="45">
        <f>IF(AU35="S",IF(AND(Q35="1. Aceitou o programa",AB35="Realizada"),IFERROR(IF(AA35="",0,AA35-R35),0),0),0)</f>
        <v>2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46099</v>
      </c>
      <c r="C36" s="89" t="s">
        <v>48</v>
      </c>
      <c r="D36" s="89" t="s">
        <v>49</v>
      </c>
      <c r="E36" s="90">
        <v>77842835</v>
      </c>
      <c r="F36" s="222" t="s">
        <v>196</v>
      </c>
      <c r="G36" s="92">
        <v>5783748897</v>
      </c>
      <c r="H36" s="93">
        <v>23433</v>
      </c>
      <c r="I36" s="89">
        <v>62</v>
      </c>
      <c r="J36" s="89" t="s">
        <v>51</v>
      </c>
      <c r="K36" s="89" t="s">
        <v>52</v>
      </c>
      <c r="L36" s="89" t="s">
        <v>197</v>
      </c>
      <c r="M36" s="89" t="s">
        <v>77</v>
      </c>
      <c r="N36" s="89">
        <v>60</v>
      </c>
      <c r="O36" s="94" t="s">
        <v>198</v>
      </c>
      <c r="P36" s="95" t="s">
        <v>56</v>
      </c>
      <c r="Q36" s="145" t="s">
        <v>57</v>
      </c>
      <c r="R36" s="96">
        <v>46142</v>
      </c>
      <c r="S36" s="97"/>
      <c r="T36" s="97" t="s">
        <v>58</v>
      </c>
      <c r="U36" s="97" t="s">
        <v>59</v>
      </c>
      <c r="V36" s="93">
        <v>46100</v>
      </c>
      <c r="W36" s="93">
        <v>46125</v>
      </c>
      <c r="X36" s="93">
        <v>46142</v>
      </c>
      <c r="Y36" s="98"/>
      <c r="Z36" s="89" t="s">
        <v>62</v>
      </c>
      <c r="AA36" s="97" t="s">
        <v>199</v>
      </c>
      <c r="AB36" s="89" t="s">
        <v>177</v>
      </c>
      <c r="AC36" s="120">
        <v>46161</v>
      </c>
      <c r="AD36" s="89"/>
      <c r="AE36" s="89"/>
      <c r="AF36" s="99"/>
      <c r="AG36" s="99"/>
      <c r="AH36" s="99"/>
      <c r="AI36" s="100"/>
      <c r="AJ36" s="100" t="s">
        <v>47</v>
      </c>
      <c r="AK36" s="100" t="s">
        <v>47</v>
      </c>
      <c r="AL36" s="45" t="s">
        <v>64</v>
      </c>
      <c r="AM36" s="200" t="str">
        <f>MONTH(B36)&amp;"/"&amp;YEAR(B36)</f>
        <v>3/2026</v>
      </c>
      <c r="AN36" s="45">
        <f>WEEKNUM(B36)-WEEKNUM(EOMONTH(B36,-1)+1)+1</f>
        <v>3</v>
      </c>
      <c r="AO36" s="45" t="str">
        <f>MONTH(R36)&amp;"/"&amp;YEAR(R36)</f>
        <v>4/2026</v>
      </c>
      <c r="AP36" s="45">
        <f>WEEKNUM(R36)-WEEKNUM(EOMONTH(R36,-1)+1)+1</f>
        <v>5</v>
      </c>
      <c r="AQ36" s="45">
        <f>IF(AU36="S",IF(Q36="1. Aceitou o programa",R36-B36,0),0)</f>
        <v>43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21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46105</v>
      </c>
      <c r="C37" s="89" t="s">
        <v>48</v>
      </c>
      <c r="D37" s="89" t="s">
        <v>49</v>
      </c>
      <c r="E37" s="90">
        <v>84044774</v>
      </c>
      <c r="F37" s="222" t="s">
        <v>200</v>
      </c>
      <c r="G37" s="92">
        <v>56958757300</v>
      </c>
      <c r="H37" s="93">
        <v>27422</v>
      </c>
      <c r="I37" s="89">
        <v>51</v>
      </c>
      <c r="J37" s="89" t="s">
        <v>51</v>
      </c>
      <c r="K37" s="89" t="s">
        <v>52</v>
      </c>
      <c r="L37" s="89" t="s">
        <v>53</v>
      </c>
      <c r="M37" s="89" t="s">
        <v>201</v>
      </c>
      <c r="N37" s="89">
        <v>60</v>
      </c>
      <c r="O37" s="94">
        <v>11949003012</v>
      </c>
      <c r="P37" s="95" t="s">
        <v>56</v>
      </c>
      <c r="Q37" s="145" t="s">
        <v>57</v>
      </c>
      <c r="R37" s="96">
        <v>46125</v>
      </c>
      <c r="S37" s="97"/>
      <c r="T37" s="97" t="s">
        <v>58</v>
      </c>
      <c r="U37" s="97" t="s">
        <v>59</v>
      </c>
      <c r="V37" s="93">
        <v>46107</v>
      </c>
      <c r="W37" s="93">
        <v>46125</v>
      </c>
      <c r="X37" s="93" t="s">
        <v>60</v>
      </c>
      <c r="Y37" s="98"/>
      <c r="Z37" s="89" t="s">
        <v>62</v>
      </c>
      <c r="AA37" s="97">
        <v>46126</v>
      </c>
      <c r="AB37" s="89" t="s">
        <v>63</v>
      </c>
      <c r="AC37" s="120"/>
      <c r="AD37" s="89" t="s">
        <v>80</v>
      </c>
      <c r="AE37" s="89">
        <v>0</v>
      </c>
      <c r="AF37" s="99" t="s">
        <v>195</v>
      </c>
      <c r="AG37" s="99"/>
      <c r="AH37" s="99"/>
      <c r="AI37" s="100" t="s">
        <v>47</v>
      </c>
      <c r="AJ37" s="100" t="s">
        <v>47</v>
      </c>
      <c r="AK37" s="100" t="s">
        <v>47</v>
      </c>
      <c r="AL37" s="45" t="s">
        <v>64</v>
      </c>
      <c r="AM37" s="200" t="str">
        <f>MONTH(B37)&amp;"/"&amp;YEAR(B37)</f>
        <v>3/2026</v>
      </c>
      <c r="AN37" s="45">
        <f>WEEKNUM(B37)-WEEKNUM(EOMONTH(B37,-1)+1)+1</f>
        <v>4</v>
      </c>
      <c r="AO37" s="45" t="str">
        <f>MONTH(R37)&amp;"/"&amp;YEAR(R37)</f>
        <v>4/2026</v>
      </c>
      <c r="AP37" s="45">
        <f>WEEKNUM(R37)-WEEKNUM(EOMONTH(R37,-1)+1)+1</f>
        <v>3</v>
      </c>
      <c r="AQ37" s="45">
        <f>IF(AU37="S",IF(Q37="1. Aceitou o programa",R37-B37,0),0)</f>
        <v>20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18</v>
      </c>
      <c r="AT37" s="45">
        <f>IF(AU37="S",IF(AND(Q37="1. Aceitou o programa",AB37="Realizada"),IFERROR(IF(AA37="",0,AA37-R37),0),0),0)</f>
        <v>1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46105</v>
      </c>
      <c r="C38" s="89" t="s">
        <v>48</v>
      </c>
      <c r="D38" s="89" t="s">
        <v>49</v>
      </c>
      <c r="E38" s="90">
        <v>450182800</v>
      </c>
      <c r="F38" s="222" t="s">
        <v>202</v>
      </c>
      <c r="G38" s="92">
        <v>668772883</v>
      </c>
      <c r="H38" s="93">
        <v>15401</v>
      </c>
      <c r="I38" s="89">
        <v>84</v>
      </c>
      <c r="J38" s="89" t="s">
        <v>84</v>
      </c>
      <c r="K38" s="89" t="s">
        <v>52</v>
      </c>
      <c r="L38" s="89" t="s">
        <v>53</v>
      </c>
      <c r="M38" s="89" t="s">
        <v>203</v>
      </c>
      <c r="N38" s="89">
        <v>100</v>
      </c>
      <c r="O38" s="94">
        <v>11996049931</v>
      </c>
      <c r="P38" s="95" t="s">
        <v>56</v>
      </c>
      <c r="Q38" s="145" t="s">
        <v>118</v>
      </c>
      <c r="R38" s="96"/>
      <c r="S38" s="97">
        <v>46150</v>
      </c>
      <c r="T38" s="97" t="s">
        <v>119</v>
      </c>
      <c r="U38" s="97" t="s">
        <v>69</v>
      </c>
      <c r="V38" s="93">
        <v>46107</v>
      </c>
      <c r="W38" s="93">
        <v>46125</v>
      </c>
      <c r="X38" s="93">
        <v>46142</v>
      </c>
      <c r="Y38" s="98"/>
      <c r="Z38" s="89"/>
      <c r="AA38" s="97"/>
      <c r="AB38" s="89"/>
      <c r="AC38" s="120"/>
      <c r="AD38" s="89"/>
      <c r="AE38" s="89"/>
      <c r="AF38" s="99"/>
      <c r="AG38" s="99"/>
      <c r="AH38" s="99"/>
      <c r="AI38" s="100"/>
      <c r="AJ38" s="100"/>
      <c r="AK38" s="100"/>
      <c r="AL38" s="45" t="s">
        <v>64</v>
      </c>
      <c r="AM38" s="200" t="str">
        <f>MONTH(B38)&amp;"/"&amp;YEAR(B38)</f>
        <v>3/2026</v>
      </c>
      <c r="AN38" s="45">
        <f>WEEKNUM(B38)-WEEKNUM(EOMONTH(B38,-1)+1)+1</f>
        <v>4</v>
      </c>
      <c r="AO38" s="45" t="str">
        <f>MONTH(R38)&amp;"/"&amp;YEAR(R38)</f>
        <v>1/1900</v>
      </c>
      <c r="AP38" s="45" t="e">
        <f>WEEKNUM(R38)-WEEKNUM(EOMONTH(R38,-1)+1)+1</f>
        <v>#NUM!</v>
      </c>
      <c r="AQ38" s="45">
        <f>IF(AU38="S",IF(Q38="1. Aceitou o programa",R38-B38,0),0)</f>
        <v>0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0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46107</v>
      </c>
      <c r="C39" s="89" t="s">
        <v>48</v>
      </c>
      <c r="D39" s="89" t="s">
        <v>49</v>
      </c>
      <c r="E39" s="90">
        <v>451737474</v>
      </c>
      <c r="F39" s="222" t="s">
        <v>204</v>
      </c>
      <c r="G39" s="92">
        <v>61741361834</v>
      </c>
      <c r="H39" s="93">
        <v>12079</v>
      </c>
      <c r="I39" s="89">
        <v>93</v>
      </c>
      <c r="J39" s="89" t="s">
        <v>51</v>
      </c>
      <c r="K39" s="89" t="s">
        <v>52</v>
      </c>
      <c r="L39" s="89" t="s">
        <v>53</v>
      </c>
      <c r="M39" s="89" t="s">
        <v>205</v>
      </c>
      <c r="N39" s="89">
        <v>400</v>
      </c>
      <c r="O39" s="94">
        <v>11932029314</v>
      </c>
      <c r="P39" s="95" t="s">
        <v>56</v>
      </c>
      <c r="Q39" s="145" t="s">
        <v>118</v>
      </c>
      <c r="R39" s="96"/>
      <c r="S39" s="97">
        <v>46150</v>
      </c>
      <c r="T39" s="97" t="s">
        <v>119</v>
      </c>
      <c r="U39" s="97" t="s">
        <v>69</v>
      </c>
      <c r="V39" s="93">
        <v>46107</v>
      </c>
      <c r="W39" s="93">
        <v>46125</v>
      </c>
      <c r="X39" s="93">
        <v>46147</v>
      </c>
      <c r="Y39" s="98" t="s">
        <v>206</v>
      </c>
      <c r="Z39" s="89"/>
      <c r="AA39" s="97"/>
      <c r="AB39" s="89"/>
      <c r="AC39" s="120"/>
      <c r="AD39" s="89"/>
      <c r="AE39" s="89"/>
      <c r="AF39" s="99"/>
      <c r="AG39" s="99"/>
      <c r="AH39" s="99"/>
      <c r="AI39" s="100"/>
      <c r="AJ39" s="100"/>
      <c r="AK39" s="100"/>
      <c r="AL39" s="45" t="s">
        <v>64</v>
      </c>
      <c r="AM39" s="200" t="str">
        <f>MONTH(B39)&amp;"/"&amp;YEAR(B39)</f>
        <v>3/2026</v>
      </c>
      <c r="AN39" s="45">
        <f>WEEKNUM(B39)-WEEKNUM(EOMONTH(B39,-1)+1)+1</f>
        <v>4</v>
      </c>
      <c r="AO39" s="45" t="str">
        <f>MONTH(R39)&amp;"/"&amp;YEAR(R39)</f>
        <v>1/1900</v>
      </c>
      <c r="AP39" s="45" t="e">
        <f>WEEKNUM(R39)-WEEKNUM(EOMONTH(R39,-1)+1)+1</f>
        <v>#NUM!</v>
      </c>
      <c r="AQ39" s="45">
        <f>IF(AU39="S",IF(Q39="1. Aceitou o programa",R39-B39,0),0)</f>
        <v>0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0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46120</v>
      </c>
      <c r="C40" s="89" t="s">
        <v>48</v>
      </c>
      <c r="D40" s="89" t="s">
        <v>49</v>
      </c>
      <c r="E40" s="90">
        <v>94866348</v>
      </c>
      <c r="F40" s="222" t="s">
        <v>207</v>
      </c>
      <c r="G40" s="92">
        <v>41095646893</v>
      </c>
      <c r="H40" s="93">
        <v>33755</v>
      </c>
      <c r="I40" s="89">
        <v>33</v>
      </c>
      <c r="J40" s="89" t="s">
        <v>84</v>
      </c>
      <c r="K40" s="89" t="s">
        <v>52</v>
      </c>
      <c r="L40" s="89" t="s">
        <v>53</v>
      </c>
      <c r="M40" s="89" t="s">
        <v>208</v>
      </c>
      <c r="N40" s="89">
        <v>300</v>
      </c>
      <c r="O40" s="94">
        <v>11984468110</v>
      </c>
      <c r="P40" s="95" t="s">
        <v>159</v>
      </c>
      <c r="Q40" s="145" t="s">
        <v>57</v>
      </c>
      <c r="R40" s="96">
        <v>46125</v>
      </c>
      <c r="S40" s="97"/>
      <c r="T40" s="97" t="s">
        <v>58</v>
      </c>
      <c r="U40" s="97" t="s">
        <v>59</v>
      </c>
      <c r="V40" s="93">
        <v>46125</v>
      </c>
      <c r="W40" s="93" t="s">
        <v>60</v>
      </c>
      <c r="X40" s="93" t="s">
        <v>60</v>
      </c>
      <c r="Y40" s="98"/>
      <c r="Z40" s="89" t="s">
        <v>62</v>
      </c>
      <c r="AA40" s="97">
        <v>46127</v>
      </c>
      <c r="AB40" s="89" t="s">
        <v>63</v>
      </c>
      <c r="AC40" s="120"/>
      <c r="AD40" s="89"/>
      <c r="AE40" s="89"/>
      <c r="AF40" s="99"/>
      <c r="AG40" s="99"/>
      <c r="AH40" s="99"/>
      <c r="AI40" s="100"/>
      <c r="AJ40" s="100" t="s">
        <v>47</v>
      </c>
      <c r="AK40" s="100" t="s">
        <v>47</v>
      </c>
      <c r="AL40" s="45" t="s">
        <v>64</v>
      </c>
      <c r="AM40" s="200" t="str">
        <f>MONTH(B40)&amp;"/"&amp;YEAR(B40)</f>
        <v>4/2026</v>
      </c>
      <c r="AN40" s="45">
        <f>WEEKNUM(B40)-WEEKNUM(EOMONTH(B40,-1)+1)+1</f>
        <v>2</v>
      </c>
      <c r="AO40" s="45" t="str">
        <f>MONTH(R40)&amp;"/"&amp;YEAR(R40)</f>
        <v>4/2026</v>
      </c>
      <c r="AP40" s="45">
        <f>WEEKNUM(R40)-WEEKNUM(EOMONTH(R40,-1)+1)+1</f>
        <v>3</v>
      </c>
      <c r="AQ40" s="45">
        <f>IF(AU40="S",IF(Q40="1. Aceitou o programa",R40-B40,0),0)</f>
        <v>5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0</v>
      </c>
      <c r="AT40" s="45">
        <f>IF(AU40="S",IF(AND(Q40="1. Aceitou o programa",AB40="Realizada"),IFERROR(IF(AA40="",0,AA40-R40),0),0),0)</f>
        <v>2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46120</v>
      </c>
      <c r="C41" s="89" t="s">
        <v>138</v>
      </c>
      <c r="D41" s="89" t="s">
        <v>49</v>
      </c>
      <c r="E41" s="90">
        <v>82381457</v>
      </c>
      <c r="F41" s="222" t="s">
        <v>209</v>
      </c>
      <c r="G41" s="92">
        <v>29835410887</v>
      </c>
      <c r="H41" s="93">
        <v>15095</v>
      </c>
      <c r="I41" s="89">
        <v>84</v>
      </c>
      <c r="J41" s="89" t="s">
        <v>51</v>
      </c>
      <c r="K41" s="89" t="s">
        <v>52</v>
      </c>
      <c r="L41" s="89" t="s">
        <v>53</v>
      </c>
      <c r="M41" s="89" t="s">
        <v>210</v>
      </c>
      <c r="N41" s="89">
        <v>50</v>
      </c>
      <c r="O41" s="94">
        <v>11984103237</v>
      </c>
      <c r="P41" s="95" t="s">
        <v>159</v>
      </c>
      <c r="Q41" s="145" t="s">
        <v>57</v>
      </c>
      <c r="R41" s="96">
        <v>46125</v>
      </c>
      <c r="S41" s="97"/>
      <c r="T41" s="97" t="s">
        <v>58</v>
      </c>
      <c r="U41" s="97" t="s">
        <v>59</v>
      </c>
      <c r="V41" s="93">
        <v>46125</v>
      </c>
      <c r="W41" s="93" t="s">
        <v>60</v>
      </c>
      <c r="X41" s="93" t="s">
        <v>60</v>
      </c>
      <c r="Y41" s="98"/>
      <c r="Z41" s="89" t="s">
        <v>62</v>
      </c>
      <c r="AA41" s="97">
        <v>46129</v>
      </c>
      <c r="AB41" s="89" t="s">
        <v>63</v>
      </c>
      <c r="AC41" s="120"/>
      <c r="AD41" s="89"/>
      <c r="AE41" s="89"/>
      <c r="AF41" s="99"/>
      <c r="AG41" s="99"/>
      <c r="AH41" s="99"/>
      <c r="AI41" s="100"/>
      <c r="AJ41" s="100" t="s">
        <v>47</v>
      </c>
      <c r="AK41" s="100" t="s">
        <v>47</v>
      </c>
      <c r="AL41" s="45" t="s">
        <v>64</v>
      </c>
      <c r="AM41" s="200" t="str">
        <f>MONTH(B41)&amp;"/"&amp;YEAR(B41)</f>
        <v>4/2026</v>
      </c>
      <c r="AN41" s="45">
        <f>WEEKNUM(B41)-WEEKNUM(EOMONTH(B41,-1)+1)+1</f>
        <v>2</v>
      </c>
      <c r="AO41" s="45" t="str">
        <f>MONTH(R41)&amp;"/"&amp;YEAR(R41)</f>
        <v>4/2026</v>
      </c>
      <c r="AP41" s="45">
        <f>WEEKNUM(R41)-WEEKNUM(EOMONTH(R41,-1)+1)+1</f>
        <v>3</v>
      </c>
      <c r="AQ41" s="45">
        <f>IF(AU41="S",IF(Q41="1. Aceitou o programa",R41-B41,0),0)</f>
        <v>5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0</v>
      </c>
      <c r="AT41" s="45">
        <f>IF(AU41="S",IF(AND(Q41="1. Aceitou o programa",AB41="Realizada"),IFERROR(IF(AA41="",0,AA41-R41),0),0),0)</f>
        <v>4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46122</v>
      </c>
      <c r="C42" s="89" t="s">
        <v>138</v>
      </c>
      <c r="D42" s="89" t="s">
        <v>49</v>
      </c>
      <c r="E42" s="90">
        <v>95678122</v>
      </c>
      <c r="F42" s="222" t="s">
        <v>211</v>
      </c>
      <c r="G42" s="92">
        <v>12692722841</v>
      </c>
      <c r="H42" s="93">
        <v>26658</v>
      </c>
      <c r="I42" s="89">
        <v>53</v>
      </c>
      <c r="J42" s="89" t="s">
        <v>84</v>
      </c>
      <c r="K42" s="89" t="s">
        <v>52</v>
      </c>
      <c r="L42" s="89" t="s">
        <v>53</v>
      </c>
      <c r="M42" s="89" t="s">
        <v>212</v>
      </c>
      <c r="N42" s="89">
        <v>60</v>
      </c>
      <c r="O42" s="94">
        <v>11997298183</v>
      </c>
      <c r="P42" s="95" t="s">
        <v>159</v>
      </c>
      <c r="Q42" s="145" t="s">
        <v>57</v>
      </c>
      <c r="R42" s="96">
        <v>46125</v>
      </c>
      <c r="S42" s="97"/>
      <c r="T42" s="97" t="s">
        <v>58</v>
      </c>
      <c r="U42" s="97" t="s">
        <v>59</v>
      </c>
      <c r="V42" s="93">
        <v>46125</v>
      </c>
      <c r="W42" s="93" t="s">
        <v>60</v>
      </c>
      <c r="X42" s="93" t="s">
        <v>60</v>
      </c>
      <c r="Y42" s="98"/>
      <c r="Z42" s="89" t="s">
        <v>62</v>
      </c>
      <c r="AA42" s="97">
        <v>46127</v>
      </c>
      <c r="AB42" s="89" t="s">
        <v>63</v>
      </c>
      <c r="AC42" s="120"/>
      <c r="AD42" s="89"/>
      <c r="AE42" s="89"/>
      <c r="AF42" s="99"/>
      <c r="AG42" s="99"/>
      <c r="AH42" s="99"/>
      <c r="AI42" s="100" t="s">
        <v>47</v>
      </c>
      <c r="AJ42" s="100" t="s">
        <v>47</v>
      </c>
      <c r="AK42" s="100" t="s">
        <v>47</v>
      </c>
      <c r="AL42" s="45" t="s">
        <v>64</v>
      </c>
      <c r="AM42" s="200" t="str">
        <f>MONTH(B42)&amp;"/"&amp;YEAR(B42)</f>
        <v>4/2026</v>
      </c>
      <c r="AN42" s="45">
        <f>WEEKNUM(B42)-WEEKNUM(EOMONTH(B42,-1)+1)+1</f>
        <v>2</v>
      </c>
      <c r="AO42" s="45" t="str">
        <f>MONTH(R42)&amp;"/"&amp;YEAR(R42)</f>
        <v>4/2026</v>
      </c>
      <c r="AP42" s="45">
        <f>WEEKNUM(R42)-WEEKNUM(EOMONTH(R42,-1)+1)+1</f>
        <v>3</v>
      </c>
      <c r="AQ42" s="45">
        <f>IF(AU42="S",IF(Q42="1. Aceitou o programa",R42-B42,0),0)</f>
        <v>3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2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46125</v>
      </c>
      <c r="C43" s="89" t="s">
        <v>48</v>
      </c>
      <c r="D43" s="89" t="s">
        <v>213</v>
      </c>
      <c r="E43" s="90">
        <v>79043738</v>
      </c>
      <c r="F43" s="222" t="s">
        <v>214</v>
      </c>
      <c r="G43" s="92">
        <v>27490602815</v>
      </c>
      <c r="H43" s="93">
        <v>14712</v>
      </c>
      <c r="I43" s="89">
        <v>86</v>
      </c>
      <c r="J43" s="89" t="s">
        <v>51</v>
      </c>
      <c r="K43" s="89" t="s">
        <v>52</v>
      </c>
      <c r="L43" s="89" t="s">
        <v>192</v>
      </c>
      <c r="M43" s="89" t="s">
        <v>215</v>
      </c>
      <c r="N43" s="89">
        <v>60</v>
      </c>
      <c r="O43" s="94">
        <v>11976385055</v>
      </c>
      <c r="P43" s="95" t="s">
        <v>159</v>
      </c>
      <c r="Q43" s="145" t="s">
        <v>57</v>
      </c>
      <c r="R43" s="96">
        <v>46125</v>
      </c>
      <c r="S43" s="97"/>
      <c r="T43" s="97" t="s">
        <v>58</v>
      </c>
      <c r="U43" s="97" t="s">
        <v>59</v>
      </c>
      <c r="V43" s="93">
        <v>46125</v>
      </c>
      <c r="W43" s="93" t="s">
        <v>60</v>
      </c>
      <c r="X43" s="93" t="s">
        <v>60</v>
      </c>
      <c r="Y43" s="98"/>
      <c r="Z43" s="89" t="s">
        <v>62</v>
      </c>
      <c r="AA43" s="97">
        <v>46128</v>
      </c>
      <c r="AB43" s="89" t="s">
        <v>63</v>
      </c>
      <c r="AC43" s="120"/>
      <c r="AD43" s="89" t="s">
        <v>216</v>
      </c>
      <c r="AE43" s="89">
        <v>21</v>
      </c>
      <c r="AF43" s="99" t="s">
        <v>81</v>
      </c>
      <c r="AG43" s="99"/>
      <c r="AH43" s="99"/>
      <c r="AI43" s="100" t="s">
        <v>47</v>
      </c>
      <c r="AJ43" s="100" t="s">
        <v>47</v>
      </c>
      <c r="AK43" s="100" t="s">
        <v>47</v>
      </c>
      <c r="AL43" s="45" t="s">
        <v>64</v>
      </c>
      <c r="AM43" s="200" t="str">
        <f>MONTH(B43)&amp;"/"&amp;YEAR(B43)</f>
        <v>4/2026</v>
      </c>
      <c r="AN43" s="45">
        <f>WEEKNUM(B43)-WEEKNUM(EOMONTH(B43,-1)+1)+1</f>
        <v>3</v>
      </c>
      <c r="AO43" s="45" t="str">
        <f>MONTH(R43)&amp;"/"&amp;YEAR(R43)</f>
        <v>4/2026</v>
      </c>
      <c r="AP43" s="45">
        <f>WEEKNUM(R43)-WEEKNUM(EOMONTH(R43,-1)+1)+1</f>
        <v>3</v>
      </c>
      <c r="AQ43" s="45">
        <f>IF(AU43="S",IF(Q43="1. Aceitou o programa",R43-B43,0),0)</f>
        <v>0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0</v>
      </c>
      <c r="AT43" s="45">
        <f>IF(AU43="S",IF(AND(Q43="1. Aceitou o programa",AB43="Realizada"),IFERROR(IF(AA43="",0,AA43-R43),0),0),0)</f>
        <v>3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46125</v>
      </c>
      <c r="C44" s="89" t="s">
        <v>48</v>
      </c>
      <c r="D44" s="89" t="s">
        <v>213</v>
      </c>
      <c r="E44" s="90">
        <v>451669983</v>
      </c>
      <c r="F44" s="222" t="s">
        <v>217</v>
      </c>
      <c r="G44" s="92">
        <v>29285900801</v>
      </c>
      <c r="H44" s="93">
        <v>18845</v>
      </c>
      <c r="I44" s="89">
        <v>74</v>
      </c>
      <c r="J44" s="89" t="s">
        <v>84</v>
      </c>
      <c r="K44" s="89" t="s">
        <v>52</v>
      </c>
      <c r="L44" s="89" t="s">
        <v>53</v>
      </c>
      <c r="M44" s="89" t="s">
        <v>218</v>
      </c>
      <c r="N44" s="89">
        <v>500</v>
      </c>
      <c r="O44" s="94">
        <v>11992887019</v>
      </c>
      <c r="P44" s="95" t="s">
        <v>159</v>
      </c>
      <c r="Q44" s="145" t="s">
        <v>118</v>
      </c>
      <c r="R44" s="96"/>
      <c r="S44" s="97">
        <v>46150</v>
      </c>
      <c r="T44" s="97" t="s">
        <v>119</v>
      </c>
      <c r="U44" s="97" t="s">
        <v>69</v>
      </c>
      <c r="V44" s="93">
        <v>46125</v>
      </c>
      <c r="W44" s="93">
        <v>46128</v>
      </c>
      <c r="X44" s="93">
        <v>46147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200" t="str">
        <f>MONTH(B44)&amp;"/"&amp;YEAR(B44)</f>
        <v>4/2026</v>
      </c>
      <c r="AN44" s="45">
        <f>WEEKNUM(B44)-WEEKNUM(EOMONTH(B44,-1)+1)+1</f>
        <v>3</v>
      </c>
      <c r="AO44" s="45" t="str">
        <f>MONTH(R44)&amp;"/"&amp;YEAR(R44)</f>
        <v>1/1900</v>
      </c>
      <c r="AP44" s="45" t="e">
        <f>WEEKNUM(R44)-WEEKNUM(EOMONTH(R44,-1)+1)+1</f>
        <v>#NUM!</v>
      </c>
      <c r="AQ44" s="45">
        <f>IF(AU44="S",IF(Q44="1. Aceitou o programa",R44-B44,0),0)</f>
        <v>0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46125</v>
      </c>
      <c r="C45" s="89" t="s">
        <v>48</v>
      </c>
      <c r="D45" s="89" t="s">
        <v>213</v>
      </c>
      <c r="E45" s="90">
        <v>791520960</v>
      </c>
      <c r="F45" s="222" t="s">
        <v>219</v>
      </c>
      <c r="G45" s="92">
        <v>37167260878</v>
      </c>
      <c r="H45" s="93">
        <v>13234</v>
      </c>
      <c r="I45" s="89">
        <v>90</v>
      </c>
      <c r="J45" s="89" t="s">
        <v>84</v>
      </c>
      <c r="K45" s="89" t="s">
        <v>52</v>
      </c>
      <c r="L45" s="89" t="s">
        <v>53</v>
      </c>
      <c r="M45" s="89" t="s">
        <v>220</v>
      </c>
      <c r="N45" s="89">
        <v>100</v>
      </c>
      <c r="O45" s="94">
        <v>11959164989</v>
      </c>
      <c r="P45" s="95" t="s">
        <v>159</v>
      </c>
      <c r="Q45" s="145" t="s">
        <v>118</v>
      </c>
      <c r="R45" s="96"/>
      <c r="S45" s="97">
        <v>46150</v>
      </c>
      <c r="T45" s="97" t="s">
        <v>119</v>
      </c>
      <c r="U45" s="97" t="s">
        <v>69</v>
      </c>
      <c r="V45" s="93">
        <v>46125</v>
      </c>
      <c r="W45" s="93">
        <v>46128</v>
      </c>
      <c r="X45" s="93">
        <v>46147</v>
      </c>
      <c r="Y45" s="98"/>
      <c r="Z45" s="89"/>
      <c r="AA45" s="97"/>
      <c r="AB45" s="89"/>
      <c r="AC45" s="120"/>
      <c r="AD45" s="89"/>
      <c r="AE45" s="89"/>
      <c r="AF45" s="99"/>
      <c r="AG45" s="99"/>
      <c r="AH45" s="99"/>
      <c r="AI45" s="100"/>
      <c r="AJ45" s="100"/>
      <c r="AK45" s="100"/>
      <c r="AL45" s="45" t="s">
        <v>64</v>
      </c>
      <c r="AM45" s="200" t="str">
        <f>MONTH(B45)&amp;"/"&amp;YEAR(B45)</f>
        <v>4/2026</v>
      </c>
      <c r="AN45" s="45">
        <f>WEEKNUM(B45)-WEEKNUM(EOMONTH(B45,-1)+1)+1</f>
        <v>3</v>
      </c>
      <c r="AO45" s="45" t="str">
        <f>MONTH(R45)&amp;"/"&amp;YEAR(R45)</f>
        <v>1/1900</v>
      </c>
      <c r="AP45" s="45" t="e">
        <f>WEEKNUM(R45)-WEEKNUM(EOMONTH(R45,-1)+1)+1</f>
        <v>#NUM!</v>
      </c>
      <c r="AQ45" s="45">
        <f>IF(AU45="S",IF(Q45="1. Aceitou o programa",R45-B45,0),0)</f>
        <v>0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0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46127</v>
      </c>
      <c r="C46" s="89" t="s">
        <v>48</v>
      </c>
      <c r="D46" s="89" t="s">
        <v>49</v>
      </c>
      <c r="E46" s="90">
        <v>92897618</v>
      </c>
      <c r="F46" s="222" t="s">
        <v>221</v>
      </c>
      <c r="G46" s="92" t="s">
        <v>222</v>
      </c>
      <c r="H46" s="93">
        <v>29836</v>
      </c>
      <c r="I46" s="89">
        <v>44</v>
      </c>
      <c r="J46" s="89" t="s">
        <v>84</v>
      </c>
      <c r="K46" s="89" t="s">
        <v>52</v>
      </c>
      <c r="L46" s="89" t="s">
        <v>223</v>
      </c>
      <c r="M46" s="89" t="s">
        <v>77</v>
      </c>
      <c r="N46" s="89">
        <v>80</v>
      </c>
      <c r="O46" s="94">
        <v>11973402734</v>
      </c>
      <c r="P46" s="95" t="s">
        <v>159</v>
      </c>
      <c r="Q46" s="145" t="s">
        <v>57</v>
      </c>
      <c r="R46" s="96">
        <v>46141</v>
      </c>
      <c r="S46" s="97"/>
      <c r="T46" s="97" t="s">
        <v>58</v>
      </c>
      <c r="U46" s="97" t="s">
        <v>59</v>
      </c>
      <c r="V46" s="93">
        <v>46128</v>
      </c>
      <c r="W46" s="93">
        <v>46141</v>
      </c>
      <c r="X46" s="93" t="s">
        <v>60</v>
      </c>
      <c r="Y46" s="230" t="s">
        <v>224</v>
      </c>
      <c r="Z46" s="89" t="s">
        <v>62</v>
      </c>
      <c r="AA46" s="97">
        <v>46146</v>
      </c>
      <c r="AB46" s="89" t="s">
        <v>63</v>
      </c>
      <c r="AC46" s="120"/>
      <c r="AD46" s="89" t="s">
        <v>80</v>
      </c>
      <c r="AE46" s="89">
        <v>0</v>
      </c>
      <c r="AF46" s="99" t="s">
        <v>81</v>
      </c>
      <c r="AG46" s="99"/>
      <c r="AH46" s="99" t="s">
        <v>106</v>
      </c>
      <c r="AI46" s="100" t="s">
        <v>47</v>
      </c>
      <c r="AJ46" s="100" t="s">
        <v>47</v>
      </c>
      <c r="AK46" s="100" t="s">
        <v>47</v>
      </c>
      <c r="AL46" s="45" t="s">
        <v>64</v>
      </c>
      <c r="AM46" s="200" t="str">
        <f>MONTH(B46)&amp;"/"&amp;YEAR(B46)</f>
        <v>4/2026</v>
      </c>
      <c r="AN46" s="45">
        <f>WEEKNUM(B46)-WEEKNUM(EOMONTH(B46,-1)+1)+1</f>
        <v>3</v>
      </c>
      <c r="AO46" s="45" t="str">
        <f>MONTH(R46)&amp;"/"&amp;YEAR(R46)</f>
        <v>4/2026</v>
      </c>
      <c r="AP46" s="45">
        <f>WEEKNUM(R46)-WEEKNUM(EOMONTH(R46,-1)+1)+1</f>
        <v>5</v>
      </c>
      <c r="AQ46" s="45">
        <f>IF(AU46="S",IF(Q46="1. Aceitou o programa",R46-B46,0),0)</f>
        <v>14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13</v>
      </c>
      <c r="AT46" s="45">
        <f>IF(AU46="S",IF(AND(Q46="1. Aceitou o programa",AB46="Realizada"),IFERROR(IF(AA46="",0,AA46-R46),0),0),0)</f>
        <v>5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46127</v>
      </c>
      <c r="C47" s="89" t="s">
        <v>138</v>
      </c>
      <c r="D47" s="89" t="s">
        <v>49</v>
      </c>
      <c r="E47" s="90">
        <v>72096770</v>
      </c>
      <c r="F47" s="222" t="s">
        <v>225</v>
      </c>
      <c r="G47" s="92" t="s">
        <v>226</v>
      </c>
      <c r="H47" s="93">
        <v>30415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227</v>
      </c>
      <c r="N47" s="89">
        <v>50</v>
      </c>
      <c r="O47" s="94">
        <v>11947515067</v>
      </c>
      <c r="P47" s="95" t="s">
        <v>159</v>
      </c>
      <c r="Q47" s="145" t="s">
        <v>57</v>
      </c>
      <c r="R47" s="96">
        <v>46141</v>
      </c>
      <c r="S47" s="97"/>
      <c r="T47" s="97" t="s">
        <v>58</v>
      </c>
      <c r="U47" s="97" t="s">
        <v>59</v>
      </c>
      <c r="V47" s="93">
        <v>46128</v>
      </c>
      <c r="W47" s="93">
        <v>46141</v>
      </c>
      <c r="X47" s="93" t="s">
        <v>60</v>
      </c>
      <c r="Y47" s="98"/>
      <c r="Z47" s="89" t="s">
        <v>62</v>
      </c>
      <c r="AA47" s="97" t="s">
        <v>228</v>
      </c>
      <c r="AB47" s="89" t="s">
        <v>63</v>
      </c>
      <c r="AC47" s="120"/>
      <c r="AD47" s="89" t="s">
        <v>216</v>
      </c>
      <c r="AE47" s="89">
        <v>8</v>
      </c>
      <c r="AF47" s="99" t="s">
        <v>195</v>
      </c>
      <c r="AG47" s="99"/>
      <c r="AH47" s="99"/>
      <c r="AI47" s="100" t="s">
        <v>47</v>
      </c>
      <c r="AJ47" s="100" t="s">
        <v>47</v>
      </c>
      <c r="AK47" s="100" t="s">
        <v>47</v>
      </c>
      <c r="AL47" s="45" t="s">
        <v>64</v>
      </c>
      <c r="AM47" s="200" t="str">
        <f>MONTH(B47)&amp;"/"&amp;YEAR(B47)</f>
        <v>4/2026</v>
      </c>
      <c r="AN47" s="45">
        <f>WEEKNUM(B47)-WEEKNUM(EOMONTH(B47,-1)+1)+1</f>
        <v>3</v>
      </c>
      <c r="AO47" s="45" t="str">
        <f>MONTH(R47)&amp;"/"&amp;YEAR(R47)</f>
        <v>4/2026</v>
      </c>
      <c r="AP47" s="45">
        <f>WEEKNUM(R47)-WEEKNUM(EOMONTH(R47,-1)+1)+1</f>
        <v>5</v>
      </c>
      <c r="AQ47" s="45">
        <f>IF(AU47="S",IF(Q47="1. Aceitou o programa",R47-B47,0),0)</f>
        <v>14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13</v>
      </c>
      <c r="AT47" s="45">
        <f>IF(AU47="S",IF(AND(Q47="1. Aceitou o programa",AB47="Realizada"),IFERROR(IF(AA47="",0,AA47-R47),0),0),0)</f>
        <v>5.4722222222189885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46128</v>
      </c>
      <c r="C48" s="89" t="s">
        <v>48</v>
      </c>
      <c r="D48" s="89" t="s">
        <v>190</v>
      </c>
      <c r="E48" s="90">
        <v>80257321</v>
      </c>
      <c r="F48" s="222" t="s">
        <v>229</v>
      </c>
      <c r="G48" s="92" t="s">
        <v>230</v>
      </c>
      <c r="H48" s="93">
        <v>31384</v>
      </c>
      <c r="I48" s="89">
        <v>41</v>
      </c>
      <c r="J48" s="89" t="s">
        <v>51</v>
      </c>
      <c r="K48" s="89" t="s">
        <v>52</v>
      </c>
      <c r="L48" s="89" t="s">
        <v>53</v>
      </c>
      <c r="M48" s="89" t="s">
        <v>231</v>
      </c>
      <c r="N48" s="89">
        <v>400</v>
      </c>
      <c r="O48" s="94">
        <v>11968816035</v>
      </c>
      <c r="P48" s="95" t="s">
        <v>159</v>
      </c>
      <c r="Q48" s="145" t="s">
        <v>118</v>
      </c>
      <c r="R48" s="96"/>
      <c r="S48" s="97">
        <v>46150</v>
      </c>
      <c r="T48" s="97" t="s">
        <v>119</v>
      </c>
      <c r="U48" s="97" t="s">
        <v>69</v>
      </c>
      <c r="V48" s="93">
        <v>46128</v>
      </c>
      <c r="W48" s="93">
        <v>46141</v>
      </c>
      <c r="X48" s="93">
        <v>46147</v>
      </c>
      <c r="Y48" s="98"/>
      <c r="Z48" s="89"/>
      <c r="AA48" s="97"/>
      <c r="AB48" s="89"/>
      <c r="AC48" s="120"/>
      <c r="AD48" s="89"/>
      <c r="AE48" s="89"/>
      <c r="AF48" s="99"/>
      <c r="AG48" s="99"/>
      <c r="AH48" s="99"/>
      <c r="AI48" s="100"/>
      <c r="AJ48" s="100"/>
      <c r="AK48" s="100"/>
      <c r="AL48" s="45" t="s">
        <v>64</v>
      </c>
      <c r="AM48" s="200" t="str">
        <f>MONTH(B48)&amp;"/"&amp;YEAR(B48)</f>
        <v>4/2026</v>
      </c>
      <c r="AN48" s="45">
        <f>WEEKNUM(B48)-WEEKNUM(EOMONTH(B48,-1)+1)+1</f>
        <v>3</v>
      </c>
      <c r="AO48" s="45" t="str">
        <f>MONTH(R48)&amp;"/"&amp;YEAR(R48)</f>
        <v>1/1900</v>
      </c>
      <c r="AP48" s="45" t="e">
        <f>WEEKNUM(R48)-WEEKNUM(EOMONTH(R48,-1)+1)+1</f>
        <v>#NUM!</v>
      </c>
      <c r="AQ48" s="45">
        <f>IF(AU48="S",IF(Q48="1. Aceitou o programa",R48-B48,0),0)</f>
        <v>0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0</v>
      </c>
      <c r="AT48" s="45">
        <f>IF(AU48="S",IF(AND(Q48="1. Aceitou o programa",AB48="Realizada"),IFERROR(IF(AA48="",0,AA48-R48),0),0),0)</f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46129</v>
      </c>
      <c r="C49" s="89" t="s">
        <v>48</v>
      </c>
      <c r="D49" s="89" t="s">
        <v>190</v>
      </c>
      <c r="E49" s="90">
        <v>88204870</v>
      </c>
      <c r="F49" s="222" t="s">
        <v>232</v>
      </c>
      <c r="G49" s="92">
        <v>18471075830</v>
      </c>
      <c r="H49" s="93">
        <v>28265</v>
      </c>
      <c r="I49" s="89">
        <v>48</v>
      </c>
      <c r="J49" s="89" t="s">
        <v>51</v>
      </c>
      <c r="K49" s="89" t="s">
        <v>52</v>
      </c>
      <c r="L49" s="89" t="s">
        <v>53</v>
      </c>
      <c r="M49" s="89" t="s">
        <v>233</v>
      </c>
      <c r="N49" s="89">
        <v>50</v>
      </c>
      <c r="O49" s="94">
        <v>11993942324</v>
      </c>
      <c r="P49" s="95" t="s">
        <v>159</v>
      </c>
      <c r="Q49" s="145" t="s">
        <v>57</v>
      </c>
      <c r="R49" s="96">
        <v>46150</v>
      </c>
      <c r="S49" s="97"/>
      <c r="T49" s="97" t="s">
        <v>58</v>
      </c>
      <c r="U49" s="97" t="s">
        <v>59</v>
      </c>
      <c r="V49" s="93">
        <v>46139</v>
      </c>
      <c r="W49" s="93">
        <v>46141</v>
      </c>
      <c r="X49" s="93">
        <v>46147</v>
      </c>
      <c r="Y49" s="98"/>
      <c r="Z49" s="89" t="s">
        <v>62</v>
      </c>
      <c r="AA49" s="97">
        <v>46150</v>
      </c>
      <c r="AB49" s="89" t="s">
        <v>63</v>
      </c>
      <c r="AC49" s="120"/>
      <c r="AD49" s="89" t="s">
        <v>216</v>
      </c>
      <c r="AE49" s="89">
        <v>13</v>
      </c>
      <c r="AF49" s="99" t="s">
        <v>81</v>
      </c>
      <c r="AG49" s="99"/>
      <c r="AH49" s="99"/>
      <c r="AI49" s="100" t="s">
        <v>47</v>
      </c>
      <c r="AJ49" s="100" t="s">
        <v>234</v>
      </c>
      <c r="AK49" s="100" t="s">
        <v>47</v>
      </c>
      <c r="AL49" s="45" t="s">
        <v>64</v>
      </c>
      <c r="AM49" s="200" t="str">
        <f>MONTH(B49)&amp;"/"&amp;YEAR(B49)</f>
        <v>4/2026</v>
      </c>
      <c r="AN49" s="45">
        <f>WEEKNUM(B49)-WEEKNUM(EOMONTH(B49,-1)+1)+1</f>
        <v>3</v>
      </c>
      <c r="AO49" s="45" t="str">
        <f>MONTH(R49)&amp;"/"&amp;YEAR(R49)</f>
        <v>5/2026</v>
      </c>
      <c r="AP49" s="45">
        <f>WEEKNUM(R49)-WEEKNUM(EOMONTH(R49,-1)+1)+1</f>
        <v>2</v>
      </c>
      <c r="AQ49" s="45">
        <f>IF(AU49="S",IF(Q49="1. Aceitou o programa",R49-B49,0),0)</f>
        <v>21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4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46129</v>
      </c>
      <c r="C50" s="89" t="s">
        <v>138</v>
      </c>
      <c r="D50" s="89" t="s">
        <v>49</v>
      </c>
      <c r="E50" s="90">
        <v>93576426</v>
      </c>
      <c r="F50" s="222" t="s">
        <v>235</v>
      </c>
      <c r="G50" s="92">
        <v>18758099883</v>
      </c>
      <c r="H50" s="93">
        <v>25934</v>
      </c>
      <c r="I50" s="89">
        <v>55</v>
      </c>
      <c r="J50" s="89" t="s">
        <v>84</v>
      </c>
      <c r="K50" s="89" t="s">
        <v>52</v>
      </c>
      <c r="L50" s="89" t="s">
        <v>192</v>
      </c>
      <c r="M50" s="89" t="s">
        <v>236</v>
      </c>
      <c r="N50" s="89">
        <v>110</v>
      </c>
      <c r="O50" s="94" t="s">
        <v>237</v>
      </c>
      <c r="P50" s="95" t="s">
        <v>159</v>
      </c>
      <c r="Q50" s="145" t="s">
        <v>57</v>
      </c>
      <c r="R50" s="96">
        <v>46141</v>
      </c>
      <c r="S50" s="97"/>
      <c r="T50" s="97" t="s">
        <v>58</v>
      </c>
      <c r="U50" s="97" t="s">
        <v>59</v>
      </c>
      <c r="V50" s="93">
        <v>46139</v>
      </c>
      <c r="W50" s="93">
        <v>46141</v>
      </c>
      <c r="X50" s="93" t="s">
        <v>60</v>
      </c>
      <c r="Y50" s="98"/>
      <c r="Z50" s="89" t="s">
        <v>62</v>
      </c>
      <c r="AA50" s="97">
        <v>46150</v>
      </c>
      <c r="AB50" s="89" t="s">
        <v>63</v>
      </c>
      <c r="AC50" s="120"/>
      <c r="AD50" s="89"/>
      <c r="AE50" s="89"/>
      <c r="AF50" s="99"/>
      <c r="AG50" s="99"/>
      <c r="AH50" s="99"/>
      <c r="AI50" s="100"/>
      <c r="AJ50" s="100" t="s">
        <v>47</v>
      </c>
      <c r="AK50" s="100" t="s">
        <v>47</v>
      </c>
      <c r="AL50" s="45" t="s">
        <v>64</v>
      </c>
      <c r="AM50" s="200" t="str">
        <f>MONTH(B50)&amp;"/"&amp;YEAR(B50)</f>
        <v>4/2026</v>
      </c>
      <c r="AN50" s="45">
        <f>WEEKNUM(B50)-WEEKNUM(EOMONTH(B50,-1)+1)+1</f>
        <v>3</v>
      </c>
      <c r="AO50" s="45" t="str">
        <f>MONTH(R50)&amp;"/"&amp;YEAR(R50)</f>
        <v>4/2026</v>
      </c>
      <c r="AP50" s="45">
        <f>WEEKNUM(R50)-WEEKNUM(EOMONTH(R50,-1)+1)+1</f>
        <v>5</v>
      </c>
      <c r="AQ50" s="45">
        <f>IF(AU50="S",IF(Q50="1. Aceitou o programa",R50-B50,0),0)</f>
        <v>12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2</v>
      </c>
      <c r="AT50" s="45">
        <f>IF(AU50="S",IF(AND(Q50="1. Aceitou o programa",AB50="Realizada"),IFERROR(IF(AA50="",0,AA50-R50),0),0),0)</f>
        <v>9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46129</v>
      </c>
      <c r="C51" s="89" t="s">
        <v>48</v>
      </c>
      <c r="D51" s="89" t="s">
        <v>49</v>
      </c>
      <c r="E51" s="90">
        <v>301296065</v>
      </c>
      <c r="F51" s="222" t="s">
        <v>238</v>
      </c>
      <c r="G51" s="92">
        <v>40181545853</v>
      </c>
      <c r="H51" s="93">
        <v>15130</v>
      </c>
      <c r="I51" s="89">
        <v>84</v>
      </c>
      <c r="J51" s="89" t="s">
        <v>51</v>
      </c>
      <c r="K51" s="89" t="s">
        <v>52</v>
      </c>
      <c r="L51" s="89" t="s">
        <v>53</v>
      </c>
      <c r="M51" s="89" t="s">
        <v>239</v>
      </c>
      <c r="N51" s="89">
        <v>600</v>
      </c>
      <c r="O51" s="94" t="s">
        <v>240</v>
      </c>
      <c r="P51" s="95" t="s">
        <v>159</v>
      </c>
      <c r="Q51" s="145" t="s">
        <v>57</v>
      </c>
      <c r="R51" s="96">
        <v>46178</v>
      </c>
      <c r="S51" s="97"/>
      <c r="T51" s="97" t="s">
        <v>58</v>
      </c>
      <c r="U51" s="97" t="s">
        <v>59</v>
      </c>
      <c r="V51" s="93">
        <v>46139</v>
      </c>
      <c r="W51" s="93">
        <v>46141</v>
      </c>
      <c r="X51" s="93">
        <v>46147</v>
      </c>
      <c r="Y51" s="98"/>
      <c r="Z51" s="89" t="s">
        <v>62</v>
      </c>
      <c r="AA51" s="97">
        <v>46182</v>
      </c>
      <c r="AB51" s="89" t="s">
        <v>63</v>
      </c>
      <c r="AC51" s="120"/>
      <c r="AD51" s="89"/>
      <c r="AE51" s="89"/>
      <c r="AF51" s="99"/>
      <c r="AG51" s="99"/>
      <c r="AH51" s="99"/>
      <c r="AI51" s="100"/>
      <c r="AJ51" s="100" t="s">
        <v>47</v>
      </c>
      <c r="AK51" s="100" t="s">
        <v>47</v>
      </c>
      <c r="AL51" s="45" t="s">
        <v>64</v>
      </c>
      <c r="AM51" s="200" t="str">
        <f>MONTH(B51)&amp;"/"&amp;YEAR(B51)</f>
        <v>4/2026</v>
      </c>
      <c r="AN51" s="45">
        <f>WEEKNUM(B51)-WEEKNUM(EOMONTH(B51,-1)+1)+1</f>
        <v>3</v>
      </c>
      <c r="AO51" s="45" t="str">
        <f>MONTH(R51)&amp;"/"&amp;YEAR(R51)</f>
        <v>6/2026</v>
      </c>
      <c r="AP51" s="45">
        <f>WEEKNUM(R51)-WEEKNUM(EOMONTH(R51,-1)+1)+1</f>
        <v>1</v>
      </c>
      <c r="AQ51" s="45">
        <f>IF(AU51="S",IF(Q51="1. Aceitou o programa",R51-B51,0),0)</f>
        <v>49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4</v>
      </c>
      <c r="AT51" s="45">
        <f>IF(AU51="S",IF(AND(Q51="1. Aceitou o programa",AB51="Realizada"),IFERROR(IF(AA51="",0,AA51-R51),0),0),0)</f>
        <v>4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46129</v>
      </c>
      <c r="C52" s="89" t="s">
        <v>48</v>
      </c>
      <c r="D52" s="89" t="s">
        <v>49</v>
      </c>
      <c r="E52" s="90">
        <v>93743019</v>
      </c>
      <c r="F52" s="222" t="s">
        <v>241</v>
      </c>
      <c r="G52" s="92">
        <v>68103344834</v>
      </c>
      <c r="H52" s="93">
        <v>20396</v>
      </c>
      <c r="I52" s="89">
        <v>70</v>
      </c>
      <c r="J52" s="89" t="s">
        <v>84</v>
      </c>
      <c r="K52" s="89" t="s">
        <v>52</v>
      </c>
      <c r="L52" s="89" t="s">
        <v>192</v>
      </c>
      <c r="M52" s="89" t="s">
        <v>242</v>
      </c>
      <c r="N52" s="89">
        <v>60</v>
      </c>
      <c r="O52" s="94" t="s">
        <v>243</v>
      </c>
      <c r="P52" s="95" t="s">
        <v>159</v>
      </c>
      <c r="Q52" s="145" t="s">
        <v>57</v>
      </c>
      <c r="R52" s="96">
        <v>46147</v>
      </c>
      <c r="S52" s="97"/>
      <c r="T52" s="97" t="s">
        <v>58</v>
      </c>
      <c r="U52" s="97" t="s">
        <v>59</v>
      </c>
      <c r="V52" s="93">
        <v>46139</v>
      </c>
      <c r="W52" s="93">
        <v>46141</v>
      </c>
      <c r="X52" s="93">
        <v>46147</v>
      </c>
      <c r="Y52" s="98"/>
      <c r="Z52" s="89"/>
      <c r="AA52" s="97"/>
      <c r="AB52" s="89"/>
      <c r="AC52" s="120"/>
      <c r="AD52" s="89"/>
      <c r="AE52" s="89"/>
      <c r="AF52" s="99"/>
      <c r="AG52" s="99"/>
      <c r="AH52" s="99"/>
      <c r="AI52" s="100"/>
      <c r="AJ52" s="100" t="s">
        <v>47</v>
      </c>
      <c r="AK52" s="100" t="s">
        <v>47</v>
      </c>
      <c r="AL52" s="45" t="s">
        <v>64</v>
      </c>
      <c r="AM52" s="200" t="str">
        <f>MONTH(B52)&amp;"/"&amp;YEAR(B52)</f>
        <v>4/2026</v>
      </c>
      <c r="AN52" s="45">
        <f>WEEKNUM(B52)-WEEKNUM(EOMONTH(B52,-1)+1)+1</f>
        <v>3</v>
      </c>
      <c r="AO52" s="45" t="str">
        <f>MONTH(R52)&amp;"/"&amp;YEAR(R52)</f>
        <v>5/2026</v>
      </c>
      <c r="AP52" s="45">
        <f>WEEKNUM(R52)-WEEKNUM(EOMONTH(R52,-1)+1)+1</f>
        <v>2</v>
      </c>
      <c r="AQ52" s="45">
        <f>IF(AU52="S",IF(Q52="1. Aceitou o programa",R52-B52,0),0)</f>
        <v>18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4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46134</v>
      </c>
      <c r="C53" s="89" t="s">
        <v>138</v>
      </c>
      <c r="D53" s="89" t="s">
        <v>139</v>
      </c>
      <c r="E53" s="90">
        <v>85076986</v>
      </c>
      <c r="F53" s="222" t="s">
        <v>244</v>
      </c>
      <c r="G53" s="92" t="s">
        <v>245</v>
      </c>
      <c r="H53" s="93">
        <v>21616</v>
      </c>
      <c r="I53" s="89">
        <v>67</v>
      </c>
      <c r="J53" s="89" t="s">
        <v>51</v>
      </c>
      <c r="K53" s="89" t="s">
        <v>52</v>
      </c>
      <c r="L53" s="89" t="s">
        <v>246</v>
      </c>
      <c r="M53" s="89" t="s">
        <v>247</v>
      </c>
      <c r="N53" s="89">
        <v>80</v>
      </c>
      <c r="O53" s="94">
        <v>11915254500</v>
      </c>
      <c r="P53" s="95" t="s">
        <v>159</v>
      </c>
      <c r="Q53" s="145" t="s">
        <v>118</v>
      </c>
      <c r="R53" s="96"/>
      <c r="S53" s="97">
        <v>46150</v>
      </c>
      <c r="T53" s="97" t="s">
        <v>119</v>
      </c>
      <c r="U53" s="97" t="s">
        <v>69</v>
      </c>
      <c r="V53" s="93">
        <v>46139</v>
      </c>
      <c r="W53" s="93">
        <v>46141</v>
      </c>
      <c r="X53" s="93">
        <v>46147</v>
      </c>
      <c r="Y53" s="98"/>
      <c r="Z53" s="89"/>
      <c r="AA53" s="97"/>
      <c r="AB53" s="89"/>
      <c r="AC53" s="120"/>
      <c r="AD53" s="89"/>
      <c r="AE53" s="89"/>
      <c r="AF53" s="99"/>
      <c r="AG53" s="99"/>
      <c r="AH53" s="99"/>
      <c r="AI53" s="100"/>
      <c r="AJ53" s="100" t="s">
        <v>71</v>
      </c>
      <c r="AK53" s="100" t="s">
        <v>47</v>
      </c>
      <c r="AL53" s="45" t="s">
        <v>64</v>
      </c>
      <c r="AM53" s="200" t="str">
        <f>MONTH(B53)&amp;"/"&amp;YEAR(B53)</f>
        <v>4/2026</v>
      </c>
      <c r="AN53" s="45">
        <f>WEEKNUM(B53)-WEEKNUM(EOMONTH(B53,-1)+1)+1</f>
        <v>4</v>
      </c>
      <c r="AO53" s="45" t="str">
        <f>MONTH(R53)&amp;"/"&amp;YEAR(R53)</f>
        <v>1/1900</v>
      </c>
      <c r="AP53" s="45" t="e">
        <f>WEEKNUM(R53)-WEEKNUM(EOMONTH(R53,-1)+1)+1</f>
        <v>#NUM!</v>
      </c>
      <c r="AQ53" s="45">
        <f>IF(AU53="S",IF(Q53="1. Aceitou o programa",R53-B53,0),0)</f>
        <v>0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0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46135</v>
      </c>
      <c r="C54" s="89" t="s">
        <v>138</v>
      </c>
      <c r="D54" s="89" t="s">
        <v>139</v>
      </c>
      <c r="E54" s="90">
        <v>451661915</v>
      </c>
      <c r="F54" s="222" t="s">
        <v>248</v>
      </c>
      <c r="G54" s="92" t="s">
        <v>249</v>
      </c>
      <c r="H54" s="93">
        <v>18096</v>
      </c>
      <c r="I54" s="89">
        <v>76</v>
      </c>
      <c r="J54" s="89" t="s">
        <v>84</v>
      </c>
      <c r="K54" s="89" t="s">
        <v>52</v>
      </c>
      <c r="L54" s="89" t="s">
        <v>53</v>
      </c>
      <c r="M54" s="89" t="s">
        <v>250</v>
      </c>
      <c r="N54" s="89">
        <v>100</v>
      </c>
      <c r="O54" s="94">
        <v>11987895932</v>
      </c>
      <c r="P54" s="95" t="s">
        <v>159</v>
      </c>
      <c r="Q54" s="145" t="s">
        <v>57</v>
      </c>
      <c r="R54" s="96">
        <v>46141</v>
      </c>
      <c r="S54" s="97"/>
      <c r="T54" s="97" t="s">
        <v>58</v>
      </c>
      <c r="U54" s="97" t="s">
        <v>59</v>
      </c>
      <c r="V54" s="93">
        <v>46139</v>
      </c>
      <c r="W54" s="93">
        <v>46141</v>
      </c>
      <c r="X54" s="93" t="s">
        <v>60</v>
      </c>
      <c r="Y54" s="98"/>
      <c r="Z54" s="89" t="s">
        <v>62</v>
      </c>
      <c r="AA54" s="97" t="s">
        <v>251</v>
      </c>
      <c r="AB54" s="89" t="s">
        <v>177</v>
      </c>
      <c r="AC54" s="120"/>
      <c r="AD54" s="89"/>
      <c r="AE54" s="89"/>
      <c r="AF54" s="99"/>
      <c r="AG54" s="99"/>
      <c r="AH54" s="99"/>
      <c r="AI54" s="100"/>
      <c r="AJ54" s="100" t="s">
        <v>47</v>
      </c>
      <c r="AK54" s="100" t="s">
        <v>47</v>
      </c>
      <c r="AL54" s="45" t="s">
        <v>64</v>
      </c>
      <c r="AM54" s="200" t="str">
        <f>MONTH(B54)&amp;"/"&amp;YEAR(B54)</f>
        <v>4/2026</v>
      </c>
      <c r="AN54" s="45">
        <f>WEEKNUM(B54)-WEEKNUM(EOMONTH(B54,-1)+1)+1</f>
        <v>4</v>
      </c>
      <c r="AO54" s="45" t="str">
        <f>MONTH(R54)&amp;"/"&amp;YEAR(R54)</f>
        <v>4/2026</v>
      </c>
      <c r="AP54" s="45">
        <f>WEEKNUM(R54)-WEEKNUM(EOMONTH(R54,-1)+1)+1</f>
        <v>5</v>
      </c>
      <c r="AQ54" s="45">
        <f>IF(AU54="S",IF(Q54="1. Aceitou o programa",R54-B54,0),0)</f>
        <v>6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2</v>
      </c>
      <c r="AT54" s="45">
        <f>IF(AU54="S",IF(AND(Q54="1. Aceitou o programa",AB54="Realizada"),IFERROR(IF(AA54="",0,AA54-R54),0),0),0)</f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46142</v>
      </c>
      <c r="C55" s="89" t="s">
        <v>138</v>
      </c>
      <c r="D55" s="89" t="s">
        <v>49</v>
      </c>
      <c r="E55" s="90">
        <v>93738820</v>
      </c>
      <c r="F55" s="222" t="s">
        <v>252</v>
      </c>
      <c r="G55" s="92" t="s">
        <v>253</v>
      </c>
      <c r="H55" s="93">
        <v>20383</v>
      </c>
      <c r="I55" s="89">
        <v>70</v>
      </c>
      <c r="J55" s="89" t="s">
        <v>84</v>
      </c>
      <c r="K55" s="89" t="s">
        <v>52</v>
      </c>
      <c r="L55" s="89" t="s">
        <v>53</v>
      </c>
      <c r="M55" s="89"/>
      <c r="N55" s="89">
        <v>110</v>
      </c>
      <c r="O55" s="94">
        <v>11972140877</v>
      </c>
      <c r="P55" s="95" t="s">
        <v>159</v>
      </c>
      <c r="Q55" s="145" t="s">
        <v>57</v>
      </c>
      <c r="R55" s="96">
        <v>46147</v>
      </c>
      <c r="S55" s="97"/>
      <c r="T55" s="97" t="s">
        <v>58</v>
      </c>
      <c r="U55" s="97" t="s">
        <v>59</v>
      </c>
      <c r="V55" s="93">
        <v>46147</v>
      </c>
      <c r="W55" s="93"/>
      <c r="X55" s="93"/>
      <c r="Y55" s="98"/>
      <c r="Z55" s="89" t="s">
        <v>89</v>
      </c>
      <c r="AA55" s="97"/>
      <c r="AB55" s="89"/>
      <c r="AC55" s="120"/>
      <c r="AD55" s="89"/>
      <c r="AE55" s="89"/>
      <c r="AF55" s="99"/>
      <c r="AG55" s="99"/>
      <c r="AH55" s="99"/>
      <c r="AI55" s="100"/>
      <c r="AJ55" s="100" t="s">
        <v>47</v>
      </c>
      <c r="AK55" s="100" t="s">
        <v>47</v>
      </c>
      <c r="AL55" s="45" t="s">
        <v>64</v>
      </c>
      <c r="AM55" s="200" t="str">
        <f>MONTH(B55)&amp;"/"&amp;YEAR(B55)</f>
        <v>4/2026</v>
      </c>
      <c r="AN55" s="45">
        <f>WEEKNUM(B55)-WEEKNUM(EOMONTH(B55,-1)+1)+1</f>
        <v>5</v>
      </c>
      <c r="AO55" s="45" t="str">
        <f>MONTH(R55)&amp;"/"&amp;YEAR(R55)</f>
        <v>5/2026</v>
      </c>
      <c r="AP55" s="45">
        <f>WEEKNUM(R55)-WEEKNUM(EOMONTH(R55,-1)+1)+1</f>
        <v>2</v>
      </c>
      <c r="AQ55" s="45">
        <f>IF(AU55="S",IF(Q55="1. Aceitou o programa",R55-B55,0),0)</f>
        <v>5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46142</v>
      </c>
      <c r="C56" s="89" t="s">
        <v>138</v>
      </c>
      <c r="D56" s="89" t="s">
        <v>49</v>
      </c>
      <c r="E56" s="90">
        <v>79126705</v>
      </c>
      <c r="F56" s="222" t="s">
        <v>254</v>
      </c>
      <c r="G56" s="92" t="s">
        <v>255</v>
      </c>
      <c r="H56" s="93">
        <v>18920</v>
      </c>
      <c r="I56" s="89">
        <v>74</v>
      </c>
      <c r="J56" s="89" t="s">
        <v>51</v>
      </c>
      <c r="K56" s="89" t="s">
        <v>52</v>
      </c>
      <c r="L56" s="89" t="s">
        <v>53</v>
      </c>
      <c r="M56" s="89"/>
      <c r="N56" s="89">
        <v>80</v>
      </c>
      <c r="O56" s="94">
        <v>11997344236</v>
      </c>
      <c r="P56" s="95" t="s">
        <v>159</v>
      </c>
      <c r="Q56" s="145" t="s">
        <v>57</v>
      </c>
      <c r="R56" s="96">
        <v>46147</v>
      </c>
      <c r="S56" s="97"/>
      <c r="T56" s="97" t="s">
        <v>58</v>
      </c>
      <c r="U56" s="97" t="s">
        <v>59</v>
      </c>
      <c r="V56" s="93">
        <v>46147</v>
      </c>
      <c r="W56" s="93"/>
      <c r="X56" s="93"/>
      <c r="Y56" s="98"/>
      <c r="Z56" s="89" t="s">
        <v>62</v>
      </c>
      <c r="AA56" s="97">
        <v>46183</v>
      </c>
      <c r="AB56" s="89" t="s">
        <v>63</v>
      </c>
      <c r="AC56" s="120"/>
      <c r="AD56" s="89"/>
      <c r="AE56" s="89"/>
      <c r="AF56" s="99"/>
      <c r="AG56" s="99"/>
      <c r="AH56" s="99"/>
      <c r="AI56" s="100"/>
      <c r="AJ56" s="100" t="s">
        <v>47</v>
      </c>
      <c r="AK56" s="100" t="s">
        <v>47</v>
      </c>
      <c r="AL56" s="45" t="s">
        <v>64</v>
      </c>
      <c r="AM56" s="200" t="str">
        <f>MONTH(B56)&amp;"/"&amp;YEAR(B56)</f>
        <v>4/2026</v>
      </c>
      <c r="AN56" s="45">
        <f>WEEKNUM(B56)-WEEKNUM(EOMONTH(B56,-1)+1)+1</f>
        <v>5</v>
      </c>
      <c r="AO56" s="45" t="str">
        <f>MONTH(R56)&amp;"/"&amp;YEAR(R56)</f>
        <v>5/2026</v>
      </c>
      <c r="AP56" s="45">
        <f>WEEKNUM(R56)-WEEKNUM(EOMONTH(R56,-1)+1)+1</f>
        <v>2</v>
      </c>
      <c r="AQ56" s="45">
        <f>IF(AU56="S",IF(Q56="1. Aceitou o programa",R56-B56,0),0)</f>
        <v>5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0</v>
      </c>
      <c r="AT56" s="45">
        <f>IF(AU56="S",IF(AND(Q56="1. Aceitou o programa",AB56="Realizada"),IFERROR(IF(AA56="",0,AA56-R56),0),0),0)</f>
        <v>36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46148</v>
      </c>
      <c r="C57" s="89" t="s">
        <v>138</v>
      </c>
      <c r="D57" s="89" t="s">
        <v>139</v>
      </c>
      <c r="E57" s="90">
        <v>94946466</v>
      </c>
      <c r="F57" s="222" t="s">
        <v>256</v>
      </c>
      <c r="G57" s="92" t="s">
        <v>257</v>
      </c>
      <c r="H57" s="93">
        <v>20343</v>
      </c>
      <c r="I57" s="89">
        <v>70</v>
      </c>
      <c r="J57" s="89" t="s">
        <v>51</v>
      </c>
      <c r="K57" s="89" t="s">
        <v>52</v>
      </c>
      <c r="L57" s="89" t="s">
        <v>258</v>
      </c>
      <c r="M57" s="89"/>
      <c r="N57" s="89">
        <v>110</v>
      </c>
      <c r="O57" s="94">
        <v>11932729414</v>
      </c>
      <c r="P57" s="95"/>
      <c r="Q57" s="145" t="s">
        <v>57</v>
      </c>
      <c r="R57" s="96">
        <v>46171</v>
      </c>
      <c r="S57" s="97"/>
      <c r="T57" s="97" t="s">
        <v>58</v>
      </c>
      <c r="U57" s="97" t="s">
        <v>59</v>
      </c>
      <c r="V57" s="93">
        <v>46150</v>
      </c>
      <c r="W57" s="93">
        <v>46164</v>
      </c>
      <c r="X57" s="93">
        <v>46170</v>
      </c>
      <c r="Y57" s="98"/>
      <c r="Z57" s="89" t="s">
        <v>62</v>
      </c>
      <c r="AA57" s="97">
        <v>46175</v>
      </c>
      <c r="AB57" s="89" t="s">
        <v>177</v>
      </c>
      <c r="AC57" s="120"/>
      <c r="AD57" s="89"/>
      <c r="AE57" s="89"/>
      <c r="AF57" s="99"/>
      <c r="AG57" s="99"/>
      <c r="AH57" s="99"/>
      <c r="AI57" s="100"/>
      <c r="AJ57" s="100" t="s">
        <v>47</v>
      </c>
      <c r="AK57" s="100" t="s">
        <v>47</v>
      </c>
      <c r="AL57" s="45" t="s">
        <v>64</v>
      </c>
      <c r="AM57" s="200" t="str">
        <f>MONTH(B57)&amp;"/"&amp;YEAR(B57)</f>
        <v>5/2026</v>
      </c>
      <c r="AN57" s="45">
        <f>WEEKNUM(B57)-WEEKNUM(EOMONTH(B57,-1)+1)+1</f>
        <v>2</v>
      </c>
      <c r="AO57" s="45" t="str">
        <f>MONTH(R57)&amp;"/"&amp;YEAR(R57)</f>
        <v>5/2026</v>
      </c>
      <c r="AP57" s="45">
        <f>WEEKNUM(R57)-WEEKNUM(EOMONTH(R57,-1)+1)+1</f>
        <v>5</v>
      </c>
      <c r="AQ57" s="45">
        <f>IF(AU57="S",IF(Q57="1. Aceitou o programa",R57-B57,0),0)</f>
        <v>23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10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46148</v>
      </c>
      <c r="C58" s="89" t="s">
        <v>48</v>
      </c>
      <c r="D58" s="89" t="s">
        <v>49</v>
      </c>
      <c r="E58" s="90">
        <v>772769613</v>
      </c>
      <c r="F58" s="222" t="s">
        <v>259</v>
      </c>
      <c r="G58" s="92">
        <v>76930297887</v>
      </c>
      <c r="H58" s="93">
        <v>19105</v>
      </c>
      <c r="I58" s="89">
        <v>74</v>
      </c>
      <c r="J58" s="89" t="s">
        <v>84</v>
      </c>
      <c r="K58" s="89" t="s">
        <v>52</v>
      </c>
      <c r="L58" s="89" t="s">
        <v>53</v>
      </c>
      <c r="M58" s="89" t="s">
        <v>260</v>
      </c>
      <c r="N58" s="89">
        <v>300</v>
      </c>
      <c r="O58" s="94" t="s">
        <v>261</v>
      </c>
      <c r="P58" s="95"/>
      <c r="Q58" s="145" t="s">
        <v>57</v>
      </c>
      <c r="R58" s="96">
        <v>46171</v>
      </c>
      <c r="S58" s="97"/>
      <c r="T58" s="97" t="s">
        <v>58</v>
      </c>
      <c r="U58" s="97" t="s">
        <v>59</v>
      </c>
      <c r="V58" s="93">
        <v>46150</v>
      </c>
      <c r="W58" s="93">
        <v>46164</v>
      </c>
      <c r="X58" s="93">
        <v>46170</v>
      </c>
      <c r="Y58" s="98"/>
      <c r="Z58" s="89" t="s">
        <v>62</v>
      </c>
      <c r="AA58" s="97">
        <v>46175</v>
      </c>
      <c r="AB58" s="89" t="s">
        <v>177</v>
      </c>
      <c r="AC58" s="120"/>
      <c r="AD58" s="89"/>
      <c r="AE58" s="89"/>
      <c r="AF58" s="99"/>
      <c r="AG58" s="99"/>
      <c r="AH58" s="99"/>
      <c r="AI58" s="100"/>
      <c r="AJ58" s="100" t="s">
        <v>47</v>
      </c>
      <c r="AK58" s="100" t="s">
        <v>47</v>
      </c>
      <c r="AL58" s="45" t="s">
        <v>64</v>
      </c>
      <c r="AM58" s="200" t="str">
        <f>MONTH(B58)&amp;"/"&amp;YEAR(B58)</f>
        <v>5/2026</v>
      </c>
      <c r="AN58" s="45">
        <f>WEEKNUM(B58)-WEEKNUM(EOMONTH(B58,-1)+1)+1</f>
        <v>2</v>
      </c>
      <c r="AO58" s="45" t="str">
        <f>MONTH(R58)&amp;"/"&amp;YEAR(R58)</f>
        <v>5/2026</v>
      </c>
      <c r="AP58" s="45">
        <f>WEEKNUM(R58)-WEEKNUM(EOMONTH(R58,-1)+1)+1</f>
        <v>5</v>
      </c>
      <c r="AQ58" s="45">
        <f>IF(AU58="S",IF(Q58="1. Aceitou o programa",R58-B58,0),0)</f>
        <v>23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10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46149</v>
      </c>
      <c r="C59" s="89" t="s">
        <v>48</v>
      </c>
      <c r="D59" s="89" t="s">
        <v>49</v>
      </c>
      <c r="E59" s="90">
        <v>452056845</v>
      </c>
      <c r="F59" s="222" t="s">
        <v>262</v>
      </c>
      <c r="G59" s="92">
        <v>7752423815</v>
      </c>
      <c r="H59" s="93">
        <v>13563</v>
      </c>
      <c r="I59" s="89">
        <v>89</v>
      </c>
      <c r="J59" s="89" t="s">
        <v>51</v>
      </c>
      <c r="K59" s="89" t="s">
        <v>52</v>
      </c>
      <c r="L59" s="89" t="s">
        <v>53</v>
      </c>
      <c r="M59" s="89" t="s">
        <v>263</v>
      </c>
      <c r="N59" s="89">
        <v>400</v>
      </c>
      <c r="O59" s="94" t="s">
        <v>264</v>
      </c>
      <c r="P59" s="95"/>
      <c r="Q59" s="145" t="s">
        <v>57</v>
      </c>
      <c r="R59" s="96">
        <v>46171</v>
      </c>
      <c r="S59" s="97"/>
      <c r="T59" s="97" t="s">
        <v>58</v>
      </c>
      <c r="U59" s="97" t="s">
        <v>59</v>
      </c>
      <c r="V59" s="93">
        <v>46150</v>
      </c>
      <c r="W59" s="93">
        <v>46164</v>
      </c>
      <c r="X59" s="93">
        <v>46170</v>
      </c>
      <c r="Y59" s="98"/>
      <c r="Z59" s="89" t="s">
        <v>62</v>
      </c>
      <c r="AA59" s="97">
        <v>46175</v>
      </c>
      <c r="AB59" s="89" t="s">
        <v>177</v>
      </c>
      <c r="AC59" s="120"/>
      <c r="AD59" s="89"/>
      <c r="AE59" s="89"/>
      <c r="AF59" s="99"/>
      <c r="AG59" s="99"/>
      <c r="AH59" s="99"/>
      <c r="AI59" s="100"/>
      <c r="AJ59" s="100" t="s">
        <v>47</v>
      </c>
      <c r="AK59" s="100" t="s">
        <v>47</v>
      </c>
      <c r="AL59" s="45" t="s">
        <v>64</v>
      </c>
      <c r="AM59" s="200" t="str">
        <f>MONTH(B59)&amp;"/"&amp;YEAR(B59)</f>
        <v>5/2026</v>
      </c>
      <c r="AN59" s="45">
        <f>WEEKNUM(B59)-WEEKNUM(EOMONTH(B59,-1)+1)+1</f>
        <v>2</v>
      </c>
      <c r="AO59" s="45" t="str">
        <f>MONTH(R59)&amp;"/"&amp;YEAR(R59)</f>
        <v>5/2026</v>
      </c>
      <c r="AP59" s="45">
        <f>WEEKNUM(R59)-WEEKNUM(EOMONTH(R59,-1)+1)+1</f>
        <v>5</v>
      </c>
      <c r="AQ59" s="45">
        <f>IF(AU59="S",IF(Q59="1. Aceitou o programa",R59-B59,0),0)</f>
        <v>22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10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46163</v>
      </c>
      <c r="C60" s="89" t="s">
        <v>138</v>
      </c>
      <c r="D60" s="89" t="s">
        <v>49</v>
      </c>
      <c r="E60" s="90">
        <v>82846593</v>
      </c>
      <c r="F60" s="222" t="s">
        <v>265</v>
      </c>
      <c r="G60" s="92" t="s">
        <v>266</v>
      </c>
      <c r="H60" s="93">
        <v>27788</v>
      </c>
      <c r="I60" s="89">
        <v>50</v>
      </c>
      <c r="J60" s="89" t="s">
        <v>51</v>
      </c>
      <c r="K60" s="89" t="s">
        <v>52</v>
      </c>
      <c r="L60" s="89" t="s">
        <v>267</v>
      </c>
      <c r="M60" s="89" t="s">
        <v>268</v>
      </c>
      <c r="N60" s="89">
        <v>40</v>
      </c>
      <c r="O60" s="94">
        <v>11973677390</v>
      </c>
      <c r="P60" s="95"/>
      <c r="Q60" s="145" t="s">
        <v>269</v>
      </c>
      <c r="R60" s="96"/>
      <c r="S60" s="97"/>
      <c r="T60" s="97" t="s">
        <v>119</v>
      </c>
      <c r="U60" s="97" t="s">
        <v>270</v>
      </c>
      <c r="V60" s="93">
        <v>46164</v>
      </c>
      <c r="W60" s="93">
        <v>46170</v>
      </c>
      <c r="X60" s="93"/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/>
      <c r="AJ60" s="100" t="s">
        <v>234</v>
      </c>
      <c r="AK60" s="100" t="s">
        <v>47</v>
      </c>
      <c r="AL60" s="45" t="s">
        <v>64</v>
      </c>
      <c r="AM60" s="200" t="str">
        <f>MONTH(B60)&amp;"/"&amp;YEAR(B60)</f>
        <v>5/2026</v>
      </c>
      <c r="AN60" s="45">
        <f>WEEKNUM(B60)-WEEKNUM(EOMONTH(B60,-1)+1)+1</f>
        <v>4</v>
      </c>
      <c r="AO60" s="45" t="str">
        <f>MONTH(R60)&amp;"/"&amp;YEAR(R60)</f>
        <v>1/1900</v>
      </c>
      <c r="AP60" s="45" t="e">
        <f>WEEKNUM(R60)-WEEKNUM(EOMONTH(R60,-1)+1)+1</f>
        <v>#NUM!</v>
      </c>
      <c r="AQ60" s="45">
        <f>IF(AU60="S",IF(Q60="1. Aceitou o programa",R60-B60,0),0)</f>
        <v>0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0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46163</v>
      </c>
      <c r="C61" s="89" t="s">
        <v>138</v>
      </c>
      <c r="D61" s="89" t="s">
        <v>49</v>
      </c>
      <c r="E61" s="90">
        <v>86176281</v>
      </c>
      <c r="F61" s="222" t="s">
        <v>271</v>
      </c>
      <c r="G61" s="92" t="s">
        <v>272</v>
      </c>
      <c r="H61" s="93">
        <v>22972</v>
      </c>
      <c r="I61" s="89">
        <v>63</v>
      </c>
      <c r="J61" s="89" t="s">
        <v>51</v>
      </c>
      <c r="K61" s="89" t="s">
        <v>52</v>
      </c>
      <c r="L61" s="89" t="s">
        <v>53</v>
      </c>
      <c r="M61" s="89" t="s">
        <v>273</v>
      </c>
      <c r="N61" s="89">
        <v>60</v>
      </c>
      <c r="O61" s="94">
        <v>11996737930</v>
      </c>
      <c r="P61" s="95"/>
      <c r="Q61" s="145" t="s">
        <v>57</v>
      </c>
      <c r="R61" s="96">
        <v>46178</v>
      </c>
      <c r="S61" s="97"/>
      <c r="T61" s="97" t="s">
        <v>58</v>
      </c>
      <c r="U61" s="97" t="s">
        <v>59</v>
      </c>
      <c r="V61" s="93">
        <v>46164</v>
      </c>
      <c r="W61" s="93">
        <v>46170</v>
      </c>
      <c r="X61" s="93"/>
      <c r="Y61" s="98"/>
      <c r="Z61" s="89" t="s">
        <v>62</v>
      </c>
      <c r="AA61" s="97">
        <v>46190</v>
      </c>
      <c r="AB61" s="89"/>
      <c r="AC61" s="120"/>
      <c r="AD61" s="89"/>
      <c r="AE61" s="89"/>
      <c r="AF61" s="99"/>
      <c r="AG61" s="99"/>
      <c r="AH61" s="99"/>
      <c r="AI61" s="100"/>
      <c r="AJ61" s="100" t="s">
        <v>47</v>
      </c>
      <c r="AK61" s="100" t="s">
        <v>47</v>
      </c>
      <c r="AL61" s="45" t="s">
        <v>64</v>
      </c>
      <c r="AM61" s="200" t="str">
        <f>MONTH(B61)&amp;"/"&amp;YEAR(B61)</f>
        <v>5/2026</v>
      </c>
      <c r="AN61" s="45">
        <f>WEEKNUM(B61)-WEEKNUM(EOMONTH(B61,-1)+1)+1</f>
        <v>4</v>
      </c>
      <c r="AO61" s="45" t="str">
        <f>MONTH(R61)&amp;"/"&amp;YEAR(R61)</f>
        <v>6/2026</v>
      </c>
      <c r="AP61" s="45">
        <f>WEEKNUM(R61)-WEEKNUM(EOMONTH(R61,-1)+1)+1</f>
        <v>1</v>
      </c>
      <c r="AQ61" s="45">
        <f>IF(AU61="S",IF(Q61="1. Aceitou o programa",R61-B61,0),0)</f>
        <v>15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6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46175</v>
      </c>
      <c r="C62" s="89" t="s">
        <v>274</v>
      </c>
      <c r="D62" s="89" t="s">
        <v>49</v>
      </c>
      <c r="E62" s="112">
        <v>84371438</v>
      </c>
      <c r="F62" s="222" t="s">
        <v>275</v>
      </c>
      <c r="G62" s="113" t="s">
        <v>276</v>
      </c>
      <c r="H62" s="98">
        <v>36186</v>
      </c>
      <c r="I62" s="92"/>
      <c r="J62" s="114" t="s">
        <v>51</v>
      </c>
      <c r="K62" s="89" t="s">
        <v>52</v>
      </c>
      <c r="L62" s="89" t="s">
        <v>53</v>
      </c>
      <c r="M62" s="89"/>
      <c r="N62" s="89">
        <v>60</v>
      </c>
      <c r="O62" s="91">
        <v>11940323072</v>
      </c>
      <c r="P62" s="95"/>
      <c r="Q62" s="145" t="s">
        <v>57</v>
      </c>
      <c r="R62" s="121">
        <v>46178</v>
      </c>
      <c r="S62" s="97"/>
      <c r="T62" s="97" t="s">
        <v>58</v>
      </c>
      <c r="U62" s="97" t="s">
        <v>59</v>
      </c>
      <c r="V62" s="98">
        <v>46181</v>
      </c>
      <c r="W62" s="98"/>
      <c r="X62" s="98"/>
      <c r="Y62" s="98"/>
      <c r="Z62" s="89" t="s">
        <v>62</v>
      </c>
      <c r="AA62" s="122">
        <v>46190</v>
      </c>
      <c r="AB62" s="89"/>
      <c r="AC62" s="120"/>
      <c r="AD62" s="89"/>
      <c r="AE62" s="89"/>
      <c r="AF62" s="119"/>
      <c r="AG62" s="119"/>
      <c r="AH62" s="119"/>
      <c r="AI62" s="100"/>
      <c r="AJ62" s="100" t="s">
        <v>47</v>
      </c>
      <c r="AK62" s="100" t="s">
        <v>47</v>
      </c>
      <c r="AL62" s="45" t="s">
        <v>64</v>
      </c>
      <c r="AM62" s="200" t="str">
        <f>MONTH(B62)&amp;"/"&amp;YEAR(B62)</f>
        <v>6/2026</v>
      </c>
      <c r="AN62" s="45">
        <f>WEEKNUM(B62)-WEEKNUM(EOMONTH(B62,-1)+1)+1</f>
        <v>1</v>
      </c>
      <c r="AO62" s="45" t="str">
        <f>MONTH(R62)&amp;"/"&amp;YEAR(R62)</f>
        <v>6/2026</v>
      </c>
      <c r="AP62" s="45">
        <f>WEEKNUM(R62)-WEEKNUM(EOMONTH(R62,-1)+1)+1</f>
        <v>1</v>
      </c>
      <c r="AQ62" s="45">
        <f>IF(AU62="S",IF(Q62="1. Aceitou o programa",R62-B62,0),0)</f>
        <v>3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0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46181</v>
      </c>
      <c r="C63" s="89" t="s">
        <v>274</v>
      </c>
      <c r="D63" s="89" t="s">
        <v>49</v>
      </c>
      <c r="E63" s="112">
        <v>93860868</v>
      </c>
      <c r="F63" s="222" t="s">
        <v>277</v>
      </c>
      <c r="G63" s="113" t="s">
        <v>278</v>
      </c>
      <c r="H63" s="98">
        <v>28793</v>
      </c>
      <c r="I63" s="92"/>
      <c r="J63" s="89" t="s">
        <v>84</v>
      </c>
      <c r="K63" s="89" t="s">
        <v>52</v>
      </c>
      <c r="L63" s="89" t="s">
        <v>53</v>
      </c>
      <c r="M63" s="89"/>
      <c r="N63" s="89">
        <v>60</v>
      </c>
      <c r="O63" s="91">
        <v>11981291567</v>
      </c>
      <c r="P63" s="95"/>
      <c r="Q63" s="145" t="s">
        <v>57</v>
      </c>
      <c r="R63" s="122">
        <v>46178</v>
      </c>
      <c r="S63" s="97"/>
      <c r="T63" s="97" t="s">
        <v>58</v>
      </c>
      <c r="U63" s="97" t="s">
        <v>59</v>
      </c>
      <c r="V63" s="98">
        <v>46181</v>
      </c>
      <c r="W63" s="98"/>
      <c r="X63" s="98"/>
      <c r="Y63" s="98"/>
      <c r="Z63" s="89" t="s">
        <v>62</v>
      </c>
      <c r="AA63" s="122">
        <v>46189</v>
      </c>
      <c r="AB63" s="89"/>
      <c r="AC63" s="120"/>
      <c r="AD63" s="89"/>
      <c r="AE63" s="89"/>
      <c r="AF63" s="119"/>
      <c r="AG63" s="119"/>
      <c r="AH63" s="119"/>
      <c r="AI63" s="100"/>
      <c r="AJ63" s="100" t="s">
        <v>47</v>
      </c>
      <c r="AK63" s="100" t="s">
        <v>47</v>
      </c>
      <c r="AU63" s="45"/>
    </row>
    <row r="64" spans="1:47" ht="12" customHeight="1">
      <c r="A64" s="87" t="s">
        <v>47</v>
      </c>
      <c r="B64" s="88">
        <v>46181</v>
      </c>
      <c r="C64" s="89" t="s">
        <v>274</v>
      </c>
      <c r="D64" s="89" t="s">
        <v>49</v>
      </c>
      <c r="E64" s="112">
        <v>93185615</v>
      </c>
      <c r="F64" s="222" t="s">
        <v>279</v>
      </c>
      <c r="G64" s="113" t="s">
        <v>280</v>
      </c>
      <c r="H64" s="98">
        <v>26448</v>
      </c>
      <c r="I64" s="92"/>
      <c r="J64" s="89" t="s">
        <v>84</v>
      </c>
      <c r="K64" s="89" t="s">
        <v>52</v>
      </c>
      <c r="L64" s="89" t="s">
        <v>53</v>
      </c>
      <c r="M64" s="89"/>
      <c r="N64" s="87">
        <v>120</v>
      </c>
      <c r="O64" s="91">
        <v>11971414270</v>
      </c>
      <c r="P64" s="95"/>
      <c r="Q64" s="145" t="s">
        <v>269</v>
      </c>
      <c r="R64" s="122"/>
      <c r="S64" s="97"/>
      <c r="T64" s="97" t="s">
        <v>119</v>
      </c>
      <c r="U64" s="97" t="s">
        <v>270</v>
      </c>
      <c r="V64" s="98">
        <v>46181</v>
      </c>
      <c r="W64" s="98"/>
      <c r="X64" s="98"/>
      <c r="Y64" s="98"/>
      <c r="Z64" s="89"/>
      <c r="AA64" s="122"/>
      <c r="AB64" s="89"/>
      <c r="AC64" s="120"/>
      <c r="AD64" s="89"/>
      <c r="AE64" s="89"/>
      <c r="AF64" s="119"/>
      <c r="AG64" s="119"/>
      <c r="AH64" s="119"/>
      <c r="AI64" s="100"/>
      <c r="AJ64" s="100"/>
      <c r="AK64" s="100"/>
      <c r="AU64" s="45"/>
    </row>
    <row r="65" spans="1:47" ht="12" customHeight="1">
      <c r="A65" s="87" t="s">
        <v>47</v>
      </c>
      <c r="B65" s="88">
        <v>46182</v>
      </c>
      <c r="C65" s="89" t="s">
        <v>274</v>
      </c>
      <c r="D65" s="89" t="s">
        <v>49</v>
      </c>
      <c r="E65" s="112">
        <v>451603141</v>
      </c>
      <c r="F65" s="222" t="s">
        <v>281</v>
      </c>
      <c r="G65" s="113"/>
      <c r="H65" s="98">
        <v>13589</v>
      </c>
      <c r="I65" s="92"/>
      <c r="J65" s="114" t="s">
        <v>51</v>
      </c>
      <c r="K65" s="89" t="s">
        <v>52</v>
      </c>
      <c r="L65" s="89" t="s">
        <v>53</v>
      </c>
      <c r="M65" s="89" t="s">
        <v>282</v>
      </c>
      <c r="N65" s="87">
        <v>400</v>
      </c>
      <c r="O65" s="91">
        <v>11992160849</v>
      </c>
      <c r="P65" s="95"/>
      <c r="Q65" s="145" t="s">
        <v>57</v>
      </c>
      <c r="R65" s="122">
        <v>46189</v>
      </c>
      <c r="S65" s="97"/>
      <c r="T65" s="97" t="s">
        <v>58</v>
      </c>
      <c r="U65" s="97" t="s">
        <v>59</v>
      </c>
      <c r="V65" s="98">
        <v>46188</v>
      </c>
      <c r="W65" s="98"/>
      <c r="X65" s="98"/>
      <c r="Y65" s="98"/>
      <c r="Z65" s="89" t="s">
        <v>62</v>
      </c>
      <c r="AA65" s="122">
        <v>46196</v>
      </c>
      <c r="AB65" s="89"/>
      <c r="AC65" s="120"/>
      <c r="AD65" s="89"/>
      <c r="AE65" s="89"/>
      <c r="AF65" s="119"/>
      <c r="AG65" s="119"/>
      <c r="AH65" s="119"/>
      <c r="AI65" s="100"/>
      <c r="AJ65" s="100" t="s">
        <v>124</v>
      </c>
      <c r="AK65" s="100"/>
      <c r="AU65" s="45"/>
    </row>
    <row r="66" spans="1:47" ht="12" customHeight="1">
      <c r="A66" s="87" t="s">
        <v>47</v>
      </c>
      <c r="B66" s="88">
        <v>46182</v>
      </c>
      <c r="C66" s="89" t="s">
        <v>274</v>
      </c>
      <c r="D66" s="89" t="s">
        <v>49</v>
      </c>
      <c r="E66" s="112">
        <v>87801677</v>
      </c>
      <c r="F66" s="222" t="s">
        <v>283</v>
      </c>
      <c r="G66" s="113" t="s">
        <v>284</v>
      </c>
      <c r="H66" s="98">
        <v>30312</v>
      </c>
      <c r="I66" s="92"/>
      <c r="J66" s="114" t="s">
        <v>51</v>
      </c>
      <c r="K66" s="89" t="s">
        <v>52</v>
      </c>
      <c r="L66" s="89" t="s">
        <v>53</v>
      </c>
      <c r="M66" s="89" t="s">
        <v>285</v>
      </c>
      <c r="N66" s="87">
        <v>100</v>
      </c>
      <c r="O66" s="91">
        <v>11982150350</v>
      </c>
      <c r="P66" s="95"/>
      <c r="Q66" s="145" t="s">
        <v>57</v>
      </c>
      <c r="R66" s="121">
        <v>46189</v>
      </c>
      <c r="S66" s="97"/>
      <c r="T66" s="97" t="s">
        <v>58</v>
      </c>
      <c r="U66" s="97" t="s">
        <v>59</v>
      </c>
      <c r="V66" s="98">
        <v>46188</v>
      </c>
      <c r="W66" s="98"/>
      <c r="X66" s="98"/>
      <c r="Y66" s="98"/>
      <c r="Z66" s="89" t="s">
        <v>62</v>
      </c>
      <c r="AA66" s="122">
        <v>46197</v>
      </c>
      <c r="AB66" s="89"/>
      <c r="AC66" s="120"/>
      <c r="AD66" s="89"/>
      <c r="AE66" s="89"/>
      <c r="AF66" s="119"/>
      <c r="AG66" s="119"/>
      <c r="AH66" s="119"/>
      <c r="AI66" s="100"/>
      <c r="AJ66" s="100" t="s">
        <v>124</v>
      </c>
      <c r="AK66" s="100"/>
      <c r="AU66" s="45"/>
    </row>
    <row r="67" spans="1:47" ht="12" customHeight="1">
      <c r="A67" s="87" t="s">
        <v>47</v>
      </c>
      <c r="B67" s="88">
        <v>46189</v>
      </c>
      <c r="C67" s="89" t="s">
        <v>274</v>
      </c>
      <c r="D67" s="89" t="s">
        <v>286</v>
      </c>
      <c r="E67" s="112">
        <v>93843146</v>
      </c>
      <c r="F67" s="222" t="s">
        <v>287</v>
      </c>
      <c r="G67" s="113" t="s">
        <v>288</v>
      </c>
      <c r="H67" s="98">
        <v>24981</v>
      </c>
      <c r="I67" s="92"/>
      <c r="J67" s="114" t="s">
        <v>51</v>
      </c>
      <c r="K67" s="89" t="s">
        <v>52</v>
      </c>
      <c r="L67" s="89" t="s">
        <v>53</v>
      </c>
      <c r="M67" s="89" t="s">
        <v>289</v>
      </c>
      <c r="N67" s="87">
        <v>60</v>
      </c>
      <c r="O67" s="91">
        <v>11946445094</v>
      </c>
      <c r="P67" s="95"/>
      <c r="Q67" s="145"/>
      <c r="R67" s="121"/>
      <c r="S67" s="97"/>
      <c r="T67" s="97"/>
      <c r="U67" s="97"/>
      <c r="V67" s="98"/>
      <c r="W67" s="98"/>
      <c r="X67" s="98"/>
      <c r="Y67" s="98"/>
      <c r="Z67" s="89"/>
      <c r="AA67" s="122"/>
      <c r="AB67" s="89"/>
      <c r="AC67" s="120"/>
      <c r="AD67" s="89"/>
      <c r="AE67" s="89"/>
      <c r="AF67" s="119"/>
      <c r="AG67" s="119"/>
      <c r="AH67" s="119"/>
      <c r="AI67" s="100"/>
      <c r="AJ67" s="100"/>
      <c r="AK67" s="100"/>
      <c r="AU67" s="45"/>
    </row>
    <row r="68" spans="1:47" ht="12" customHeight="1">
      <c r="A68" s="87" t="s">
        <v>47</v>
      </c>
      <c r="B68" s="88">
        <v>46189</v>
      </c>
      <c r="C68" s="89" t="s">
        <v>274</v>
      </c>
      <c r="D68" s="89" t="s">
        <v>286</v>
      </c>
      <c r="E68" s="112">
        <v>800071174</v>
      </c>
      <c r="F68" s="222" t="s">
        <v>290</v>
      </c>
      <c r="G68" s="113" t="s">
        <v>291</v>
      </c>
      <c r="H68" s="98">
        <v>19165</v>
      </c>
      <c r="I68" s="92"/>
      <c r="J68" s="114" t="s">
        <v>51</v>
      </c>
      <c r="K68" s="89" t="s">
        <v>52</v>
      </c>
      <c r="L68" s="89" t="s">
        <v>53</v>
      </c>
      <c r="M68" s="89" t="s">
        <v>292</v>
      </c>
      <c r="N68" s="87">
        <v>200</v>
      </c>
      <c r="O68" s="91">
        <v>11974116136</v>
      </c>
      <c r="P68" s="95"/>
      <c r="Q68" s="145"/>
      <c r="R68" s="122"/>
      <c r="S68" s="97"/>
      <c r="T68" s="97"/>
      <c r="U68" s="97"/>
      <c r="V68" s="98"/>
      <c r="W68" s="98"/>
      <c r="X68" s="98"/>
      <c r="Y68" s="98"/>
      <c r="Z68" s="89"/>
      <c r="AA68" s="122"/>
      <c r="AB68" s="89"/>
      <c r="AC68" s="120"/>
      <c r="AD68" s="89"/>
      <c r="AE68" s="89"/>
      <c r="AF68" s="119"/>
      <c r="AG68" s="119"/>
      <c r="AH68" s="119"/>
      <c r="AI68" s="100"/>
      <c r="AJ68" s="100"/>
      <c r="AK68" s="100"/>
      <c r="AU68" s="45"/>
    </row>
    <row r="69" spans="1:47" ht="12" customHeight="1">
      <c r="A69" s="87" t="s">
        <v>47</v>
      </c>
      <c r="B69" s="88">
        <v>46189</v>
      </c>
      <c r="C69" s="89" t="s">
        <v>274</v>
      </c>
      <c r="D69" s="89" t="s">
        <v>286</v>
      </c>
      <c r="E69" s="112">
        <v>82709829</v>
      </c>
      <c r="F69" s="222" t="s">
        <v>293</v>
      </c>
      <c r="G69" s="113" t="s">
        <v>294</v>
      </c>
      <c r="H69" s="98">
        <v>24504</v>
      </c>
      <c r="I69" s="92"/>
      <c r="J69" s="114" t="s">
        <v>51</v>
      </c>
      <c r="K69" s="89" t="s">
        <v>52</v>
      </c>
      <c r="L69" s="89" t="s">
        <v>53</v>
      </c>
      <c r="M69" s="89" t="s">
        <v>295</v>
      </c>
      <c r="N69" s="87">
        <v>40</v>
      </c>
      <c r="O69" s="91">
        <v>11968724929</v>
      </c>
      <c r="P69" s="95"/>
      <c r="Q69" s="145"/>
      <c r="R69" s="122"/>
      <c r="S69" s="97"/>
      <c r="T69" s="97"/>
      <c r="U69" s="97"/>
      <c r="V69" s="98"/>
      <c r="W69" s="98"/>
      <c r="X69" s="98"/>
      <c r="Y69" s="98"/>
      <c r="Z69" s="89"/>
      <c r="AA69" s="122"/>
      <c r="AB69" s="89"/>
      <c r="AC69" s="120"/>
      <c r="AD69" s="89"/>
      <c r="AE69" s="89"/>
      <c r="AF69" s="119"/>
      <c r="AG69" s="119"/>
      <c r="AH69" s="119"/>
      <c r="AI69" s="100"/>
      <c r="AJ69" s="100"/>
      <c r="AK69" s="100"/>
      <c r="AU69" s="45"/>
    </row>
    <row r="70" spans="1:47" ht="12" customHeight="1">
      <c r="A70" s="87" t="s">
        <v>47</v>
      </c>
      <c r="B70" s="88">
        <v>46191</v>
      </c>
      <c r="C70" s="89" t="s">
        <v>274</v>
      </c>
      <c r="D70" s="89" t="s">
        <v>286</v>
      </c>
      <c r="E70" s="112">
        <v>93514487</v>
      </c>
      <c r="F70" s="222" t="s">
        <v>296</v>
      </c>
      <c r="G70" s="113" t="s">
        <v>297</v>
      </c>
      <c r="H70" s="98">
        <v>22978</v>
      </c>
      <c r="I70" s="92"/>
      <c r="J70" s="114" t="s">
        <v>51</v>
      </c>
      <c r="K70" s="89" t="s">
        <v>52</v>
      </c>
      <c r="L70" s="89" t="s">
        <v>53</v>
      </c>
      <c r="M70" s="89" t="s">
        <v>298</v>
      </c>
      <c r="N70" s="87">
        <v>60</v>
      </c>
      <c r="O70" s="91">
        <v>11987477034</v>
      </c>
      <c r="P70" s="95"/>
      <c r="Q70" s="145"/>
      <c r="R70" s="122"/>
      <c r="S70" s="97"/>
      <c r="T70" s="97"/>
      <c r="U70" s="97"/>
      <c r="V70" s="98"/>
      <c r="W70" s="98"/>
      <c r="X70" s="98"/>
      <c r="Y70" s="98"/>
      <c r="Z70" s="89"/>
      <c r="AA70" s="122"/>
      <c r="AB70" s="89"/>
      <c r="AC70" s="120"/>
      <c r="AD70" s="89"/>
      <c r="AE70" s="89"/>
      <c r="AF70" s="119"/>
      <c r="AG70" s="119"/>
      <c r="AH70" s="119"/>
      <c r="AI70" s="100"/>
      <c r="AJ70" s="100"/>
      <c r="AK70" s="100"/>
      <c r="AU70" s="45"/>
    </row>
    <row r="71" spans="1:47" ht="12" customHeight="1">
      <c r="A71" s="87"/>
      <c r="B71" s="88"/>
      <c r="C71" s="89"/>
      <c r="D71" s="89"/>
      <c r="E71" s="112"/>
      <c r="F71" s="222"/>
      <c r="G71" s="113"/>
      <c r="H71" s="98"/>
      <c r="I71" s="92"/>
      <c r="J71" s="114"/>
      <c r="K71" s="89"/>
      <c r="L71" s="89"/>
      <c r="M71" s="89"/>
      <c r="N71" s="87"/>
      <c r="O71" s="91"/>
      <c r="P71" s="95"/>
      <c r="Q71" s="145"/>
      <c r="R71" s="121"/>
      <c r="S71" s="97"/>
      <c r="T71" s="97"/>
      <c r="U71" s="97"/>
      <c r="V71" s="98"/>
      <c r="W71" s="98"/>
      <c r="X71" s="118"/>
      <c r="Y71" s="98"/>
      <c r="Z71" s="89"/>
      <c r="AA71" s="122"/>
      <c r="AB71" s="89"/>
      <c r="AC71" s="120"/>
      <c r="AD71" s="89"/>
      <c r="AE71" s="89"/>
      <c r="AF71" s="119"/>
      <c r="AG71" s="119"/>
      <c r="AH71" s="119"/>
      <c r="AI71" s="100"/>
      <c r="AJ71" s="100"/>
      <c r="AK71" s="100"/>
      <c r="AU71" s="45"/>
    </row>
    <row r="72" spans="1:47" ht="12" customHeight="1">
      <c r="A72" s="87"/>
      <c r="B72" s="88"/>
      <c r="C72" s="89"/>
      <c r="D72" s="89"/>
      <c r="E72" s="112"/>
      <c r="F72" s="222"/>
      <c r="G72" s="113"/>
      <c r="H72" s="98"/>
      <c r="I72" s="92"/>
      <c r="J72" s="114"/>
      <c r="K72" s="89"/>
      <c r="L72" s="89"/>
      <c r="M72" s="89"/>
      <c r="N72" s="87"/>
      <c r="O72" s="91"/>
      <c r="P72" s="95"/>
      <c r="Q72" s="145"/>
      <c r="R72" s="121"/>
      <c r="S72" s="97"/>
      <c r="T72" s="97"/>
      <c r="U72" s="97"/>
      <c r="V72" s="98"/>
      <c r="W72" s="98"/>
      <c r="X72" s="121"/>
      <c r="Y72" s="98"/>
      <c r="Z72" s="89"/>
      <c r="AA72" s="122"/>
      <c r="AB72" s="89"/>
      <c r="AC72" s="120"/>
      <c r="AD72" s="89"/>
      <c r="AE72" s="89"/>
      <c r="AF72" s="119"/>
      <c r="AG72" s="119"/>
      <c r="AH72" s="119"/>
      <c r="AI72" s="100"/>
      <c r="AJ72" s="100"/>
      <c r="AK72" s="100"/>
      <c r="AU72" s="45"/>
    </row>
    <row r="73" spans="1:47" ht="12" customHeight="1">
      <c r="A73" s="87"/>
      <c r="B73" s="88"/>
      <c r="C73" s="89"/>
      <c r="D73" s="89"/>
      <c r="E73" s="112"/>
      <c r="F73" s="222"/>
      <c r="G73" s="113"/>
      <c r="H73" s="98"/>
      <c r="I73" s="92"/>
      <c r="J73" s="114"/>
      <c r="K73" s="89"/>
      <c r="L73" s="89"/>
      <c r="M73" s="89"/>
      <c r="N73" s="89"/>
      <c r="O73" s="91"/>
      <c r="P73" s="95"/>
      <c r="Q73" s="145"/>
      <c r="R73" s="122"/>
      <c r="S73" s="97"/>
      <c r="T73" s="97"/>
      <c r="U73" s="97"/>
      <c r="V73" s="98"/>
      <c r="W73" s="98"/>
      <c r="X73" s="98"/>
      <c r="Y73" s="98"/>
      <c r="Z73" s="89"/>
      <c r="AA73" s="122"/>
      <c r="AB73" s="89"/>
      <c r="AC73" s="120"/>
      <c r="AD73" s="89"/>
      <c r="AE73" s="89"/>
      <c r="AF73" s="119"/>
      <c r="AG73" s="119"/>
      <c r="AH73" s="119"/>
      <c r="AI73" s="100"/>
      <c r="AJ73" s="100"/>
      <c r="AK73" s="100"/>
      <c r="AU73" s="45"/>
    </row>
    <row r="74" spans="1:47" ht="12" customHeight="1">
      <c r="A74" s="87"/>
      <c r="B74" s="93"/>
      <c r="C74" s="89"/>
      <c r="D74" s="89"/>
      <c r="E74" s="112"/>
      <c r="F74" s="222"/>
      <c r="G74" s="113"/>
      <c r="H74" s="98"/>
      <c r="I74" s="92"/>
      <c r="J74" s="114"/>
      <c r="K74" s="89"/>
      <c r="L74" s="89"/>
      <c r="M74" s="89"/>
      <c r="N74" s="89"/>
      <c r="O74" s="91"/>
      <c r="P74" s="95"/>
      <c r="Q74" s="145"/>
      <c r="R74" s="121"/>
      <c r="S74" s="97"/>
      <c r="T74" s="97"/>
      <c r="U74" s="97"/>
      <c r="V74" s="98"/>
      <c r="W74" s="98"/>
      <c r="X74" s="98"/>
      <c r="Y74" s="98"/>
      <c r="Z74" s="89"/>
      <c r="AA74" s="122"/>
      <c r="AB74" s="89"/>
      <c r="AC74" s="120"/>
      <c r="AD74" s="89"/>
      <c r="AE74" s="89"/>
      <c r="AF74" s="119"/>
      <c r="AG74" s="119"/>
      <c r="AH74" s="119"/>
      <c r="AI74" s="100"/>
      <c r="AJ74" s="100"/>
      <c r="AK74" s="100"/>
      <c r="AU74" s="45"/>
    </row>
    <row r="75" spans="1:47" ht="12" customHeight="1">
      <c r="A75" s="87"/>
      <c r="B75" s="93"/>
      <c r="C75" s="89"/>
      <c r="D75" s="89"/>
      <c r="E75" s="112"/>
      <c r="F75" s="222"/>
      <c r="G75" s="113"/>
      <c r="H75" s="98"/>
      <c r="I75" s="92"/>
      <c r="J75" s="114"/>
      <c r="K75" s="89"/>
      <c r="L75" s="89"/>
      <c r="M75" s="89"/>
      <c r="N75" s="89"/>
      <c r="O75" s="91"/>
      <c r="P75" s="95"/>
      <c r="Q75" s="145"/>
      <c r="R75" s="122"/>
      <c r="S75" s="97"/>
      <c r="T75" s="97"/>
      <c r="U75" s="97"/>
      <c r="V75" s="98"/>
      <c r="W75" s="98"/>
      <c r="X75" s="98"/>
      <c r="Y75" s="98"/>
      <c r="Z75" s="89"/>
      <c r="AA75" s="122"/>
      <c r="AB75" s="89"/>
      <c r="AC75" s="120"/>
      <c r="AD75" s="89"/>
      <c r="AE75" s="89"/>
      <c r="AF75" s="119"/>
      <c r="AG75" s="119"/>
      <c r="AH75" s="119"/>
      <c r="AI75" s="100"/>
      <c r="AJ75" s="100"/>
      <c r="AK75" s="100"/>
      <c r="AU75" s="45"/>
    </row>
    <row r="76" spans="1:47" ht="12" customHeight="1">
      <c r="A76" s="87"/>
      <c r="B76" s="93"/>
      <c r="C76" s="89"/>
      <c r="D76" s="89"/>
      <c r="E76" s="112"/>
      <c r="F76" s="222"/>
      <c r="G76" s="113"/>
      <c r="H76" s="98"/>
      <c r="I76" s="92"/>
      <c r="J76" s="114"/>
      <c r="K76" s="89"/>
      <c r="L76" s="89"/>
      <c r="M76" s="89"/>
      <c r="N76" s="89"/>
      <c r="O76" s="91"/>
      <c r="P76" s="95"/>
      <c r="Q76" s="145"/>
      <c r="R76" s="122"/>
      <c r="S76" s="97"/>
      <c r="T76" s="97"/>
      <c r="U76" s="97"/>
      <c r="V76" s="98"/>
      <c r="W76" s="98"/>
      <c r="X76" s="118"/>
      <c r="Y76" s="98"/>
      <c r="Z76" s="89"/>
      <c r="AA76" s="122"/>
      <c r="AB76" s="89"/>
      <c r="AC76" s="120"/>
      <c r="AD76" s="89"/>
      <c r="AE76" s="89"/>
      <c r="AF76" s="119"/>
      <c r="AG76" s="119"/>
      <c r="AH76" s="119"/>
      <c r="AI76" s="100"/>
      <c r="AJ76" s="100"/>
      <c r="AK76" s="100"/>
      <c r="AU76" s="45"/>
    </row>
    <row r="77" spans="1:47" ht="12" customHeight="1">
      <c r="A77" s="87"/>
      <c r="B77" s="93"/>
      <c r="C77" s="89"/>
      <c r="D77" s="89"/>
      <c r="E77" s="112"/>
      <c r="F77" s="222"/>
      <c r="G77" s="113"/>
      <c r="H77" s="98"/>
      <c r="I77" s="92"/>
      <c r="J77" s="114"/>
      <c r="K77" s="89"/>
      <c r="L77" s="89"/>
      <c r="M77" s="89"/>
      <c r="N77" s="89"/>
      <c r="O77" s="91"/>
      <c r="P77" s="95"/>
      <c r="Q77" s="147"/>
      <c r="R77" s="122"/>
      <c r="S77" s="125"/>
      <c r="T77" s="97"/>
      <c r="U77" s="97"/>
      <c r="V77" s="98"/>
      <c r="W77" s="98"/>
      <c r="X77" s="98"/>
      <c r="Y77" s="98"/>
      <c r="Z77" s="89"/>
      <c r="AA77" s="122"/>
      <c r="AB77" s="89"/>
      <c r="AC77" s="120"/>
      <c r="AD77" s="89"/>
      <c r="AE77" s="89"/>
      <c r="AF77" s="119"/>
      <c r="AG77" s="119"/>
      <c r="AH77" s="119"/>
      <c r="AI77" s="100"/>
      <c r="AJ77" s="100"/>
      <c r="AK77" s="100"/>
      <c r="AU77" s="45"/>
    </row>
    <row r="78" spans="1:47" ht="12" customHeight="1">
      <c r="A78" s="87"/>
      <c r="B78" s="93"/>
      <c r="C78" s="89"/>
      <c r="D78" s="89"/>
      <c r="E78" s="112"/>
      <c r="F78" s="222"/>
      <c r="G78" s="113"/>
      <c r="H78" s="98"/>
      <c r="I78" s="92"/>
      <c r="J78" s="114"/>
      <c r="K78" s="89"/>
      <c r="L78" s="89"/>
      <c r="M78" s="89"/>
      <c r="N78" s="89"/>
      <c r="O78" s="91"/>
      <c r="P78" s="95"/>
      <c r="Q78" s="145"/>
      <c r="R78" s="122"/>
      <c r="S78" s="97"/>
      <c r="T78" s="97"/>
      <c r="U78" s="97"/>
      <c r="V78" s="98"/>
      <c r="W78" s="98"/>
      <c r="X78" s="98"/>
      <c r="Y78" s="98"/>
      <c r="Z78" s="89"/>
      <c r="AA78" s="122"/>
      <c r="AB78" s="89"/>
      <c r="AC78" s="120"/>
      <c r="AD78" s="89"/>
      <c r="AE78" s="89"/>
      <c r="AF78" s="119"/>
      <c r="AG78" s="119"/>
      <c r="AH78" s="119"/>
      <c r="AI78" s="100"/>
      <c r="AJ78" s="100"/>
      <c r="AK78" s="100"/>
      <c r="AU78" s="45"/>
    </row>
    <row r="79" spans="1:47" ht="12" customHeight="1">
      <c r="A79" s="87"/>
      <c r="B79" s="93"/>
      <c r="C79" s="89"/>
      <c r="D79" s="89"/>
      <c r="E79" s="112"/>
      <c r="F79" s="222"/>
      <c r="G79" s="113"/>
      <c r="H79" s="98"/>
      <c r="I79" s="92"/>
      <c r="J79" s="114"/>
      <c r="K79" s="89"/>
      <c r="L79" s="89"/>
      <c r="M79" s="89"/>
      <c r="N79" s="89"/>
      <c r="O79" s="91"/>
      <c r="P79" s="95"/>
      <c r="Q79" s="145"/>
      <c r="R79" s="122"/>
      <c r="S79" s="97"/>
      <c r="T79" s="97"/>
      <c r="U79" s="97"/>
      <c r="V79" s="98"/>
      <c r="W79" s="98"/>
      <c r="X79" s="98"/>
      <c r="Y79" s="98"/>
      <c r="Z79" s="89"/>
      <c r="AA79" s="122"/>
      <c r="AB79" s="89"/>
      <c r="AC79" s="120"/>
      <c r="AD79" s="89"/>
      <c r="AE79" s="89"/>
      <c r="AF79" s="119"/>
      <c r="AG79" s="119"/>
      <c r="AH79" s="119"/>
      <c r="AI79" s="100"/>
      <c r="AJ79" s="100"/>
      <c r="AK79" s="100"/>
      <c r="AU79" s="45"/>
    </row>
    <row r="80" spans="1:47" ht="12" customHeight="1">
      <c r="A80" s="87"/>
      <c r="B80" s="93"/>
      <c r="C80" s="89"/>
      <c r="D80" s="89"/>
      <c r="E80" s="112"/>
      <c r="F80" s="222"/>
      <c r="G80" s="113"/>
      <c r="H80" s="98"/>
      <c r="I80" s="92"/>
      <c r="J80" s="114"/>
      <c r="K80" s="89"/>
      <c r="L80" s="89"/>
      <c r="M80" s="89"/>
      <c r="N80" s="89"/>
      <c r="O80" s="91"/>
      <c r="P80" s="95"/>
      <c r="Q80" s="145"/>
      <c r="R80" s="121"/>
      <c r="S80" s="97"/>
      <c r="T80" s="97"/>
      <c r="U80" s="97"/>
      <c r="V80" s="98"/>
      <c r="W80" s="98"/>
      <c r="X80" s="98"/>
      <c r="Y80" s="98"/>
      <c r="Z80" s="89"/>
      <c r="AA80" s="122"/>
      <c r="AB80" s="89"/>
      <c r="AC80" s="120"/>
      <c r="AD80" s="89"/>
      <c r="AE80" s="89"/>
      <c r="AF80" s="119"/>
      <c r="AG80" s="119"/>
      <c r="AH80" s="119"/>
      <c r="AI80" s="100"/>
      <c r="AJ80" s="100"/>
      <c r="AK80" s="100"/>
      <c r="AU80" s="45"/>
    </row>
    <row r="81" spans="1:47" ht="12" customHeight="1">
      <c r="A81" s="87"/>
      <c r="B81" s="88"/>
      <c r="C81" s="89"/>
      <c r="D81" s="89"/>
      <c r="E81" s="112"/>
      <c r="F81" s="222"/>
      <c r="G81" s="113"/>
      <c r="H81" s="98"/>
      <c r="I81" s="92"/>
      <c r="J81" s="114"/>
      <c r="K81" s="89"/>
      <c r="L81" s="89"/>
      <c r="M81" s="89"/>
      <c r="N81" s="87"/>
      <c r="O81" s="91"/>
      <c r="P81" s="95"/>
      <c r="Q81" s="145"/>
      <c r="R81" s="121"/>
      <c r="S81" s="97"/>
      <c r="T81" s="97"/>
      <c r="U81" s="97"/>
      <c r="V81" s="98"/>
      <c r="W81" s="98"/>
      <c r="X81" s="98"/>
      <c r="Y81" s="98"/>
      <c r="Z81" s="89"/>
      <c r="AA81" s="122"/>
      <c r="AB81" s="89"/>
      <c r="AC81" s="120"/>
      <c r="AD81" s="89"/>
      <c r="AE81" s="89"/>
      <c r="AF81" s="119"/>
      <c r="AG81" s="119"/>
      <c r="AH81" s="119"/>
      <c r="AI81" s="100"/>
      <c r="AJ81" s="100"/>
      <c r="AK81" s="100"/>
      <c r="AU81" s="45"/>
    </row>
    <row r="82" spans="1:47" ht="12" customHeight="1">
      <c r="A82" s="87"/>
      <c r="B82" s="88"/>
      <c r="C82" s="89"/>
      <c r="D82" s="89"/>
      <c r="E82" s="112"/>
      <c r="F82" s="222"/>
      <c r="G82" s="113"/>
      <c r="H82" s="98"/>
      <c r="I82" s="92"/>
      <c r="J82" s="114"/>
      <c r="K82" s="89"/>
      <c r="L82" s="89"/>
      <c r="M82" s="89"/>
      <c r="N82" s="87"/>
      <c r="O82" s="91"/>
      <c r="P82" s="95"/>
      <c r="Q82" s="145"/>
      <c r="R82" s="121"/>
      <c r="S82" s="97"/>
      <c r="T82" s="97"/>
      <c r="U82" s="97"/>
      <c r="V82" s="98"/>
      <c r="W82" s="98"/>
      <c r="X82" s="98"/>
      <c r="Y82" s="98"/>
      <c r="Z82" s="89"/>
      <c r="AA82" s="122"/>
      <c r="AB82" s="89"/>
      <c r="AC82" s="120"/>
      <c r="AD82" s="89"/>
      <c r="AE82" s="89"/>
      <c r="AF82" s="119"/>
      <c r="AG82" s="119"/>
      <c r="AH82" s="119"/>
      <c r="AI82" s="100"/>
      <c r="AJ82" s="100"/>
      <c r="AK82" s="100"/>
      <c r="AU82" s="45"/>
    </row>
    <row r="83" spans="1:47" ht="12" customHeight="1">
      <c r="A83" s="87"/>
      <c r="B83" s="88"/>
      <c r="C83" s="89"/>
      <c r="D83" s="89"/>
      <c r="E83" s="112"/>
      <c r="F83" s="222"/>
      <c r="G83" s="113"/>
      <c r="H83" s="98"/>
      <c r="I83" s="92"/>
      <c r="J83" s="114"/>
      <c r="K83" s="89"/>
      <c r="L83" s="89"/>
      <c r="M83" s="89"/>
      <c r="N83" s="89"/>
      <c r="O83" s="94"/>
      <c r="P83" s="95"/>
      <c r="Q83" s="145"/>
      <c r="R83" s="121"/>
      <c r="S83" s="97"/>
      <c r="T83" s="97"/>
      <c r="U83" s="97"/>
      <c r="V83" s="98"/>
      <c r="W83" s="98"/>
      <c r="X83" s="98"/>
      <c r="Y83" s="98"/>
      <c r="Z83" s="89"/>
      <c r="AA83" s="97"/>
      <c r="AB83" s="89"/>
      <c r="AC83" s="120"/>
      <c r="AD83" s="89"/>
      <c r="AE83" s="89"/>
      <c r="AF83" s="119"/>
      <c r="AG83" s="119"/>
      <c r="AH83" s="119"/>
      <c r="AI83" s="100"/>
      <c r="AJ83" s="100"/>
      <c r="AK83" s="100"/>
      <c r="AU83" s="45"/>
    </row>
    <row r="84" spans="1:47" ht="12" customHeight="1">
      <c r="A84" s="87"/>
      <c r="B84" s="88"/>
      <c r="C84" s="89"/>
      <c r="D84" s="89"/>
      <c r="E84" s="112"/>
      <c r="F84" s="222"/>
      <c r="G84" s="113"/>
      <c r="H84" s="98"/>
      <c r="I84" s="92"/>
      <c r="J84" s="114"/>
      <c r="K84" s="89"/>
      <c r="L84" s="89"/>
      <c r="M84" s="89"/>
      <c r="N84" s="89"/>
      <c r="O84" s="94"/>
      <c r="P84" s="95"/>
      <c r="Q84" s="145"/>
      <c r="R84" s="121"/>
      <c r="S84" s="97"/>
      <c r="T84" s="97"/>
      <c r="U84" s="97"/>
      <c r="V84" s="98"/>
      <c r="W84" s="98"/>
      <c r="X84" s="98"/>
      <c r="Y84" s="98"/>
      <c r="Z84" s="89"/>
      <c r="AA84" s="97"/>
      <c r="AB84" s="89"/>
      <c r="AC84" s="120"/>
      <c r="AD84" s="89"/>
      <c r="AE84" s="89"/>
      <c r="AF84" s="119"/>
      <c r="AG84" s="119"/>
      <c r="AH84" s="119"/>
      <c r="AI84" s="100"/>
      <c r="AJ84" s="100"/>
      <c r="AK84" s="100"/>
      <c r="AU84" s="45"/>
    </row>
    <row r="85" spans="1:47" ht="12" customHeight="1">
      <c r="A85" s="87"/>
      <c r="B85" s="88"/>
      <c r="C85" s="89"/>
      <c r="D85" s="89"/>
      <c r="E85" s="112"/>
      <c r="F85" s="222"/>
      <c r="G85" s="113"/>
      <c r="H85" s="98"/>
      <c r="I85" s="92"/>
      <c r="J85" s="114"/>
      <c r="K85" s="89"/>
      <c r="L85" s="89"/>
      <c r="M85" s="89"/>
      <c r="N85" s="87"/>
      <c r="O85" s="91"/>
      <c r="P85" s="95"/>
      <c r="Q85" s="145"/>
      <c r="R85" s="121"/>
      <c r="S85" s="121"/>
      <c r="T85" s="97"/>
      <c r="U85" s="97"/>
      <c r="V85" s="98"/>
      <c r="W85" s="98"/>
      <c r="X85" s="118"/>
      <c r="Y85" s="98"/>
      <c r="Z85" s="89"/>
      <c r="AA85" s="122"/>
      <c r="AB85" s="89"/>
      <c r="AC85" s="120"/>
      <c r="AD85" s="89"/>
      <c r="AE85" s="89"/>
      <c r="AF85" s="119"/>
      <c r="AG85" s="119"/>
      <c r="AH85" s="119"/>
      <c r="AI85" s="100"/>
      <c r="AJ85" s="100"/>
      <c r="AK85" s="100"/>
      <c r="AU85" s="45"/>
    </row>
    <row r="86" spans="1:47" ht="12" customHeight="1">
      <c r="A86" s="87"/>
      <c r="B86" s="88"/>
      <c r="C86" s="89"/>
      <c r="D86" s="89"/>
      <c r="E86" s="112"/>
      <c r="F86" s="222"/>
      <c r="G86" s="113"/>
      <c r="H86" s="98"/>
      <c r="I86" s="92"/>
      <c r="J86" s="114"/>
      <c r="K86" s="89"/>
      <c r="L86" s="89"/>
      <c r="M86" s="89"/>
      <c r="N86" s="89"/>
      <c r="O86" s="94"/>
      <c r="P86" s="95"/>
      <c r="Q86" s="145"/>
      <c r="R86" s="121"/>
      <c r="S86" s="97"/>
      <c r="T86" s="97"/>
      <c r="U86" s="97"/>
      <c r="V86" s="98"/>
      <c r="W86" s="98"/>
      <c r="X86" s="98"/>
      <c r="Y86" s="98"/>
      <c r="Z86" s="89"/>
      <c r="AA86" s="97"/>
      <c r="AB86" s="89"/>
      <c r="AC86" s="120"/>
      <c r="AD86" s="89"/>
      <c r="AE86" s="89"/>
      <c r="AF86" s="119"/>
      <c r="AG86" s="119"/>
      <c r="AH86" s="119"/>
      <c r="AI86" s="100"/>
      <c r="AJ86" s="100"/>
      <c r="AK86" s="100"/>
      <c r="AU86" s="45"/>
    </row>
    <row r="87" spans="1:47" ht="12" customHeight="1">
      <c r="A87" s="87"/>
      <c r="B87" s="88"/>
      <c r="C87" s="89"/>
      <c r="D87" s="89"/>
      <c r="E87" s="112"/>
      <c r="F87" s="222"/>
      <c r="G87" s="113"/>
      <c r="H87" s="98"/>
      <c r="I87" s="92"/>
      <c r="J87" s="114"/>
      <c r="K87" s="89"/>
      <c r="L87" s="89"/>
      <c r="M87" s="89"/>
      <c r="N87" s="87"/>
      <c r="O87" s="91"/>
      <c r="P87" s="95"/>
      <c r="Q87" s="145"/>
      <c r="R87" s="122"/>
      <c r="S87" s="97"/>
      <c r="T87" s="97"/>
      <c r="U87" s="97"/>
      <c r="V87" s="98"/>
      <c r="W87" s="98"/>
      <c r="X87" s="98"/>
      <c r="Y87" s="98"/>
      <c r="Z87" s="89"/>
      <c r="AA87" s="122"/>
      <c r="AB87" s="89"/>
      <c r="AC87" s="120"/>
      <c r="AD87" s="89"/>
      <c r="AE87" s="89"/>
      <c r="AF87" s="119"/>
      <c r="AG87" s="119"/>
      <c r="AH87" s="119"/>
      <c r="AI87" s="100"/>
      <c r="AJ87" s="100"/>
      <c r="AK87" s="100"/>
      <c r="AU87" s="45"/>
    </row>
    <row r="88" spans="1:47" ht="12" customHeight="1">
      <c r="A88" s="87"/>
      <c r="B88" s="88"/>
      <c r="C88" s="89"/>
      <c r="D88" s="89"/>
      <c r="E88" s="112"/>
      <c r="F88" s="222"/>
      <c r="G88" s="113"/>
      <c r="H88" s="98"/>
      <c r="I88" s="92"/>
      <c r="J88" s="114"/>
      <c r="K88" s="89"/>
      <c r="L88" s="89"/>
      <c r="M88" s="89"/>
      <c r="N88" s="89"/>
      <c r="O88" s="91"/>
      <c r="P88" s="95"/>
      <c r="Q88" s="145"/>
      <c r="R88" s="122"/>
      <c r="S88" s="97"/>
      <c r="T88" s="97"/>
      <c r="U88" s="97"/>
      <c r="V88" s="98"/>
      <c r="W88" s="98"/>
      <c r="X88" s="98"/>
      <c r="Y88" s="98"/>
      <c r="Z88" s="89"/>
      <c r="AA88" s="122"/>
      <c r="AB88" s="89"/>
      <c r="AC88" s="120"/>
      <c r="AD88" s="89"/>
      <c r="AE88" s="89"/>
      <c r="AF88" s="119"/>
      <c r="AG88" s="119"/>
      <c r="AH88" s="119"/>
      <c r="AI88" s="100"/>
      <c r="AJ88" s="100"/>
      <c r="AK88" s="100"/>
      <c r="AU88" s="45"/>
    </row>
    <row r="89" spans="1:47" ht="12" customHeight="1">
      <c r="A89" s="87"/>
      <c r="B89" s="88"/>
      <c r="C89" s="89"/>
      <c r="D89" s="89"/>
      <c r="E89" s="112"/>
      <c r="F89" s="222"/>
      <c r="G89" s="113"/>
      <c r="H89" s="98"/>
      <c r="I89" s="92"/>
      <c r="J89" s="114"/>
      <c r="K89" s="89"/>
      <c r="L89" s="89"/>
      <c r="M89" s="89"/>
      <c r="N89" s="87"/>
      <c r="O89" s="91"/>
      <c r="P89" s="95"/>
      <c r="Q89" s="145"/>
      <c r="R89" s="122"/>
      <c r="S89" s="97"/>
      <c r="T89" s="97"/>
      <c r="U89" s="97"/>
      <c r="V89" s="98"/>
      <c r="W89" s="98"/>
      <c r="X89" s="98"/>
      <c r="Y89" s="98"/>
      <c r="Z89" s="89"/>
      <c r="AA89" s="122"/>
      <c r="AB89" s="89"/>
      <c r="AC89" s="120"/>
      <c r="AD89" s="89"/>
      <c r="AE89" s="89"/>
      <c r="AF89" s="119"/>
      <c r="AG89" s="119"/>
      <c r="AH89" s="119"/>
      <c r="AI89" s="100"/>
      <c r="AJ89" s="100"/>
      <c r="AK89" s="100"/>
      <c r="AU89" s="45"/>
    </row>
    <row r="90" spans="1:47" ht="12" customHeight="1">
      <c r="A90" s="87"/>
      <c r="B90" s="88"/>
      <c r="C90" s="89"/>
      <c r="D90" s="89"/>
      <c r="E90" s="112"/>
      <c r="F90" s="222"/>
      <c r="G90" s="113"/>
      <c r="H90" s="98"/>
      <c r="I90" s="92"/>
      <c r="J90" s="114"/>
      <c r="K90" s="89"/>
      <c r="L90" s="89"/>
      <c r="M90" s="89"/>
      <c r="N90" s="89"/>
      <c r="O90" s="94"/>
      <c r="P90" s="95"/>
      <c r="Q90" s="145"/>
      <c r="R90" s="121"/>
      <c r="S90" s="121"/>
      <c r="T90" s="97"/>
      <c r="U90" s="97"/>
      <c r="V90" s="98"/>
      <c r="W90" s="98"/>
      <c r="X90" s="98"/>
      <c r="Y90" s="98"/>
      <c r="Z90" s="89"/>
      <c r="AA90" s="122"/>
      <c r="AB90" s="89"/>
      <c r="AC90" s="120"/>
      <c r="AD90" s="89"/>
      <c r="AE90" s="89"/>
      <c r="AF90" s="119"/>
      <c r="AG90" s="119"/>
      <c r="AH90" s="119"/>
      <c r="AI90" s="100"/>
      <c r="AJ90" s="100"/>
      <c r="AK90" s="100"/>
      <c r="AU90" s="45"/>
    </row>
    <row r="91" spans="1:47" ht="12" customHeight="1">
      <c r="A91" s="87"/>
      <c r="B91" s="88"/>
      <c r="C91" s="89"/>
      <c r="D91" s="89"/>
      <c r="E91" s="112"/>
      <c r="F91" s="222"/>
      <c r="G91" s="113"/>
      <c r="H91" s="98"/>
      <c r="I91" s="92"/>
      <c r="J91" s="114"/>
      <c r="K91" s="89"/>
      <c r="L91" s="89"/>
      <c r="M91" s="89"/>
      <c r="N91" s="87"/>
      <c r="O91" s="91"/>
      <c r="P91" s="95"/>
      <c r="Q91" s="145"/>
      <c r="R91" s="121"/>
      <c r="S91" s="121"/>
      <c r="T91" s="97"/>
      <c r="U91" s="97"/>
      <c r="V91" s="98"/>
      <c r="W91" s="98"/>
      <c r="X91" s="118"/>
      <c r="Y91" s="98"/>
      <c r="Z91" s="89"/>
      <c r="AA91" s="122"/>
      <c r="AB91" s="89"/>
      <c r="AC91" s="120"/>
      <c r="AD91" s="89"/>
      <c r="AE91" s="89"/>
      <c r="AF91" s="119"/>
      <c r="AG91" s="119"/>
      <c r="AH91" s="119"/>
      <c r="AI91" s="100"/>
      <c r="AJ91" s="100"/>
      <c r="AK91" s="100"/>
      <c r="AU91" s="45"/>
    </row>
    <row r="92" spans="1:47" ht="12" customHeight="1">
      <c r="A92" s="87"/>
      <c r="B92" s="88"/>
      <c r="C92" s="89"/>
      <c r="D92" s="89"/>
      <c r="E92" s="112"/>
      <c r="F92" s="222"/>
      <c r="G92" s="113"/>
      <c r="H92" s="98"/>
      <c r="I92" s="92"/>
      <c r="J92" s="114"/>
      <c r="K92" s="89"/>
      <c r="L92" s="89"/>
      <c r="M92" s="89"/>
      <c r="N92" s="87"/>
      <c r="O92" s="91"/>
      <c r="P92" s="95"/>
      <c r="Q92" s="145"/>
      <c r="R92" s="121"/>
      <c r="S92" s="121"/>
      <c r="T92" s="97"/>
      <c r="U92" s="97"/>
      <c r="V92" s="98"/>
      <c r="W92" s="98"/>
      <c r="X92" s="118"/>
      <c r="Y92" s="98"/>
      <c r="Z92" s="89"/>
      <c r="AA92" s="122"/>
      <c r="AB92" s="89"/>
      <c r="AC92" s="120"/>
      <c r="AD92" s="89"/>
      <c r="AE92" s="89"/>
      <c r="AF92" s="119"/>
      <c r="AG92" s="119"/>
      <c r="AH92" s="119"/>
      <c r="AI92" s="100"/>
      <c r="AJ92" s="100"/>
      <c r="AK92" s="100"/>
      <c r="AU92" s="45"/>
    </row>
    <row r="93" spans="1:47" ht="12" customHeight="1">
      <c r="A93" s="87"/>
      <c r="B93" s="88"/>
      <c r="C93" s="89"/>
      <c r="D93" s="89"/>
      <c r="E93" s="112"/>
      <c r="F93" s="222"/>
      <c r="G93" s="113"/>
      <c r="H93" s="98"/>
      <c r="I93" s="92"/>
      <c r="J93" s="114"/>
      <c r="K93" s="89"/>
      <c r="L93" s="89"/>
      <c r="M93" s="89"/>
      <c r="N93" s="87"/>
      <c r="O93" s="91"/>
      <c r="P93" s="95"/>
      <c r="Q93" s="145"/>
      <c r="R93" s="121"/>
      <c r="S93" s="121"/>
      <c r="T93" s="97"/>
      <c r="U93" s="97"/>
      <c r="V93" s="98"/>
      <c r="W93" s="98"/>
      <c r="X93" s="118"/>
      <c r="Y93" s="98"/>
      <c r="Z93" s="89"/>
      <c r="AA93" s="122"/>
      <c r="AB93" s="89"/>
      <c r="AC93" s="120"/>
      <c r="AD93" s="89"/>
      <c r="AE93" s="89"/>
      <c r="AF93" s="119"/>
      <c r="AG93" s="119"/>
      <c r="AH93" s="119"/>
      <c r="AI93" s="100"/>
      <c r="AJ93" s="100"/>
      <c r="AK93" s="100"/>
      <c r="AU93" s="45"/>
    </row>
    <row r="94" spans="1:47" ht="12" customHeight="1">
      <c r="A94" s="87"/>
      <c r="B94" s="88"/>
      <c r="C94" s="89"/>
      <c r="D94" s="89"/>
      <c r="E94" s="112"/>
      <c r="F94" s="222"/>
      <c r="G94" s="113"/>
      <c r="H94" s="98"/>
      <c r="I94" s="92"/>
      <c r="J94" s="114"/>
      <c r="K94" s="89"/>
      <c r="L94" s="89"/>
      <c r="M94" s="89"/>
      <c r="N94" s="87"/>
      <c r="O94" s="91"/>
      <c r="P94" s="95"/>
      <c r="Q94" s="145"/>
      <c r="R94" s="121"/>
      <c r="S94" s="121"/>
      <c r="T94" s="97"/>
      <c r="U94" s="97"/>
      <c r="V94" s="98"/>
      <c r="W94" s="98"/>
      <c r="X94" s="118"/>
      <c r="Y94" s="98"/>
      <c r="Z94" s="89"/>
      <c r="AA94" s="122"/>
      <c r="AB94" s="89"/>
      <c r="AC94" s="120"/>
      <c r="AD94" s="89"/>
      <c r="AE94" s="89"/>
      <c r="AF94" s="119"/>
      <c r="AG94" s="119"/>
      <c r="AH94" s="119"/>
      <c r="AI94" s="100"/>
      <c r="AJ94" s="100"/>
      <c r="AK94" s="100"/>
      <c r="AU94" s="45"/>
    </row>
    <row r="95" spans="1:47" ht="12" customHeight="1">
      <c r="A95" s="87"/>
      <c r="B95" s="88"/>
      <c r="C95" s="89"/>
      <c r="D95" s="89"/>
      <c r="E95" s="112"/>
      <c r="F95" s="222"/>
      <c r="G95" s="113"/>
      <c r="H95" s="98"/>
      <c r="I95" s="92"/>
      <c r="J95" s="114"/>
      <c r="K95" s="89"/>
      <c r="L95" s="89"/>
      <c r="M95" s="89"/>
      <c r="N95" s="87"/>
      <c r="O95" s="91"/>
      <c r="P95" s="95"/>
      <c r="Q95" s="145"/>
      <c r="R95" s="121"/>
      <c r="S95" s="121"/>
      <c r="T95" s="97"/>
      <c r="U95" s="97"/>
      <c r="V95" s="98"/>
      <c r="W95" s="98"/>
      <c r="X95" s="118"/>
      <c r="Y95" s="98"/>
      <c r="Z95" s="89"/>
      <c r="AA95" s="122"/>
      <c r="AB95" s="89"/>
      <c r="AC95" s="120"/>
      <c r="AD95" s="89"/>
      <c r="AE95" s="89"/>
      <c r="AF95" s="119"/>
      <c r="AG95" s="119"/>
      <c r="AH95" s="119"/>
      <c r="AI95" s="100"/>
      <c r="AJ95" s="100"/>
      <c r="AK95" s="100"/>
      <c r="AU95" s="45"/>
    </row>
    <row r="96" spans="1:47" ht="12" customHeight="1">
      <c r="A96" s="87"/>
      <c r="B96" s="88"/>
      <c r="C96" s="89"/>
      <c r="D96" s="89"/>
      <c r="E96" s="112"/>
      <c r="F96" s="222"/>
      <c r="G96" s="113"/>
      <c r="H96" s="98"/>
      <c r="I96" s="92"/>
      <c r="J96" s="114"/>
      <c r="K96" s="89"/>
      <c r="L96" s="89"/>
      <c r="M96" s="89"/>
      <c r="N96" s="87"/>
      <c r="O96" s="91"/>
      <c r="P96" s="95"/>
      <c r="Q96" s="145"/>
      <c r="R96" s="121"/>
      <c r="S96" s="121"/>
      <c r="T96" s="97"/>
      <c r="U96" s="97"/>
      <c r="V96" s="98"/>
      <c r="W96" s="98"/>
      <c r="X96" s="118"/>
      <c r="Y96" s="98"/>
      <c r="Z96" s="89"/>
      <c r="AA96" s="122"/>
      <c r="AB96" s="89"/>
      <c r="AC96" s="120"/>
      <c r="AD96" s="89"/>
      <c r="AE96" s="89"/>
      <c r="AF96" s="119"/>
      <c r="AG96" s="119"/>
      <c r="AH96" s="119"/>
      <c r="AI96" s="100"/>
      <c r="AJ96" s="100"/>
      <c r="AK96" s="100"/>
      <c r="AU96" s="45"/>
    </row>
    <row r="97" spans="1:47" ht="12" customHeight="1">
      <c r="A97" s="87"/>
      <c r="B97" s="88"/>
      <c r="C97" s="89"/>
      <c r="D97" s="89"/>
      <c r="E97" s="112"/>
      <c r="F97" s="222"/>
      <c r="G97" s="113"/>
      <c r="H97" s="98"/>
      <c r="I97" s="92"/>
      <c r="J97" s="114"/>
      <c r="K97" s="89"/>
      <c r="L97" s="89"/>
      <c r="M97" s="89"/>
      <c r="N97" s="87"/>
      <c r="O97" s="91"/>
      <c r="P97" s="95"/>
      <c r="Q97" s="145"/>
      <c r="R97" s="121"/>
      <c r="S97" s="121"/>
      <c r="T97" s="97"/>
      <c r="U97" s="97"/>
      <c r="V97" s="98"/>
      <c r="W97" s="98"/>
      <c r="X97" s="118"/>
      <c r="Y97" s="98"/>
      <c r="Z97" s="89"/>
      <c r="AA97" s="122"/>
      <c r="AB97" s="89"/>
      <c r="AC97" s="120"/>
      <c r="AD97" s="89"/>
      <c r="AE97" s="89"/>
      <c r="AF97" s="119"/>
      <c r="AG97" s="119"/>
      <c r="AH97" s="119"/>
      <c r="AI97" s="100"/>
      <c r="AJ97" s="100"/>
      <c r="AK97" s="100"/>
      <c r="AU97" s="45"/>
    </row>
    <row r="98" spans="1:47" ht="12" customHeight="1">
      <c r="A98" s="87"/>
      <c r="B98" s="88"/>
      <c r="C98" s="89"/>
      <c r="D98" s="89"/>
      <c r="E98" s="112"/>
      <c r="F98" s="222"/>
      <c r="G98" s="113"/>
      <c r="H98" s="98"/>
      <c r="I98" s="92"/>
      <c r="J98" s="114"/>
      <c r="K98" s="89"/>
      <c r="L98" s="89"/>
      <c r="M98" s="89"/>
      <c r="N98" s="89"/>
      <c r="O98" s="91"/>
      <c r="P98" s="95"/>
      <c r="Q98" s="145"/>
      <c r="R98" s="122"/>
      <c r="S98" s="121"/>
      <c r="T98" s="97"/>
      <c r="U98" s="97"/>
      <c r="V98" s="98"/>
      <c r="W98" s="98"/>
      <c r="X98" s="118"/>
      <c r="Y98" s="98"/>
      <c r="Z98" s="89"/>
      <c r="AA98" s="122"/>
      <c r="AB98" s="89"/>
      <c r="AC98" s="120"/>
      <c r="AD98" s="89"/>
      <c r="AE98" s="89"/>
      <c r="AF98" s="119"/>
      <c r="AG98" s="119"/>
      <c r="AH98" s="119"/>
      <c r="AI98" s="100"/>
      <c r="AJ98" s="100"/>
      <c r="AK98" s="100"/>
      <c r="AU98" s="45"/>
    </row>
    <row r="99" spans="1:47" ht="12" customHeight="1">
      <c r="A99" s="87"/>
      <c r="B99" s="93"/>
      <c r="C99" s="89"/>
      <c r="D99" s="89"/>
      <c r="E99" s="112"/>
      <c r="F99" s="222"/>
      <c r="G99" s="113"/>
      <c r="H99" s="98"/>
      <c r="I99" s="92"/>
      <c r="J99" s="114"/>
      <c r="K99" s="89"/>
      <c r="L99" s="89"/>
      <c r="M99" s="89"/>
      <c r="N99" s="89"/>
      <c r="O99" s="91"/>
      <c r="P99" s="95"/>
      <c r="Q99" s="145"/>
      <c r="R99" s="122"/>
      <c r="S99" s="121"/>
      <c r="T99" s="97"/>
      <c r="U99" s="97"/>
      <c r="V99" s="98"/>
      <c r="W99" s="98"/>
      <c r="X99" s="118"/>
      <c r="Y99" s="98"/>
      <c r="Z99" s="89"/>
      <c r="AA99" s="122"/>
      <c r="AB99" s="89"/>
      <c r="AC99" s="120"/>
      <c r="AD99" s="89"/>
      <c r="AE99" s="89"/>
      <c r="AF99" s="119"/>
      <c r="AG99" s="119"/>
      <c r="AH99" s="119"/>
      <c r="AI99" s="100"/>
      <c r="AJ99" s="100"/>
      <c r="AK99" s="100"/>
      <c r="AU99" s="45"/>
    </row>
    <row r="100" spans="1:47" ht="12" customHeight="1">
      <c r="A100" s="87"/>
      <c r="B100" s="93"/>
      <c r="C100" s="89"/>
      <c r="D100" s="89"/>
      <c r="E100" s="112"/>
      <c r="F100" s="222"/>
      <c r="G100" s="113"/>
      <c r="H100" s="98"/>
      <c r="I100" s="92"/>
      <c r="J100" s="114"/>
      <c r="K100" s="89"/>
      <c r="L100" s="89"/>
      <c r="M100" s="89"/>
      <c r="N100" s="89"/>
      <c r="O100" s="91"/>
      <c r="P100" s="95"/>
      <c r="Q100" s="145"/>
      <c r="R100" s="122"/>
      <c r="S100" s="121"/>
      <c r="T100" s="97"/>
      <c r="U100" s="97"/>
      <c r="V100" s="98"/>
      <c r="W100" s="98"/>
      <c r="X100" s="118"/>
      <c r="Y100" s="98"/>
      <c r="Z100" s="89"/>
      <c r="AA100" s="122"/>
      <c r="AB100" s="89"/>
      <c r="AC100" s="120"/>
      <c r="AD100" s="89"/>
      <c r="AE100" s="89"/>
      <c r="AF100" s="119"/>
      <c r="AG100" s="119"/>
      <c r="AH100" s="119"/>
      <c r="AI100" s="100"/>
      <c r="AJ100" s="100"/>
      <c r="AK100" s="100"/>
      <c r="AU100" s="45"/>
    </row>
    <row r="101" spans="1:47" ht="12" customHeight="1">
      <c r="A101" s="87"/>
      <c r="B101" s="93"/>
      <c r="C101" s="89"/>
      <c r="D101" s="89"/>
      <c r="E101" s="112"/>
      <c r="F101" s="222"/>
      <c r="G101" s="113"/>
      <c r="H101" s="98"/>
      <c r="I101" s="92"/>
      <c r="J101" s="114"/>
      <c r="K101" s="89"/>
      <c r="L101" s="89"/>
      <c r="M101" s="89"/>
      <c r="N101" s="89"/>
      <c r="O101" s="91"/>
      <c r="P101" s="95"/>
      <c r="Q101" s="145"/>
      <c r="R101" s="122"/>
      <c r="S101" s="121"/>
      <c r="T101" s="97"/>
      <c r="U101" s="97"/>
      <c r="V101" s="98"/>
      <c r="W101" s="98"/>
      <c r="X101" s="118"/>
      <c r="Y101" s="98"/>
      <c r="Z101" s="89"/>
      <c r="AA101" s="122"/>
      <c r="AB101" s="89"/>
      <c r="AC101" s="120"/>
      <c r="AD101" s="89"/>
      <c r="AE101" s="89"/>
      <c r="AF101" s="119"/>
      <c r="AG101" s="119"/>
      <c r="AH101" s="119"/>
      <c r="AI101" s="100"/>
      <c r="AJ101" s="100"/>
      <c r="AK101" s="100"/>
      <c r="AU101" s="45"/>
    </row>
    <row r="102" spans="1:47" ht="12" customHeight="1">
      <c r="A102" s="87"/>
      <c r="B102" s="93"/>
      <c r="C102" s="89"/>
      <c r="D102" s="89"/>
      <c r="E102" s="112"/>
      <c r="F102" s="222"/>
      <c r="G102" s="113"/>
      <c r="H102" s="98"/>
      <c r="I102" s="92"/>
      <c r="J102" s="114"/>
      <c r="K102" s="89"/>
      <c r="L102" s="89"/>
      <c r="M102" s="89"/>
      <c r="N102" s="89"/>
      <c r="O102" s="91"/>
      <c r="P102" s="95"/>
      <c r="Q102" s="145"/>
      <c r="R102" s="122"/>
      <c r="S102" s="97"/>
      <c r="T102" s="97"/>
      <c r="U102" s="97"/>
      <c r="V102" s="118"/>
      <c r="W102" s="118"/>
      <c r="X102" s="118"/>
      <c r="Y102" s="118"/>
      <c r="Z102" s="89"/>
      <c r="AA102" s="97"/>
      <c r="AB102" s="89"/>
      <c r="AC102" s="120"/>
      <c r="AD102" s="89"/>
      <c r="AE102" s="89"/>
      <c r="AF102" s="119"/>
      <c r="AG102" s="119"/>
      <c r="AH102" s="119"/>
      <c r="AI102" s="100"/>
      <c r="AJ102" s="100"/>
      <c r="AK102" s="100"/>
      <c r="AU102" s="45"/>
    </row>
    <row r="103" spans="1:47" ht="12" customHeight="1">
      <c r="A103" s="87"/>
      <c r="B103" s="93"/>
      <c r="C103" s="89"/>
      <c r="D103" s="89"/>
      <c r="E103" s="112"/>
      <c r="F103" s="222"/>
      <c r="G103" s="113"/>
      <c r="H103" s="98"/>
      <c r="I103" s="92"/>
      <c r="J103" s="114"/>
      <c r="K103" s="89"/>
      <c r="L103" s="89"/>
      <c r="M103" s="89"/>
      <c r="N103" s="89"/>
      <c r="O103" s="91"/>
      <c r="P103" s="95"/>
      <c r="Q103" s="145"/>
      <c r="R103" s="122"/>
      <c r="S103" s="97"/>
      <c r="T103" s="97"/>
      <c r="U103" s="97"/>
      <c r="V103" s="118"/>
      <c r="W103" s="118"/>
      <c r="X103" s="118"/>
      <c r="Y103" s="98"/>
      <c r="Z103" s="89"/>
      <c r="AA103" s="122"/>
      <c r="AB103" s="89"/>
      <c r="AC103" s="120"/>
      <c r="AD103" s="89"/>
      <c r="AE103" s="89"/>
      <c r="AF103" s="119"/>
      <c r="AG103" s="119"/>
      <c r="AH103" s="119"/>
      <c r="AI103" s="100"/>
      <c r="AJ103" s="100"/>
      <c r="AK103" s="100"/>
      <c r="AU103" s="45"/>
    </row>
    <row r="104" spans="1:47" ht="12" customHeight="1">
      <c r="A104" s="87"/>
      <c r="B104" s="93"/>
      <c r="C104" s="89"/>
      <c r="D104" s="89"/>
      <c r="E104" s="112"/>
      <c r="F104" s="222"/>
      <c r="G104" s="113"/>
      <c r="H104" s="98"/>
      <c r="I104" s="92"/>
      <c r="J104" s="114"/>
      <c r="K104" s="89"/>
      <c r="L104" s="89"/>
      <c r="M104" s="89"/>
      <c r="N104" s="89"/>
      <c r="O104" s="91"/>
      <c r="P104" s="95"/>
      <c r="Q104" s="145"/>
      <c r="R104" s="122"/>
      <c r="S104" s="97"/>
      <c r="T104" s="97"/>
      <c r="U104" s="97"/>
      <c r="V104" s="118"/>
      <c r="W104" s="118"/>
      <c r="X104" s="98"/>
      <c r="Y104" s="118"/>
      <c r="Z104" s="89"/>
      <c r="AA104" s="122"/>
      <c r="AB104" s="89"/>
      <c r="AC104" s="120"/>
      <c r="AD104" s="89"/>
      <c r="AE104" s="89"/>
      <c r="AF104" s="119"/>
      <c r="AG104" s="119"/>
      <c r="AH104" s="119"/>
      <c r="AI104" s="100"/>
      <c r="AJ104" s="100"/>
      <c r="AK104" s="100"/>
      <c r="AU104" s="45"/>
    </row>
    <row r="105" spans="1:47" ht="12" customHeight="1">
      <c r="A105" s="87"/>
      <c r="B105" s="93"/>
      <c r="C105" s="89"/>
      <c r="D105" s="89"/>
      <c r="E105" s="112"/>
      <c r="F105" s="222"/>
      <c r="G105" s="113"/>
      <c r="H105" s="98"/>
      <c r="I105" s="92"/>
      <c r="J105" s="114"/>
      <c r="K105" s="89"/>
      <c r="L105" s="89"/>
      <c r="M105" s="89"/>
      <c r="N105" s="89"/>
      <c r="O105" s="91"/>
      <c r="P105" s="95"/>
      <c r="Q105" s="145"/>
      <c r="R105" s="122"/>
      <c r="S105" s="97"/>
      <c r="T105" s="97"/>
      <c r="U105" s="97"/>
      <c r="V105" s="118"/>
      <c r="W105" s="118"/>
      <c r="X105" s="118"/>
      <c r="Y105" s="118"/>
      <c r="Z105" s="89"/>
      <c r="AA105" s="97"/>
      <c r="AB105" s="89"/>
      <c r="AC105" s="120"/>
      <c r="AD105" s="89"/>
      <c r="AE105" s="89"/>
      <c r="AF105" s="119"/>
      <c r="AG105" s="119"/>
      <c r="AH105" s="119"/>
      <c r="AI105" s="100"/>
      <c r="AJ105" s="100"/>
      <c r="AK105" s="100"/>
      <c r="AU105" s="45"/>
    </row>
    <row r="106" spans="1:47" ht="12" customHeight="1">
      <c r="A106" s="87"/>
      <c r="B106" s="93"/>
      <c r="C106" s="89"/>
      <c r="D106" s="89"/>
      <c r="E106" s="112"/>
      <c r="F106" s="222"/>
      <c r="G106" s="113"/>
      <c r="H106" s="98"/>
      <c r="I106" s="92"/>
      <c r="J106" s="114"/>
      <c r="K106" s="89"/>
      <c r="L106" s="89"/>
      <c r="M106" s="89"/>
      <c r="N106" s="89"/>
      <c r="O106" s="91"/>
      <c r="P106" s="95"/>
      <c r="Q106" s="145"/>
      <c r="R106" s="122"/>
      <c r="S106" s="121"/>
      <c r="T106" s="97"/>
      <c r="U106" s="97"/>
      <c r="V106" s="118"/>
      <c r="W106" s="118"/>
      <c r="X106" s="118"/>
      <c r="Y106" s="98"/>
      <c r="Z106" s="89"/>
      <c r="AA106" s="97"/>
      <c r="AB106" s="89"/>
      <c r="AC106" s="120"/>
      <c r="AD106" s="89"/>
      <c r="AE106" s="89"/>
      <c r="AF106" s="119"/>
      <c r="AG106" s="119"/>
      <c r="AH106" s="119"/>
      <c r="AI106" s="100"/>
      <c r="AJ106" s="100"/>
      <c r="AK106" s="100"/>
      <c r="AU106" s="45"/>
    </row>
    <row r="107" spans="1:47" ht="12" customHeight="1">
      <c r="A107" s="87"/>
      <c r="B107" s="93"/>
      <c r="C107" s="89"/>
      <c r="D107" s="89"/>
      <c r="E107" s="112"/>
      <c r="F107" s="222"/>
      <c r="G107" s="113"/>
      <c r="H107" s="98"/>
      <c r="I107" s="92"/>
      <c r="J107" s="114"/>
      <c r="K107" s="89"/>
      <c r="L107" s="89"/>
      <c r="M107" s="89"/>
      <c r="N107" s="89"/>
      <c r="O107" s="91"/>
      <c r="P107" s="95"/>
      <c r="Q107" s="145"/>
      <c r="R107" s="122"/>
      <c r="S107" s="121"/>
      <c r="T107" s="97"/>
      <c r="U107" s="97"/>
      <c r="V107" s="118"/>
      <c r="W107" s="118"/>
      <c r="X107" s="118"/>
      <c r="Y107" s="98"/>
      <c r="Z107" s="89"/>
      <c r="AA107" s="97"/>
      <c r="AB107" s="89"/>
      <c r="AC107" s="120"/>
      <c r="AD107" s="89"/>
      <c r="AE107" s="89"/>
      <c r="AF107" s="119"/>
      <c r="AG107" s="119"/>
      <c r="AH107" s="119"/>
      <c r="AI107" s="100"/>
      <c r="AJ107" s="100"/>
      <c r="AK107" s="100"/>
      <c r="AU107" s="45"/>
    </row>
    <row r="108" spans="1:47" ht="12" customHeight="1">
      <c r="A108" s="87"/>
      <c r="B108" s="93"/>
      <c r="C108" s="89"/>
      <c r="D108" s="89"/>
      <c r="E108" s="112"/>
      <c r="F108" s="222"/>
      <c r="G108" s="113"/>
      <c r="H108" s="98"/>
      <c r="I108" s="92"/>
      <c r="J108" s="114"/>
      <c r="K108" s="89"/>
      <c r="L108" s="89"/>
      <c r="M108" s="89"/>
      <c r="N108" s="89"/>
      <c r="O108" s="91"/>
      <c r="P108" s="95"/>
      <c r="Q108" s="145"/>
      <c r="R108" s="122"/>
      <c r="S108" s="97"/>
      <c r="T108" s="97"/>
      <c r="U108" s="97"/>
      <c r="V108" s="118"/>
      <c r="W108" s="118"/>
      <c r="X108" s="118"/>
      <c r="Y108" s="118"/>
      <c r="Z108" s="89"/>
      <c r="AA108" s="97"/>
      <c r="AB108" s="89"/>
      <c r="AC108" s="120"/>
      <c r="AD108" s="89"/>
      <c r="AE108" s="89"/>
      <c r="AF108" s="119"/>
      <c r="AG108" s="119"/>
      <c r="AH108" s="119"/>
      <c r="AI108" s="100"/>
      <c r="AJ108" s="100"/>
      <c r="AK108" s="100"/>
      <c r="AU108" s="45"/>
    </row>
    <row r="109" spans="1:47" ht="12" customHeight="1">
      <c r="A109" s="87"/>
      <c r="B109" s="93"/>
      <c r="C109" s="89"/>
      <c r="D109" s="89"/>
      <c r="E109" s="112"/>
      <c r="F109" s="222"/>
      <c r="G109" s="113"/>
      <c r="H109" s="98"/>
      <c r="I109" s="92"/>
      <c r="J109" s="114"/>
      <c r="K109" s="89"/>
      <c r="L109" s="89"/>
      <c r="M109" s="89"/>
      <c r="N109" s="89"/>
      <c r="O109" s="91"/>
      <c r="P109" s="95"/>
      <c r="Q109" s="145"/>
      <c r="R109" s="122"/>
      <c r="S109" s="97"/>
      <c r="T109" s="97"/>
      <c r="U109" s="97"/>
      <c r="V109" s="118"/>
      <c r="W109" s="118"/>
      <c r="X109" s="118"/>
      <c r="Y109" s="118"/>
      <c r="Z109" s="89"/>
      <c r="AA109" s="97"/>
      <c r="AB109" s="89"/>
      <c r="AC109" s="120"/>
      <c r="AD109" s="89"/>
      <c r="AE109" s="89"/>
      <c r="AF109" s="119"/>
      <c r="AG109" s="119"/>
      <c r="AH109" s="119"/>
      <c r="AI109" s="100"/>
      <c r="AJ109" s="100"/>
      <c r="AK109" s="100"/>
      <c r="AU109" s="45"/>
    </row>
    <row r="110" spans="1:47" ht="12" customHeight="1">
      <c r="A110" s="87"/>
      <c r="B110" s="93"/>
      <c r="C110" s="89"/>
      <c r="D110" s="89"/>
      <c r="E110" s="112"/>
      <c r="F110" s="222"/>
      <c r="G110" s="113"/>
      <c r="H110" s="98"/>
      <c r="I110" s="92"/>
      <c r="J110" s="114"/>
      <c r="K110" s="89"/>
      <c r="L110" s="89"/>
      <c r="M110" s="89"/>
      <c r="N110" s="89"/>
      <c r="O110" s="91"/>
      <c r="P110" s="95"/>
      <c r="Q110" s="145"/>
      <c r="R110" s="122"/>
      <c r="S110" s="97"/>
      <c r="T110" s="97"/>
      <c r="U110" s="97"/>
      <c r="V110" s="118"/>
      <c r="W110" s="118"/>
      <c r="X110" s="118"/>
      <c r="Y110" s="98"/>
      <c r="Z110" s="89"/>
      <c r="AA110" s="97"/>
      <c r="AB110" s="89"/>
      <c r="AC110" s="120"/>
      <c r="AD110" s="89"/>
      <c r="AE110" s="89"/>
      <c r="AF110" s="119"/>
      <c r="AG110" s="119"/>
      <c r="AH110" s="119"/>
      <c r="AI110" s="100"/>
      <c r="AJ110" s="100"/>
      <c r="AK110" s="100"/>
      <c r="AU110" s="45"/>
    </row>
    <row r="111" spans="1:47" ht="12" customHeight="1">
      <c r="A111" s="87"/>
      <c r="B111" s="93"/>
      <c r="C111" s="89"/>
      <c r="D111" s="89"/>
      <c r="E111" s="112"/>
      <c r="F111" s="222"/>
      <c r="G111" s="113"/>
      <c r="H111" s="98"/>
      <c r="I111" s="92"/>
      <c r="J111" s="114"/>
      <c r="K111" s="89"/>
      <c r="L111" s="89"/>
      <c r="M111" s="89"/>
      <c r="N111" s="89"/>
      <c r="O111" s="91"/>
      <c r="P111" s="95"/>
      <c r="Q111" s="145"/>
      <c r="R111" s="122"/>
      <c r="S111" s="97"/>
      <c r="T111" s="97"/>
      <c r="U111" s="97"/>
      <c r="V111" s="118"/>
      <c r="W111" s="118"/>
      <c r="X111" s="118"/>
      <c r="Y111" s="98"/>
      <c r="Z111" s="89"/>
      <c r="AA111" s="122"/>
      <c r="AB111" s="89"/>
      <c r="AC111" s="120"/>
      <c r="AD111" s="89"/>
      <c r="AE111" s="89"/>
      <c r="AF111" s="119"/>
      <c r="AG111" s="119"/>
      <c r="AH111" s="119"/>
      <c r="AI111" s="100"/>
      <c r="AJ111" s="100"/>
      <c r="AK111" s="100"/>
      <c r="AU111" s="45"/>
    </row>
    <row r="112" spans="1:47" ht="12" customHeight="1">
      <c r="A112" s="87"/>
      <c r="B112" s="93"/>
      <c r="C112" s="89"/>
      <c r="D112" s="89"/>
      <c r="E112" s="112"/>
      <c r="F112" s="222"/>
      <c r="G112" s="113"/>
      <c r="H112" s="98"/>
      <c r="I112" s="92"/>
      <c r="J112" s="114"/>
      <c r="K112" s="89"/>
      <c r="L112" s="89"/>
      <c r="M112" s="89"/>
      <c r="N112" s="89"/>
      <c r="O112" s="91"/>
      <c r="P112" s="95"/>
      <c r="Q112" s="145"/>
      <c r="R112" s="122"/>
      <c r="S112" s="97"/>
      <c r="T112" s="97"/>
      <c r="U112" s="97"/>
      <c r="V112" s="118"/>
      <c r="W112" s="118"/>
      <c r="X112" s="118"/>
      <c r="Y112" s="118"/>
      <c r="Z112" s="89"/>
      <c r="AA112" s="97"/>
      <c r="AB112" s="89"/>
      <c r="AC112" s="120"/>
      <c r="AD112" s="89"/>
      <c r="AE112" s="89"/>
      <c r="AF112" s="119"/>
      <c r="AG112" s="119"/>
      <c r="AH112" s="119"/>
      <c r="AI112" s="100"/>
      <c r="AJ112" s="100"/>
      <c r="AK112" s="100"/>
      <c r="AU112" s="45"/>
    </row>
    <row r="113" spans="1:47" ht="12" customHeight="1">
      <c r="A113" s="87"/>
      <c r="B113" s="93"/>
      <c r="C113" s="89"/>
      <c r="D113" s="89"/>
      <c r="E113" s="112"/>
      <c r="F113" s="222"/>
      <c r="G113" s="113"/>
      <c r="H113" s="98"/>
      <c r="I113" s="92"/>
      <c r="J113" s="114"/>
      <c r="K113" s="89"/>
      <c r="L113" s="89"/>
      <c r="M113" s="89"/>
      <c r="N113" s="89"/>
      <c r="O113" s="91"/>
      <c r="P113" s="95"/>
      <c r="Q113" s="145"/>
      <c r="R113" s="122"/>
      <c r="S113" s="97"/>
      <c r="T113" s="97"/>
      <c r="U113" s="97"/>
      <c r="V113" s="118"/>
      <c r="W113" s="118"/>
      <c r="X113" s="118"/>
      <c r="Y113" s="98"/>
      <c r="Z113" s="89"/>
      <c r="AA113" s="122"/>
      <c r="AB113" s="89"/>
      <c r="AC113" s="120"/>
      <c r="AD113" s="89"/>
      <c r="AE113" s="89"/>
      <c r="AF113" s="119"/>
      <c r="AG113" s="119"/>
      <c r="AH113" s="119"/>
      <c r="AI113" s="100"/>
      <c r="AJ113" s="100"/>
      <c r="AK113" s="100"/>
      <c r="AU113" s="45"/>
    </row>
    <row r="114" spans="1:47" ht="12" customHeight="1">
      <c r="A114" s="87"/>
      <c r="B114" s="93"/>
      <c r="C114" s="89"/>
      <c r="D114" s="89"/>
      <c r="E114" s="112"/>
      <c r="F114" s="222"/>
      <c r="G114" s="113"/>
      <c r="H114" s="98"/>
      <c r="I114" s="92"/>
      <c r="J114" s="114"/>
      <c r="K114" s="89"/>
      <c r="L114" s="89"/>
      <c r="M114" s="89"/>
      <c r="N114" s="89"/>
      <c r="O114" s="91"/>
      <c r="P114" s="95"/>
      <c r="Q114" s="145"/>
      <c r="R114" s="122"/>
      <c r="S114" s="97"/>
      <c r="T114" s="97"/>
      <c r="U114" s="97"/>
      <c r="V114" s="118"/>
      <c r="W114" s="118"/>
      <c r="X114" s="118"/>
      <c r="Y114" s="118"/>
      <c r="Z114" s="89"/>
      <c r="AA114" s="122"/>
      <c r="AB114" s="89"/>
      <c r="AC114" s="120"/>
      <c r="AD114" s="89"/>
      <c r="AE114" s="89"/>
      <c r="AF114" s="119"/>
      <c r="AG114" s="119"/>
      <c r="AH114" s="119"/>
      <c r="AI114" s="100"/>
      <c r="AJ114" s="100"/>
      <c r="AK114" s="100"/>
      <c r="AU114" s="45"/>
    </row>
    <row r="115" spans="1:47" ht="12" customHeight="1">
      <c r="A115" s="87"/>
      <c r="B115" s="93"/>
      <c r="C115" s="89"/>
      <c r="D115" s="89"/>
      <c r="E115" s="112"/>
      <c r="F115" s="222"/>
      <c r="G115" s="113"/>
      <c r="H115" s="98"/>
      <c r="I115" s="92"/>
      <c r="J115" s="114"/>
      <c r="K115" s="89"/>
      <c r="L115" s="89"/>
      <c r="M115" s="89"/>
      <c r="N115" s="89"/>
      <c r="O115" s="91"/>
      <c r="P115" s="95"/>
      <c r="Q115" s="145"/>
      <c r="R115" s="122"/>
      <c r="S115" s="97"/>
      <c r="T115" s="97"/>
      <c r="U115" s="97"/>
      <c r="V115" s="118"/>
      <c r="W115" s="118"/>
      <c r="X115" s="118"/>
      <c r="Y115" s="118"/>
      <c r="Z115" s="89"/>
      <c r="AA115" s="97"/>
      <c r="AB115" s="89"/>
      <c r="AC115" s="120"/>
      <c r="AD115" s="89"/>
      <c r="AE115" s="89"/>
      <c r="AF115" s="119"/>
      <c r="AG115" s="119"/>
      <c r="AH115" s="119"/>
      <c r="AI115" s="100"/>
      <c r="AJ115" s="100"/>
      <c r="AK115" s="100"/>
      <c r="AU115" s="45"/>
    </row>
    <row r="116" spans="1:47" ht="12" customHeight="1">
      <c r="A116" s="87"/>
      <c r="B116" s="93"/>
      <c r="C116" s="89"/>
      <c r="D116" s="89"/>
      <c r="E116" s="112"/>
      <c r="F116" s="222"/>
      <c r="G116" s="113"/>
      <c r="H116" s="98"/>
      <c r="I116" s="92"/>
      <c r="J116" s="114"/>
      <c r="K116" s="89"/>
      <c r="L116" s="89"/>
      <c r="M116" s="89"/>
      <c r="N116" s="89"/>
      <c r="O116" s="91"/>
      <c r="P116" s="95"/>
      <c r="Q116" s="145"/>
      <c r="R116" s="122"/>
      <c r="S116" s="97"/>
      <c r="T116" s="97"/>
      <c r="U116" s="97"/>
      <c r="V116" s="118"/>
      <c r="W116" s="118"/>
      <c r="X116" s="98"/>
      <c r="Y116" s="98"/>
      <c r="Z116" s="89"/>
      <c r="AA116" s="122"/>
      <c r="AB116" s="89"/>
      <c r="AC116" s="120"/>
      <c r="AD116" s="89"/>
      <c r="AE116" s="89"/>
      <c r="AF116" s="119"/>
      <c r="AG116" s="119"/>
      <c r="AH116" s="119"/>
      <c r="AI116" s="100"/>
      <c r="AJ116" s="100"/>
      <c r="AK116" s="100"/>
      <c r="AU116" s="45"/>
    </row>
    <row r="117" spans="1:47" ht="12" customHeight="1">
      <c r="A117" s="87"/>
      <c r="B117" s="93"/>
      <c r="C117" s="89"/>
      <c r="D117" s="89"/>
      <c r="E117" s="112"/>
      <c r="F117" s="222"/>
      <c r="G117" s="113"/>
      <c r="H117" s="98"/>
      <c r="I117" s="92"/>
      <c r="J117" s="114"/>
      <c r="K117" s="89"/>
      <c r="L117" s="89"/>
      <c r="M117" s="89"/>
      <c r="N117" s="89"/>
      <c r="O117" s="91"/>
      <c r="P117" s="95"/>
      <c r="Q117" s="145"/>
      <c r="R117" s="122"/>
      <c r="S117" s="121"/>
      <c r="T117" s="97"/>
      <c r="U117" s="97"/>
      <c r="V117" s="118"/>
      <c r="W117" s="118"/>
      <c r="X117" s="118"/>
      <c r="Y117" s="98"/>
      <c r="Z117" s="89"/>
      <c r="AA117" s="97"/>
      <c r="AB117" s="89"/>
      <c r="AC117" s="120"/>
      <c r="AD117" s="89"/>
      <c r="AE117" s="89"/>
      <c r="AF117" s="119"/>
      <c r="AG117" s="119"/>
      <c r="AH117" s="119"/>
      <c r="AI117" s="100"/>
      <c r="AJ117" s="100"/>
      <c r="AK117" s="100"/>
      <c r="AU117" s="45"/>
    </row>
    <row r="118" spans="1:47" ht="12" customHeight="1">
      <c r="A118" s="87"/>
      <c r="B118" s="93"/>
      <c r="C118" s="89"/>
      <c r="D118" s="89"/>
      <c r="E118" s="112"/>
      <c r="F118" s="222"/>
      <c r="G118" s="113"/>
      <c r="H118" s="98"/>
      <c r="I118" s="92"/>
      <c r="J118" s="114"/>
      <c r="K118" s="89"/>
      <c r="L118" s="89"/>
      <c r="M118" s="89"/>
      <c r="N118" s="89"/>
      <c r="O118" s="91"/>
      <c r="P118" s="95"/>
      <c r="Q118" s="145"/>
      <c r="R118" s="122"/>
      <c r="S118" s="121"/>
      <c r="T118" s="97"/>
      <c r="U118" s="97"/>
      <c r="V118" s="118"/>
      <c r="W118" s="118"/>
      <c r="X118" s="118"/>
      <c r="Y118" s="98"/>
      <c r="Z118" s="89"/>
      <c r="AA118" s="97"/>
      <c r="AB118" s="89"/>
      <c r="AC118" s="120"/>
      <c r="AD118" s="89"/>
      <c r="AE118" s="89"/>
      <c r="AF118" s="119"/>
      <c r="AG118" s="119"/>
      <c r="AH118" s="119"/>
      <c r="AI118" s="100"/>
      <c r="AJ118" s="100"/>
      <c r="AK118" s="100"/>
      <c r="AU118" s="45"/>
    </row>
    <row r="119" spans="1:47" ht="12" customHeight="1">
      <c r="A119" s="87"/>
      <c r="B119" s="93"/>
      <c r="C119" s="89"/>
      <c r="D119" s="89"/>
      <c r="E119" s="112"/>
      <c r="F119" s="222"/>
      <c r="G119" s="113"/>
      <c r="H119" s="98"/>
      <c r="I119" s="92"/>
      <c r="J119" s="114"/>
      <c r="K119" s="89"/>
      <c r="L119" s="89"/>
      <c r="M119" s="89"/>
      <c r="N119" s="89"/>
      <c r="O119" s="91"/>
      <c r="P119" s="95"/>
      <c r="Q119" s="145"/>
      <c r="R119" s="122"/>
      <c r="S119" s="97"/>
      <c r="T119" s="97"/>
      <c r="U119" s="97"/>
      <c r="V119" s="118"/>
      <c r="W119" s="118"/>
      <c r="X119" s="98"/>
      <c r="Y119" s="98"/>
      <c r="Z119" s="89"/>
      <c r="AA119" s="97"/>
      <c r="AB119" s="89"/>
      <c r="AC119" s="120"/>
      <c r="AD119" s="89"/>
      <c r="AE119" s="89"/>
      <c r="AF119" s="119"/>
      <c r="AG119" s="119"/>
      <c r="AH119" s="119"/>
      <c r="AI119" s="100"/>
      <c r="AJ119" s="100"/>
      <c r="AK119" s="100"/>
      <c r="AU119" s="45"/>
    </row>
    <row r="120" spans="1:47" ht="12" customHeight="1">
      <c r="A120" s="87"/>
      <c r="B120" s="93"/>
      <c r="C120" s="89"/>
      <c r="D120" s="89"/>
      <c r="E120" s="112"/>
      <c r="F120" s="222"/>
      <c r="G120" s="113"/>
      <c r="H120" s="98"/>
      <c r="I120" s="92"/>
      <c r="J120" s="114"/>
      <c r="K120" s="89"/>
      <c r="L120" s="89"/>
      <c r="M120" s="89"/>
      <c r="N120" s="89"/>
      <c r="O120" s="91"/>
      <c r="P120" s="95"/>
      <c r="Q120" s="145"/>
      <c r="R120" s="122"/>
      <c r="S120" s="97"/>
      <c r="T120" s="97"/>
      <c r="U120" s="97"/>
      <c r="V120" s="118"/>
      <c r="W120" s="118"/>
      <c r="X120" s="98"/>
      <c r="Y120" s="98"/>
      <c r="Z120" s="89"/>
      <c r="AA120" s="97"/>
      <c r="AB120" s="89"/>
      <c r="AC120" s="120"/>
      <c r="AD120" s="89"/>
      <c r="AE120" s="89"/>
      <c r="AF120" s="119"/>
      <c r="AG120" s="119"/>
      <c r="AH120" s="119"/>
      <c r="AI120" s="100"/>
      <c r="AJ120" s="100"/>
      <c r="AK120" s="100"/>
      <c r="AU120" s="45"/>
    </row>
    <row r="121" spans="1:47" ht="12" customHeight="1">
      <c r="A121" s="87"/>
      <c r="B121" s="93"/>
      <c r="C121" s="89"/>
      <c r="D121" s="89"/>
      <c r="E121" s="112"/>
      <c r="F121" s="222"/>
      <c r="G121" s="113"/>
      <c r="H121" s="98"/>
      <c r="I121" s="92"/>
      <c r="J121" s="114"/>
      <c r="K121" s="89"/>
      <c r="L121" s="89"/>
      <c r="M121" s="89"/>
      <c r="N121" s="89"/>
      <c r="O121" s="91"/>
      <c r="P121" s="95"/>
      <c r="Q121" s="145"/>
      <c r="R121" s="122"/>
      <c r="S121" s="97"/>
      <c r="T121" s="97"/>
      <c r="U121" s="97"/>
      <c r="V121" s="118"/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U121" s="45"/>
    </row>
    <row r="122" spans="1:47" ht="12" customHeight="1">
      <c r="A122" s="87"/>
      <c r="B122" s="93"/>
      <c r="C122" s="89"/>
      <c r="D122" s="89"/>
      <c r="E122" s="112"/>
      <c r="F122" s="222"/>
      <c r="G122" s="113"/>
      <c r="H122" s="98"/>
      <c r="I122" s="92"/>
      <c r="J122" s="114"/>
      <c r="K122" s="89"/>
      <c r="L122" s="89"/>
      <c r="M122" s="89"/>
      <c r="N122" s="89"/>
      <c r="O122" s="91"/>
      <c r="P122" s="95"/>
      <c r="Q122" s="145"/>
      <c r="R122" s="122"/>
      <c r="S122" s="97"/>
      <c r="T122" s="97"/>
      <c r="U122" s="97"/>
      <c r="V122" s="118"/>
      <c r="W122" s="118"/>
      <c r="X122" s="98"/>
      <c r="Y122" s="98"/>
      <c r="Z122" s="89"/>
      <c r="AA122" s="122"/>
      <c r="AB122" s="89"/>
      <c r="AC122" s="120"/>
      <c r="AD122" s="89"/>
      <c r="AE122" s="89"/>
      <c r="AF122" s="119"/>
      <c r="AG122" s="119"/>
      <c r="AH122" s="119"/>
      <c r="AI122" s="100"/>
      <c r="AJ122" s="100"/>
      <c r="AK122" s="100"/>
      <c r="AU122" s="45"/>
    </row>
    <row r="123" spans="1:47" ht="12" customHeight="1">
      <c r="A123" s="87"/>
      <c r="B123" s="93"/>
      <c r="C123" s="89"/>
      <c r="D123" s="89"/>
      <c r="E123" s="112"/>
      <c r="F123" s="222"/>
      <c r="G123" s="113"/>
      <c r="H123" s="98"/>
      <c r="I123" s="92"/>
      <c r="J123" s="114"/>
      <c r="K123" s="89"/>
      <c r="L123" s="89"/>
      <c r="M123" s="89"/>
      <c r="N123" s="89"/>
      <c r="O123" s="91"/>
      <c r="P123" s="95"/>
      <c r="Q123" s="145"/>
      <c r="R123" s="122"/>
      <c r="S123" s="97"/>
      <c r="T123" s="97"/>
      <c r="U123" s="97"/>
      <c r="V123" s="118"/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U123" s="45"/>
    </row>
    <row r="124" spans="1:47" ht="12" customHeight="1">
      <c r="A124" s="87"/>
      <c r="B124" s="93"/>
      <c r="C124" s="89"/>
      <c r="D124" s="89"/>
      <c r="E124" s="112"/>
      <c r="F124" s="222"/>
      <c r="G124" s="113"/>
      <c r="H124" s="98"/>
      <c r="I124" s="92"/>
      <c r="J124" s="114"/>
      <c r="K124" s="89"/>
      <c r="L124" s="89"/>
      <c r="M124" s="89"/>
      <c r="N124" s="89"/>
      <c r="O124" s="91"/>
      <c r="P124" s="95"/>
      <c r="Q124" s="145"/>
      <c r="R124" s="122"/>
      <c r="S124" s="97"/>
      <c r="T124" s="97"/>
      <c r="U124" s="97"/>
      <c r="V124" s="118"/>
      <c r="W124" s="118"/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U124" s="45"/>
    </row>
    <row r="125" spans="1:47" ht="12" customHeight="1">
      <c r="A125" s="87"/>
      <c r="B125" s="93"/>
      <c r="C125" s="89"/>
      <c r="D125" s="89"/>
      <c r="E125" s="112"/>
      <c r="F125" s="222"/>
      <c r="G125" s="113"/>
      <c r="H125" s="98"/>
      <c r="I125" s="92"/>
      <c r="J125" s="114"/>
      <c r="K125" s="89"/>
      <c r="L125" s="89"/>
      <c r="M125" s="89"/>
      <c r="N125" s="89"/>
      <c r="O125" s="91"/>
      <c r="P125" s="95"/>
      <c r="Q125" s="145"/>
      <c r="R125" s="122"/>
      <c r="S125" s="97"/>
      <c r="T125" s="97"/>
      <c r="U125" s="97"/>
      <c r="V125" s="118"/>
      <c r="W125" s="118"/>
      <c r="X125" s="118"/>
      <c r="Y125" s="11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U125" s="45"/>
    </row>
    <row r="126" spans="1:47" ht="12" customHeight="1">
      <c r="A126" s="87"/>
      <c r="B126" s="93"/>
      <c r="C126" s="89"/>
      <c r="D126" s="89"/>
      <c r="E126" s="112"/>
      <c r="F126" s="222"/>
      <c r="G126" s="113"/>
      <c r="H126" s="98"/>
      <c r="I126" s="92"/>
      <c r="J126" s="114"/>
      <c r="K126" s="89"/>
      <c r="L126" s="89"/>
      <c r="M126" s="89"/>
      <c r="N126" s="89"/>
      <c r="O126" s="91"/>
      <c r="P126" s="95"/>
      <c r="Q126" s="145"/>
      <c r="R126" s="122"/>
      <c r="S126" s="97"/>
      <c r="T126" s="97"/>
      <c r="U126" s="97"/>
      <c r="V126" s="118"/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U126" s="45"/>
    </row>
    <row r="127" spans="1:47" ht="12" customHeight="1">
      <c r="A127" s="87"/>
      <c r="B127" s="93"/>
      <c r="C127" s="89"/>
      <c r="D127" s="89"/>
      <c r="E127" s="112"/>
      <c r="F127" s="222"/>
      <c r="G127" s="113"/>
      <c r="H127" s="98"/>
      <c r="I127" s="92"/>
      <c r="J127" s="114"/>
      <c r="K127" s="89"/>
      <c r="L127" s="89"/>
      <c r="M127" s="89"/>
      <c r="N127" s="89"/>
      <c r="O127" s="91"/>
      <c r="P127" s="95"/>
      <c r="Q127" s="145"/>
      <c r="R127" s="122"/>
      <c r="S127" s="97"/>
      <c r="T127" s="97"/>
      <c r="U127" s="97"/>
      <c r="V127" s="118"/>
      <c r="W127" s="118"/>
      <c r="X127" s="9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U127" s="45"/>
    </row>
    <row r="128" spans="1:47" ht="12" customHeight="1">
      <c r="A128" s="87"/>
      <c r="B128" s="93"/>
      <c r="C128" s="89"/>
      <c r="D128" s="89"/>
      <c r="E128" s="112"/>
      <c r="F128" s="222"/>
      <c r="G128" s="113"/>
      <c r="H128" s="98"/>
      <c r="I128" s="92"/>
      <c r="J128" s="114"/>
      <c r="K128" s="89"/>
      <c r="L128" s="89"/>
      <c r="M128" s="89"/>
      <c r="N128" s="89"/>
      <c r="O128" s="91"/>
      <c r="P128" s="95"/>
      <c r="Q128" s="145"/>
      <c r="R128" s="122"/>
      <c r="S128" s="97"/>
      <c r="T128" s="97"/>
      <c r="U128" s="97"/>
      <c r="V128" s="118"/>
      <c r="W128" s="118"/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/>
      <c r="AK128" s="100"/>
      <c r="AU128" s="45"/>
    </row>
    <row r="129" spans="1:47" ht="12" customHeight="1">
      <c r="A129" s="87"/>
      <c r="B129" s="93"/>
      <c r="C129" s="89"/>
      <c r="D129" s="89"/>
      <c r="E129" s="112"/>
      <c r="F129" s="222"/>
      <c r="G129" s="113"/>
      <c r="H129" s="98"/>
      <c r="I129" s="92"/>
      <c r="J129" s="114"/>
      <c r="K129" s="89"/>
      <c r="L129" s="89"/>
      <c r="M129" s="89"/>
      <c r="N129" s="89"/>
      <c r="O129" s="91"/>
      <c r="P129" s="95"/>
      <c r="Q129" s="145"/>
      <c r="R129" s="122"/>
      <c r="S129" s="97"/>
      <c r="T129" s="97"/>
      <c r="U129" s="97"/>
      <c r="V129" s="118"/>
      <c r="W129" s="118"/>
      <c r="X129" s="98"/>
      <c r="Y129" s="98"/>
      <c r="Z129" s="89"/>
      <c r="AA129" s="122"/>
      <c r="AB129" s="89"/>
      <c r="AC129" s="120"/>
      <c r="AD129" s="89"/>
      <c r="AE129" s="89"/>
      <c r="AF129" s="119"/>
      <c r="AG129" s="119"/>
      <c r="AH129" s="119"/>
      <c r="AI129" s="100"/>
      <c r="AJ129" s="100"/>
      <c r="AK129" s="100"/>
      <c r="AU129" s="45"/>
    </row>
    <row r="130" spans="1:47" ht="12" customHeight="1">
      <c r="A130" s="87"/>
      <c r="B130" s="93"/>
      <c r="C130" s="89"/>
      <c r="D130" s="89"/>
      <c r="E130" s="112"/>
      <c r="F130" s="222"/>
      <c r="G130" s="113"/>
      <c r="H130" s="98"/>
      <c r="I130" s="92"/>
      <c r="J130" s="114"/>
      <c r="K130" s="89"/>
      <c r="L130" s="89"/>
      <c r="M130" s="89"/>
      <c r="N130" s="89"/>
      <c r="O130" s="91"/>
      <c r="P130" s="95"/>
      <c r="Q130" s="145"/>
      <c r="R130" s="122"/>
      <c r="S130" s="97"/>
      <c r="T130" s="97"/>
      <c r="U130" s="97"/>
      <c r="V130" s="118"/>
      <c r="W130" s="118"/>
      <c r="X130" s="98"/>
      <c r="Y130" s="98"/>
      <c r="Z130" s="89"/>
      <c r="AA130" s="97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U130" s="45"/>
    </row>
    <row r="131" spans="1:47" ht="12" customHeight="1">
      <c r="A131" s="87"/>
      <c r="B131" s="93"/>
      <c r="C131" s="89"/>
      <c r="D131" s="89"/>
      <c r="E131" s="112"/>
      <c r="F131" s="222"/>
      <c r="G131" s="113"/>
      <c r="H131" s="98"/>
      <c r="I131" s="92"/>
      <c r="J131" s="114"/>
      <c r="K131" s="89"/>
      <c r="L131" s="89"/>
      <c r="M131" s="89"/>
      <c r="N131" s="89"/>
      <c r="O131" s="91"/>
      <c r="P131" s="95"/>
      <c r="Q131" s="145"/>
      <c r="R131" s="122"/>
      <c r="S131" s="97"/>
      <c r="T131" s="97"/>
      <c r="U131" s="97"/>
      <c r="V131" s="118"/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/>
      <c r="AK131" s="100"/>
      <c r="AU131" s="45"/>
    </row>
    <row r="132" spans="1:47" ht="12" customHeight="1">
      <c r="A132" s="87"/>
      <c r="B132" s="93"/>
      <c r="C132" s="89"/>
      <c r="D132" s="89"/>
      <c r="E132" s="112"/>
      <c r="F132" s="222"/>
      <c r="G132" s="113"/>
      <c r="H132" s="98"/>
      <c r="I132" s="92"/>
      <c r="J132" s="114"/>
      <c r="K132" s="89"/>
      <c r="L132" s="89"/>
      <c r="M132" s="89"/>
      <c r="N132" s="89"/>
      <c r="O132" s="91"/>
      <c r="P132" s="95"/>
      <c r="Q132" s="145"/>
      <c r="R132" s="122"/>
      <c r="S132" s="97"/>
      <c r="T132" s="97"/>
      <c r="U132" s="97"/>
      <c r="V132" s="118"/>
      <c r="W132" s="118"/>
      <c r="X132" s="98"/>
      <c r="Y132" s="118"/>
      <c r="Z132" s="89"/>
      <c r="AA132" s="122"/>
      <c r="AB132" s="89"/>
      <c r="AC132" s="120"/>
      <c r="AD132" s="89"/>
      <c r="AE132" s="89"/>
      <c r="AF132" s="119"/>
      <c r="AG132" s="119"/>
      <c r="AH132" s="119"/>
      <c r="AI132" s="100"/>
      <c r="AJ132" s="100"/>
      <c r="AK132" s="100"/>
      <c r="AU132" s="45"/>
    </row>
    <row r="133" spans="1:47" ht="12" customHeight="1">
      <c r="A133" s="87"/>
      <c r="B133" s="93"/>
      <c r="C133" s="89"/>
      <c r="D133" s="89"/>
      <c r="E133" s="112"/>
      <c r="F133" s="222"/>
      <c r="G133" s="113"/>
      <c r="H133" s="98"/>
      <c r="I133" s="92"/>
      <c r="J133" s="114"/>
      <c r="K133" s="89"/>
      <c r="L133" s="89"/>
      <c r="M133" s="89"/>
      <c r="N133" s="89"/>
      <c r="O133" s="91"/>
      <c r="P133" s="95"/>
      <c r="Q133" s="145"/>
      <c r="R133" s="122"/>
      <c r="S133" s="121"/>
      <c r="T133" s="97"/>
      <c r="U133" s="97"/>
      <c r="V133" s="118"/>
      <c r="W133" s="118"/>
      <c r="X133" s="11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U133" s="45"/>
    </row>
    <row r="134" spans="1:47" ht="12" customHeight="1">
      <c r="A134" s="87"/>
      <c r="B134" s="93"/>
      <c r="C134" s="89"/>
      <c r="D134" s="89"/>
      <c r="E134" s="112"/>
      <c r="F134" s="222"/>
      <c r="G134" s="113"/>
      <c r="H134" s="98"/>
      <c r="I134" s="92"/>
      <c r="J134" s="114"/>
      <c r="K134" s="89"/>
      <c r="L134" s="89"/>
      <c r="M134" s="89"/>
      <c r="N134" s="89"/>
      <c r="O134" s="91"/>
      <c r="P134" s="95"/>
      <c r="Q134" s="145"/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U134" s="45"/>
    </row>
    <row r="135" spans="1:47" ht="12" customHeight="1">
      <c r="A135" s="87"/>
      <c r="B135" s="93"/>
      <c r="C135" s="89"/>
      <c r="D135" s="89"/>
      <c r="E135" s="112"/>
      <c r="F135" s="222"/>
      <c r="G135" s="113"/>
      <c r="H135" s="98"/>
      <c r="I135" s="92"/>
      <c r="J135" s="114"/>
      <c r="K135" s="89"/>
      <c r="L135" s="89"/>
      <c r="M135" s="89"/>
      <c r="N135" s="89"/>
      <c r="O135" s="91"/>
      <c r="P135" s="95"/>
      <c r="Q135" s="145"/>
      <c r="R135" s="122"/>
      <c r="S135" s="97"/>
      <c r="T135" s="97"/>
      <c r="U135" s="97"/>
      <c r="V135" s="118"/>
      <c r="W135" s="118"/>
      <c r="X135" s="98"/>
      <c r="Y135" s="11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U135" s="45"/>
    </row>
    <row r="136" spans="1:47" ht="12" customHeight="1">
      <c r="A136" s="87"/>
      <c r="B136" s="93"/>
      <c r="C136" s="89"/>
      <c r="D136" s="89"/>
      <c r="E136" s="112"/>
      <c r="F136" s="222"/>
      <c r="G136" s="113"/>
      <c r="H136" s="98"/>
      <c r="I136" s="92"/>
      <c r="J136" s="114"/>
      <c r="K136" s="89"/>
      <c r="L136" s="89"/>
      <c r="M136" s="89"/>
      <c r="N136" s="89"/>
      <c r="O136" s="91"/>
      <c r="P136" s="95"/>
      <c r="Q136" s="145"/>
      <c r="R136" s="122"/>
      <c r="S136" s="97"/>
      <c r="T136" s="97"/>
      <c r="U136" s="97"/>
      <c r="V136" s="118"/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U136" s="45"/>
    </row>
    <row r="137" spans="1:47" ht="12" customHeight="1">
      <c r="A137" s="87"/>
      <c r="B137" s="93"/>
      <c r="C137" s="89"/>
      <c r="D137" s="89"/>
      <c r="E137" s="112"/>
      <c r="F137" s="222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U137" s="45"/>
    </row>
    <row r="138" spans="1:47" ht="12" customHeight="1">
      <c r="A138" s="87"/>
      <c r="B138" s="93"/>
      <c r="C138" s="89"/>
      <c r="D138" s="89"/>
      <c r="E138" s="112"/>
      <c r="F138" s="222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U138" s="45"/>
    </row>
    <row r="139" spans="1:47" ht="12" customHeight="1">
      <c r="A139" s="87"/>
      <c r="B139" s="93"/>
      <c r="C139" s="89"/>
      <c r="D139" s="89"/>
      <c r="E139" s="112"/>
      <c r="F139" s="222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97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U139" s="45"/>
    </row>
    <row r="140" spans="1:47" ht="12" customHeight="1">
      <c r="A140" s="87"/>
      <c r="B140" s="93"/>
      <c r="C140" s="89"/>
      <c r="D140" s="89"/>
      <c r="E140" s="112"/>
      <c r="F140" s="222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122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U140" s="45"/>
    </row>
    <row r="141" spans="1:47" ht="12" customHeight="1">
      <c r="A141" s="87"/>
      <c r="B141" s="93"/>
      <c r="C141" s="89"/>
      <c r="D141" s="89"/>
      <c r="E141" s="112"/>
      <c r="F141" s="222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118"/>
      <c r="Y141" s="11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U141" s="45"/>
    </row>
    <row r="142" spans="1:47" ht="12" customHeight="1">
      <c r="A142" s="87"/>
      <c r="B142" s="93"/>
      <c r="C142" s="89"/>
      <c r="D142" s="89"/>
      <c r="E142" s="112"/>
      <c r="F142" s="222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U142" s="45"/>
    </row>
    <row r="143" spans="1:47" ht="12" customHeight="1">
      <c r="A143" s="87"/>
      <c r="B143" s="93"/>
      <c r="C143" s="89"/>
      <c r="D143" s="89"/>
      <c r="E143" s="112"/>
      <c r="F143" s="222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U143" s="45"/>
    </row>
    <row r="144" spans="1:47" ht="12" customHeight="1">
      <c r="A144" s="87"/>
      <c r="B144" s="93"/>
      <c r="C144" s="89"/>
      <c r="D144" s="89"/>
      <c r="E144" s="112"/>
      <c r="F144" s="222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97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U144" s="45"/>
    </row>
    <row r="145" spans="1:47" ht="12" customHeight="1">
      <c r="A145" s="87"/>
      <c r="B145" s="93"/>
      <c r="C145" s="89"/>
      <c r="D145" s="89"/>
      <c r="E145" s="112"/>
      <c r="F145" s="222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121"/>
      <c r="T145" s="97"/>
      <c r="U145" s="97"/>
      <c r="V145" s="118"/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U145" s="45"/>
    </row>
    <row r="146" spans="1:47" ht="12" customHeight="1">
      <c r="A146" s="87"/>
      <c r="B146" s="93"/>
      <c r="C146" s="89"/>
      <c r="D146" s="89"/>
      <c r="E146" s="112"/>
      <c r="F146" s="222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U146" s="45"/>
    </row>
    <row r="147" spans="1:47" ht="12" customHeight="1">
      <c r="A147" s="87"/>
      <c r="B147" s="93"/>
      <c r="C147" s="89"/>
      <c r="D147" s="89"/>
      <c r="E147" s="112"/>
      <c r="F147" s="222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U147" s="45"/>
    </row>
    <row r="148" spans="1:47" ht="12" customHeight="1">
      <c r="A148" s="87"/>
      <c r="B148" s="93"/>
      <c r="C148" s="89"/>
      <c r="D148" s="89"/>
      <c r="E148" s="112"/>
      <c r="F148" s="222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U148" s="45"/>
    </row>
    <row r="149" spans="1:47" ht="12" customHeight="1">
      <c r="A149" s="87"/>
      <c r="B149" s="93"/>
      <c r="C149" s="89"/>
      <c r="D149" s="89"/>
      <c r="E149" s="112"/>
      <c r="F149" s="222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U149" s="45"/>
    </row>
    <row r="150" spans="1:47" ht="12" customHeight="1">
      <c r="A150" s="87"/>
      <c r="B150" s="93"/>
      <c r="C150" s="89"/>
      <c r="D150" s="89"/>
      <c r="E150" s="112"/>
      <c r="F150" s="222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U150" s="45"/>
    </row>
    <row r="151" spans="1:47" ht="12" customHeight="1">
      <c r="A151" s="87"/>
      <c r="B151" s="93"/>
      <c r="C151" s="89"/>
      <c r="D151" s="89"/>
      <c r="E151" s="112"/>
      <c r="F151" s="222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U151" s="45"/>
    </row>
    <row r="152" spans="1:47" ht="12" customHeight="1">
      <c r="A152" s="87"/>
      <c r="B152" s="93"/>
      <c r="C152" s="89"/>
      <c r="D152" s="89"/>
      <c r="E152" s="112"/>
      <c r="F152" s="222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97"/>
      <c r="T152" s="97"/>
      <c r="U152" s="97"/>
      <c r="V152" s="118"/>
      <c r="W152" s="98"/>
      <c r="X152" s="9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U152" s="45"/>
    </row>
    <row r="153" spans="1:47" ht="12" customHeight="1">
      <c r="A153" s="87"/>
      <c r="B153" s="93"/>
      <c r="C153" s="89"/>
      <c r="D153" s="89"/>
      <c r="E153" s="112"/>
      <c r="F153" s="222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U153" s="45"/>
    </row>
    <row r="154" spans="1:47" ht="12" customHeight="1">
      <c r="A154" s="87"/>
      <c r="B154" s="93"/>
      <c r="C154" s="89"/>
      <c r="D154" s="89"/>
      <c r="E154" s="112"/>
      <c r="F154" s="222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U154" s="45"/>
    </row>
    <row r="155" spans="1:47" ht="12" customHeight="1">
      <c r="A155" s="87"/>
      <c r="B155" s="93"/>
      <c r="C155" s="89"/>
      <c r="D155" s="89"/>
      <c r="E155" s="112"/>
      <c r="F155" s="222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U155" s="45"/>
    </row>
    <row r="156" spans="1:47" ht="12" customHeight="1">
      <c r="A156" s="87"/>
      <c r="B156" s="93"/>
      <c r="C156" s="89"/>
      <c r="D156" s="89"/>
      <c r="E156" s="112"/>
      <c r="F156" s="222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U156" s="45"/>
    </row>
    <row r="157" spans="1:47" ht="12" customHeight="1">
      <c r="A157" s="87"/>
      <c r="B157" s="93"/>
      <c r="C157" s="89"/>
      <c r="D157" s="89"/>
      <c r="E157" s="112"/>
      <c r="F157" s="222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U157" s="45"/>
    </row>
    <row r="158" spans="1:47" ht="12" customHeight="1">
      <c r="A158" s="87"/>
      <c r="B158" s="93"/>
      <c r="C158" s="89"/>
      <c r="D158" s="89"/>
      <c r="E158" s="112"/>
      <c r="F158" s="222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U158" s="45"/>
    </row>
    <row r="159" spans="1:47" ht="12" customHeight="1">
      <c r="A159" s="87"/>
      <c r="B159" s="93"/>
      <c r="C159" s="89"/>
      <c r="D159" s="89"/>
      <c r="E159" s="112"/>
      <c r="F159" s="222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122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U159" s="45"/>
    </row>
    <row r="160" spans="1:47" ht="12" customHeight="1">
      <c r="A160" s="87"/>
      <c r="B160" s="93"/>
      <c r="C160" s="89"/>
      <c r="D160" s="89"/>
      <c r="E160" s="112"/>
      <c r="F160" s="222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97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U160" s="45"/>
    </row>
    <row r="161" spans="1:47" ht="12" customHeight="1">
      <c r="A161" s="87"/>
      <c r="B161" s="93"/>
      <c r="C161" s="89"/>
      <c r="D161" s="89"/>
      <c r="E161" s="112"/>
      <c r="F161" s="222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U161" s="45"/>
    </row>
    <row r="162" spans="1:47" ht="12" customHeight="1">
      <c r="A162" s="87"/>
      <c r="B162" s="93"/>
      <c r="C162" s="89"/>
      <c r="D162" s="89"/>
      <c r="E162" s="112"/>
      <c r="F162" s="222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118"/>
      <c r="X162" s="118"/>
      <c r="Y162" s="11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U162" s="45"/>
    </row>
    <row r="163" spans="1:47" ht="12" customHeight="1">
      <c r="A163" s="87"/>
      <c r="B163" s="93"/>
      <c r="C163" s="89"/>
      <c r="D163" s="89"/>
      <c r="E163" s="112"/>
      <c r="F163" s="222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97"/>
      <c r="S163" s="97"/>
      <c r="T163" s="97"/>
      <c r="U163" s="97"/>
      <c r="V163" s="118"/>
      <c r="W163" s="124"/>
      <c r="X163" s="9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U163" s="45"/>
    </row>
    <row r="164" spans="1:47" ht="12" customHeight="1">
      <c r="A164" s="87"/>
      <c r="B164" s="93"/>
      <c r="C164" s="89"/>
      <c r="D164" s="89"/>
      <c r="E164" s="112"/>
      <c r="F164" s="222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6"/>
      <c r="R164" s="122"/>
      <c r="S164" s="95"/>
      <c r="T164" s="97"/>
      <c r="U164" s="97"/>
      <c r="V164" s="118"/>
      <c r="W164" s="98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U164" s="45"/>
    </row>
    <row r="165" spans="1:47" ht="12" customHeight="1">
      <c r="A165" s="87"/>
      <c r="B165" s="93"/>
      <c r="C165" s="89"/>
      <c r="D165" s="89"/>
      <c r="E165" s="112"/>
      <c r="F165" s="222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5"/>
      <c r="R165" s="122"/>
      <c r="S165" s="97"/>
      <c r="T165" s="97"/>
      <c r="U165" s="97"/>
      <c r="V165" s="118"/>
      <c r="W165" s="118"/>
      <c r="X165" s="118"/>
      <c r="Y165" s="11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U165" s="45"/>
    </row>
    <row r="166" spans="1:47" ht="12" customHeight="1">
      <c r="A166" s="87"/>
      <c r="B166" s="93"/>
      <c r="C166" s="89"/>
      <c r="D166" s="89"/>
      <c r="E166" s="112"/>
      <c r="F166" s="222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122"/>
      <c r="T166" s="97"/>
      <c r="U166" s="97"/>
      <c r="V166" s="118"/>
      <c r="W166" s="124"/>
      <c r="X166" s="98"/>
      <c r="Y166" s="9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U166" s="45"/>
    </row>
    <row r="167" spans="1:47" ht="12" customHeight="1">
      <c r="A167" s="87"/>
      <c r="B167" s="93"/>
      <c r="C167" s="89"/>
      <c r="D167" s="89"/>
      <c r="E167" s="112"/>
      <c r="F167" s="222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1"/>
      <c r="T167" s="97"/>
      <c r="U167" s="97"/>
      <c r="V167" s="118"/>
      <c r="W167" s="118"/>
      <c r="X167" s="11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U167" s="45"/>
    </row>
    <row r="168" spans="1:47" ht="12" customHeight="1">
      <c r="A168" s="89"/>
      <c r="B168" s="93"/>
      <c r="C168" s="89"/>
      <c r="D168" s="89"/>
      <c r="E168" s="112"/>
      <c r="F168" s="222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U168" s="45"/>
    </row>
    <row r="169" spans="1:47" ht="12" customHeight="1">
      <c r="A169" s="87"/>
      <c r="B169" s="93"/>
      <c r="C169" s="89"/>
      <c r="D169" s="89"/>
      <c r="E169" s="112"/>
      <c r="F169" s="222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97"/>
      <c r="T169" s="97"/>
      <c r="U169" s="97"/>
      <c r="V169" s="118"/>
      <c r="W169" s="98"/>
      <c r="X169" s="98"/>
      <c r="Y169" s="98"/>
      <c r="Z169" s="89"/>
      <c r="AA169" s="97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U169" s="45"/>
    </row>
    <row r="170" spans="1:47" ht="12" customHeight="1">
      <c r="A170" s="87"/>
      <c r="B170" s="93"/>
      <c r="C170" s="89"/>
      <c r="D170" s="89"/>
      <c r="E170" s="112"/>
      <c r="F170" s="222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5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U170" s="45"/>
    </row>
    <row r="171" spans="1:47" ht="12" customHeight="1">
      <c r="A171" s="87"/>
      <c r="B171" s="93"/>
      <c r="C171" s="89"/>
      <c r="D171" s="89"/>
      <c r="E171" s="112"/>
      <c r="F171" s="222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U171" s="45"/>
    </row>
    <row r="172" spans="1:47" ht="12" customHeight="1">
      <c r="A172" s="87"/>
      <c r="B172" s="93"/>
      <c r="C172" s="89"/>
      <c r="D172" s="89"/>
      <c r="E172" s="112"/>
      <c r="F172" s="222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U172" s="45"/>
    </row>
    <row r="173" spans="1:47" ht="12" customHeight="1">
      <c r="A173" s="87"/>
      <c r="B173" s="93"/>
      <c r="C173" s="89"/>
      <c r="D173" s="89"/>
      <c r="E173" s="112"/>
      <c r="F173" s="222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U173" s="45"/>
    </row>
    <row r="174" spans="1:47" ht="12" customHeight="1">
      <c r="A174" s="89"/>
      <c r="B174" s="93"/>
      <c r="C174" s="89"/>
      <c r="D174" s="89"/>
      <c r="E174" s="112"/>
      <c r="F174" s="222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6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U174" s="45"/>
    </row>
    <row r="175" spans="1:47" ht="12" customHeight="1">
      <c r="A175" s="89"/>
      <c r="B175" s="93"/>
      <c r="C175" s="89"/>
      <c r="D175" s="89"/>
      <c r="E175" s="112"/>
      <c r="F175" s="222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U175" s="45"/>
    </row>
    <row r="176" spans="1:47" ht="12" customHeight="1">
      <c r="A176" s="89"/>
      <c r="B176" s="93"/>
      <c r="C176" s="89"/>
      <c r="D176" s="89"/>
      <c r="E176" s="112"/>
      <c r="F176" s="222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U176" s="45"/>
    </row>
    <row r="177" spans="1:47" ht="12" customHeight="1">
      <c r="A177" s="87"/>
      <c r="B177" s="93"/>
      <c r="C177" s="89"/>
      <c r="D177" s="89"/>
      <c r="E177" s="112"/>
      <c r="F177" s="222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5"/>
      <c r="R177" s="122"/>
      <c r="S177" s="97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U177" s="45"/>
    </row>
    <row r="178" spans="1:47" ht="12" customHeight="1">
      <c r="A178" s="87"/>
      <c r="B178" s="93"/>
      <c r="C178" s="89"/>
      <c r="D178" s="89"/>
      <c r="E178" s="112"/>
      <c r="F178" s="222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U178" s="45"/>
    </row>
    <row r="179" spans="1:47" ht="12" customHeight="1">
      <c r="A179" s="87"/>
      <c r="B179" s="93"/>
      <c r="C179" s="89"/>
      <c r="D179" s="89"/>
      <c r="E179" s="112"/>
      <c r="F179" s="222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U179" s="45"/>
    </row>
    <row r="180" spans="1:47" ht="12" customHeight="1">
      <c r="A180" s="87"/>
      <c r="B180" s="93"/>
      <c r="C180" s="89"/>
      <c r="D180" s="89"/>
      <c r="E180" s="112"/>
      <c r="F180" s="222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U180" s="45"/>
    </row>
    <row r="181" spans="1:47" ht="12" customHeight="1">
      <c r="A181" s="87"/>
      <c r="B181" s="93"/>
      <c r="C181" s="89"/>
      <c r="D181" s="89"/>
      <c r="E181" s="112"/>
      <c r="F181" s="222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U181" s="45"/>
    </row>
    <row r="182" spans="1:47" ht="12" customHeight="1">
      <c r="A182" s="89"/>
      <c r="B182" s="93"/>
      <c r="C182" s="89"/>
      <c r="D182" s="89"/>
      <c r="E182" s="112"/>
      <c r="F182" s="222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5"/>
      <c r="T182" s="97"/>
      <c r="U182" s="97"/>
      <c r="V182" s="118"/>
      <c r="W182" s="118"/>
      <c r="X182" s="98"/>
      <c r="Y182" s="11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U182" s="45"/>
    </row>
    <row r="183" spans="1:47" ht="12" customHeight="1">
      <c r="A183" s="89"/>
      <c r="B183" s="93"/>
      <c r="C183" s="89"/>
      <c r="D183" s="89"/>
      <c r="E183" s="112"/>
      <c r="F183" s="222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U183" s="45"/>
    </row>
    <row r="184" spans="1:47" ht="12" customHeight="1">
      <c r="A184" s="89"/>
      <c r="B184" s="93"/>
      <c r="C184" s="89"/>
      <c r="D184" s="89"/>
      <c r="E184" s="112"/>
      <c r="F184" s="222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1"/>
      <c r="S184" s="95"/>
      <c r="T184" s="97"/>
      <c r="U184" s="97"/>
      <c r="V184" s="118"/>
      <c r="W184" s="118"/>
      <c r="X184" s="121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U184" s="45"/>
    </row>
    <row r="185" spans="1:47" ht="12" customHeight="1">
      <c r="A185" s="89"/>
      <c r="B185" s="93"/>
      <c r="C185" s="89"/>
      <c r="D185" s="89"/>
      <c r="E185" s="112"/>
      <c r="F185" s="222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2"/>
      <c r="S185" s="95"/>
      <c r="T185" s="97"/>
      <c r="U185" s="97"/>
      <c r="V185" s="118"/>
      <c r="W185" s="118"/>
      <c r="X185" s="98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U185" s="45"/>
    </row>
    <row r="186" spans="1:47" ht="12" customHeight="1">
      <c r="A186" s="87"/>
      <c r="B186" s="93"/>
      <c r="C186" s="89"/>
      <c r="D186" s="89"/>
      <c r="E186" s="112"/>
      <c r="F186" s="222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U186" s="45"/>
    </row>
    <row r="187" spans="1:47" ht="12" customHeight="1">
      <c r="A187" s="89"/>
      <c r="B187" s="93"/>
      <c r="C187" s="89"/>
      <c r="D187" s="89"/>
      <c r="E187" s="112"/>
      <c r="F187" s="222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6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U187" s="45"/>
    </row>
    <row r="188" spans="1:47" ht="12" customHeight="1">
      <c r="A188" s="89"/>
      <c r="B188" s="93"/>
      <c r="C188" s="89"/>
      <c r="D188" s="89"/>
      <c r="E188" s="112"/>
      <c r="F188" s="222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U188" s="45"/>
    </row>
    <row r="189" spans="1:47" ht="12" customHeight="1">
      <c r="A189" s="87"/>
      <c r="B189" s="93"/>
      <c r="C189" s="89"/>
      <c r="D189" s="89"/>
      <c r="E189" s="112"/>
      <c r="F189" s="222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1"/>
      <c r="S189" s="97"/>
      <c r="T189" s="97"/>
      <c r="U189" s="97"/>
      <c r="V189" s="118"/>
      <c r="W189" s="118"/>
      <c r="X189" s="121"/>
      <c r="Y189" s="11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U189" s="45"/>
    </row>
    <row r="190" spans="1:47" ht="12" customHeight="1">
      <c r="A190" s="89"/>
      <c r="B190" s="93"/>
      <c r="C190" s="89"/>
      <c r="D190" s="89"/>
      <c r="E190" s="112"/>
      <c r="F190" s="222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6"/>
      <c r="R190" s="122"/>
      <c r="S190" s="95"/>
      <c r="T190" s="97"/>
      <c r="U190" s="97"/>
      <c r="V190" s="118"/>
      <c r="W190" s="98"/>
      <c r="X190" s="98"/>
      <c r="Y190" s="9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U190" s="45"/>
    </row>
    <row r="191" spans="1:47" ht="12" customHeight="1">
      <c r="A191" s="89"/>
      <c r="B191" s="93"/>
      <c r="C191" s="89"/>
      <c r="D191" s="89"/>
      <c r="E191" s="112"/>
      <c r="F191" s="222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U191" s="45"/>
    </row>
    <row r="192" spans="1:47" ht="12" customHeight="1">
      <c r="A192" s="89"/>
      <c r="B192" s="93"/>
      <c r="C192" s="89"/>
      <c r="D192" s="89"/>
      <c r="E192" s="112"/>
      <c r="F192" s="222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7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U192" s="45"/>
    </row>
    <row r="193" spans="1:47" ht="12" customHeight="1">
      <c r="A193" s="89"/>
      <c r="B193" s="93"/>
      <c r="C193" s="89"/>
      <c r="D193" s="89"/>
      <c r="E193" s="112"/>
      <c r="F193" s="222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121"/>
      <c r="T193" s="97"/>
      <c r="U193" s="97"/>
      <c r="V193" s="118"/>
      <c r="W193" s="118"/>
      <c r="X193" s="11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U193" s="45"/>
    </row>
    <row r="194" spans="1:47" ht="12" customHeight="1">
      <c r="A194" s="89"/>
      <c r="B194" s="93"/>
      <c r="C194" s="89"/>
      <c r="D194" s="89"/>
      <c r="E194" s="112"/>
      <c r="F194" s="222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U194" s="45"/>
    </row>
    <row r="195" spans="1:47" ht="12" customHeight="1">
      <c r="A195" s="89"/>
      <c r="B195" s="93"/>
      <c r="C195" s="89"/>
      <c r="D195" s="89"/>
      <c r="E195" s="112"/>
      <c r="F195" s="222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U195" s="45"/>
    </row>
    <row r="196" spans="1:47" ht="12" customHeight="1">
      <c r="A196" s="89"/>
      <c r="B196" s="93"/>
      <c r="C196" s="89"/>
      <c r="D196" s="89"/>
      <c r="E196" s="112"/>
      <c r="F196" s="222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U196" s="45"/>
    </row>
    <row r="197" spans="1:47" ht="12" customHeight="1">
      <c r="A197" s="89"/>
      <c r="B197" s="93"/>
      <c r="C197" s="89"/>
      <c r="D197" s="89"/>
      <c r="E197" s="112"/>
      <c r="F197" s="222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U197" s="45"/>
    </row>
    <row r="198" spans="1:47" ht="12" customHeight="1">
      <c r="A198" s="89"/>
      <c r="B198" s="93"/>
      <c r="C198" s="89"/>
      <c r="D198" s="89"/>
      <c r="E198" s="112"/>
      <c r="F198" s="222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U198" s="45"/>
    </row>
    <row r="199" spans="1:47" ht="12" customHeight="1">
      <c r="A199" s="89"/>
      <c r="B199" s="93"/>
      <c r="C199" s="89"/>
      <c r="D199" s="89"/>
      <c r="E199" s="112"/>
      <c r="F199" s="222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U199" s="45"/>
    </row>
    <row r="200" spans="1:47" ht="12" customHeight="1">
      <c r="A200" s="89"/>
      <c r="B200" s="93"/>
      <c r="C200" s="89"/>
      <c r="D200" s="89"/>
      <c r="E200" s="112"/>
      <c r="F200" s="222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U200" s="45"/>
    </row>
    <row r="201" spans="1:47" ht="12" customHeight="1">
      <c r="A201" s="89"/>
      <c r="B201" s="93"/>
      <c r="C201" s="89"/>
      <c r="D201" s="89"/>
      <c r="E201" s="112"/>
      <c r="F201" s="222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U201" s="45"/>
    </row>
    <row r="202" spans="1:47" ht="12" customHeight="1">
      <c r="A202" s="89"/>
      <c r="B202" s="93"/>
      <c r="C202" s="89"/>
      <c r="D202" s="89"/>
      <c r="E202" s="112"/>
      <c r="F202" s="222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6"/>
      <c r="R202" s="122"/>
      <c r="S202" s="95"/>
      <c r="T202" s="97"/>
      <c r="U202" s="97"/>
      <c r="V202" s="118"/>
      <c r="W202" s="98"/>
      <c r="X202" s="9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U202" s="45"/>
    </row>
    <row r="203" spans="1:47" ht="12" customHeight="1">
      <c r="A203" s="89"/>
      <c r="B203" s="93"/>
      <c r="C203" s="89"/>
      <c r="D203" s="89"/>
      <c r="E203" s="112"/>
      <c r="F203" s="222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U203" s="45"/>
    </row>
    <row r="204" spans="1:47" ht="12" customHeight="1">
      <c r="A204" s="89"/>
      <c r="B204" s="93"/>
      <c r="C204" s="89"/>
      <c r="D204" s="89"/>
      <c r="E204" s="112"/>
      <c r="F204" s="222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U204" s="45"/>
    </row>
    <row r="205" spans="1:47" ht="12" customHeight="1">
      <c r="A205" s="89"/>
      <c r="B205" s="93"/>
      <c r="C205" s="89"/>
      <c r="D205" s="89"/>
      <c r="E205" s="112"/>
      <c r="F205" s="222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U205" s="45"/>
    </row>
    <row r="206" spans="1:47" ht="12" customHeight="1">
      <c r="A206" s="89"/>
      <c r="B206" s="93"/>
      <c r="C206" s="89"/>
      <c r="D206" s="89"/>
      <c r="E206" s="112"/>
      <c r="F206" s="222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U206" s="45"/>
    </row>
    <row r="207" spans="1:47" ht="12" customHeight="1">
      <c r="A207" s="89"/>
      <c r="B207" s="93"/>
      <c r="C207" s="89"/>
      <c r="D207" s="89"/>
      <c r="E207" s="112"/>
      <c r="F207" s="222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U207" s="45"/>
    </row>
    <row r="208" spans="1:47" ht="12" customHeight="1">
      <c r="A208" s="89"/>
      <c r="B208" s="93"/>
      <c r="C208" s="89"/>
      <c r="D208" s="89"/>
      <c r="E208" s="112"/>
      <c r="F208" s="222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U208" s="45"/>
    </row>
    <row r="209" spans="1:47" ht="12" customHeight="1">
      <c r="A209" s="89"/>
      <c r="B209" s="93"/>
      <c r="C209" s="89"/>
      <c r="D209" s="89"/>
      <c r="E209" s="112"/>
      <c r="F209" s="222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U209" s="45"/>
    </row>
    <row r="210" spans="1:47" ht="12" customHeight="1">
      <c r="A210" s="89"/>
      <c r="B210" s="93"/>
      <c r="C210" s="89"/>
      <c r="D210" s="89"/>
      <c r="E210" s="112"/>
      <c r="F210" s="222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>
      <c r="A211" s="89"/>
      <c r="B211" s="93"/>
      <c r="C211" s="89"/>
      <c r="D211" s="89"/>
      <c r="E211" s="112"/>
      <c r="F211" s="222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>
      <c r="A212" s="89"/>
      <c r="B212" s="93"/>
      <c r="C212" s="89"/>
      <c r="D212" s="89"/>
      <c r="E212" s="112"/>
      <c r="F212" s="222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>
      <c r="A213" s="89"/>
      <c r="B213" s="93"/>
      <c r="C213" s="89"/>
      <c r="D213" s="89"/>
      <c r="E213" s="112"/>
      <c r="F213" s="222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>
      <c r="A214" s="89"/>
      <c r="B214" s="93"/>
      <c r="C214" s="89"/>
      <c r="D214" s="89"/>
      <c r="E214" s="112"/>
      <c r="F214" s="222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>
      <c r="A215" s="89"/>
      <c r="B215" s="93"/>
      <c r="C215" s="89"/>
      <c r="D215" s="89"/>
      <c r="E215" s="112"/>
      <c r="F215" s="222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>
      <c r="A216" s="89"/>
      <c r="B216" s="93"/>
      <c r="C216" s="89"/>
      <c r="D216" s="89"/>
      <c r="E216" s="112"/>
      <c r="F216" s="222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>
      <c r="A217" s="89"/>
      <c r="B217" s="93"/>
      <c r="C217" s="89"/>
      <c r="D217" s="89"/>
      <c r="E217" s="112"/>
      <c r="F217" s="222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>
      <c r="A218" s="89"/>
      <c r="B218" s="93"/>
      <c r="C218" s="89"/>
      <c r="D218" s="89"/>
      <c r="E218" s="112"/>
      <c r="F218" s="222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>
      <c r="A219" s="89"/>
      <c r="B219" s="93"/>
      <c r="C219" s="89"/>
      <c r="D219" s="89"/>
      <c r="E219" s="112"/>
      <c r="F219" s="222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118"/>
      <c r="X219" s="98"/>
      <c r="Y219" s="98"/>
      <c r="Z219" s="89"/>
      <c r="AA219" s="97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>
      <c r="A220" s="89"/>
      <c r="B220" s="93"/>
      <c r="C220" s="89"/>
      <c r="D220" s="89"/>
      <c r="E220" s="112"/>
      <c r="F220" s="222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118"/>
      <c r="Y220" s="98"/>
      <c r="Z220" s="89"/>
      <c r="AA220" s="122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>
      <c r="A221" s="89"/>
      <c r="B221" s="93"/>
      <c r="C221" s="89"/>
      <c r="D221" s="89"/>
      <c r="E221" s="112"/>
      <c r="F221" s="222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6"/>
      <c r="R221" s="122"/>
      <c r="S221" s="95"/>
      <c r="T221" s="97"/>
      <c r="U221" s="97"/>
      <c r="V221" s="118"/>
      <c r="W221" s="98"/>
      <c r="X221" s="9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>
      <c r="A222" s="89"/>
      <c r="B222" s="93"/>
      <c r="C222" s="89"/>
      <c r="D222" s="89"/>
      <c r="E222" s="112"/>
      <c r="F222" s="222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7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>
      <c r="A223" s="89"/>
      <c r="B223" s="93"/>
      <c r="C223" s="89"/>
      <c r="D223" s="89"/>
      <c r="E223" s="112"/>
      <c r="F223" s="222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121"/>
      <c r="T223" s="97"/>
      <c r="U223" s="97"/>
      <c r="V223" s="118"/>
      <c r="W223" s="118"/>
      <c r="X223" s="11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>
      <c r="A224" s="89"/>
      <c r="B224" s="93"/>
      <c r="C224" s="89"/>
      <c r="D224" s="89"/>
      <c r="E224" s="112"/>
      <c r="F224" s="222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>
      <c r="A225" s="89"/>
      <c r="B225" s="93"/>
      <c r="C225" s="89"/>
      <c r="D225" s="89"/>
      <c r="E225" s="112"/>
      <c r="F225" s="222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97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>
      <c r="A226" s="89"/>
      <c r="B226" s="93"/>
      <c r="C226" s="89"/>
      <c r="D226" s="89"/>
      <c r="E226" s="112"/>
      <c r="F226" s="222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>
      <c r="A227" s="89"/>
      <c r="B227" s="93"/>
      <c r="C227" s="89"/>
      <c r="D227" s="89"/>
      <c r="E227" s="112"/>
      <c r="F227" s="222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>
      <c r="A228" s="89"/>
      <c r="B228" s="93"/>
      <c r="C228" s="89"/>
      <c r="D228" s="89"/>
      <c r="E228" s="112"/>
      <c r="F228" s="222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6"/>
      <c r="R228" s="122"/>
      <c r="S228" s="95"/>
      <c r="T228" s="97"/>
      <c r="U228" s="97"/>
      <c r="V228" s="118"/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>
      <c r="A229" s="89"/>
      <c r="B229" s="93"/>
      <c r="C229" s="89"/>
      <c r="D229" s="89"/>
      <c r="E229" s="112"/>
      <c r="F229" s="222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>
      <c r="A230" s="89"/>
      <c r="B230" s="93"/>
      <c r="C230" s="89"/>
      <c r="D230" s="89"/>
      <c r="E230" s="112"/>
      <c r="F230" s="222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97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>
      <c r="A231" s="89"/>
      <c r="B231" s="93"/>
      <c r="C231" s="89"/>
      <c r="D231" s="89"/>
      <c r="E231" s="112"/>
      <c r="F231" s="222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122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>
      <c r="A232" s="89"/>
      <c r="B232" s="93"/>
      <c r="C232" s="89"/>
      <c r="D232" s="89"/>
      <c r="E232" s="112"/>
      <c r="F232" s="222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>
      <c r="A233" s="89"/>
      <c r="B233" s="93"/>
      <c r="C233" s="89"/>
      <c r="D233" s="89"/>
      <c r="E233" s="112"/>
      <c r="F233" s="222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97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>
      <c r="A234" s="89"/>
      <c r="B234" s="93"/>
      <c r="C234" s="89"/>
      <c r="D234" s="89"/>
      <c r="E234" s="112"/>
      <c r="F234" s="222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122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>
      <c r="A235" s="89"/>
      <c r="B235" s="93"/>
      <c r="C235" s="89"/>
      <c r="D235" s="89"/>
      <c r="E235" s="112"/>
      <c r="F235" s="222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>
      <c r="A236" s="89"/>
      <c r="B236" s="93"/>
      <c r="C236" s="89"/>
      <c r="D236" s="89"/>
      <c r="E236" s="112"/>
      <c r="F236" s="222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>
      <c r="A237" s="89"/>
      <c r="B237" s="93"/>
      <c r="C237" s="89"/>
      <c r="D237" s="89"/>
      <c r="E237" s="112"/>
      <c r="F237" s="222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97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>
      <c r="A238" s="89"/>
      <c r="B238" s="93"/>
      <c r="C238" s="89"/>
      <c r="D238" s="89"/>
      <c r="E238" s="112"/>
      <c r="F238" s="222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>
      <c r="A239" s="89"/>
      <c r="B239" s="93"/>
      <c r="C239" s="89"/>
      <c r="D239" s="89"/>
      <c r="E239" s="112"/>
      <c r="F239" s="222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>
      <c r="A240" s="89"/>
      <c r="B240" s="93"/>
      <c r="C240" s="89"/>
      <c r="D240" s="89"/>
      <c r="E240" s="112"/>
      <c r="F240" s="222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>
      <c r="A241" s="89"/>
      <c r="B241" s="93"/>
      <c r="C241" s="89"/>
      <c r="D241" s="89"/>
      <c r="E241" s="112"/>
      <c r="F241" s="222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2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2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2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6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2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2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7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2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122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2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5"/>
      <c r="T248" s="97"/>
      <c r="U248" s="97"/>
      <c r="V248" s="118"/>
      <c r="W248" s="118"/>
      <c r="X248" s="118"/>
      <c r="Y248" s="11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2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9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2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118"/>
      <c r="Y250" s="11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2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121"/>
      <c r="T251" s="97"/>
      <c r="U251" s="97"/>
      <c r="V251" s="118"/>
      <c r="W251" s="118"/>
      <c r="X251" s="118"/>
      <c r="Y251" s="9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2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2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2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2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2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2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2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2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2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2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2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11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2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2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2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2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121"/>
      <c r="Y266" s="118"/>
      <c r="Z266" s="89"/>
      <c r="AA266" s="97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2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2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98"/>
      <c r="Y268" s="118"/>
      <c r="Z268" s="89"/>
      <c r="AA268" s="122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2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2"/>
      <c r="S269" s="95"/>
      <c r="T269" s="97"/>
      <c r="U269" s="97"/>
      <c r="V269" s="118"/>
      <c r="W269" s="118"/>
      <c r="X269" s="118"/>
      <c r="Y269" s="118"/>
      <c r="Z269" s="89"/>
      <c r="AA269" s="97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2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11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2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2"/>
      <c r="S271" s="95"/>
      <c r="T271" s="97"/>
      <c r="U271" s="97"/>
      <c r="V271" s="118"/>
      <c r="W271" s="118"/>
      <c r="X271" s="118"/>
      <c r="Y271" s="118"/>
      <c r="Z271" s="89"/>
      <c r="AA271" s="97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2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11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2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2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2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118"/>
      <c r="X275" s="11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2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97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2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2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1"/>
      <c r="S278" s="95"/>
      <c r="T278" s="97"/>
      <c r="U278" s="97"/>
      <c r="V278" s="118"/>
      <c r="W278" s="118"/>
      <c r="X278" s="98"/>
      <c r="Y278" s="118"/>
      <c r="Z278" s="89"/>
      <c r="AA278" s="122"/>
      <c r="AB278" s="89"/>
      <c r="AC278" s="120"/>
      <c r="AD278" s="89"/>
      <c r="AE278" s="89"/>
      <c r="AF278" s="119"/>
      <c r="AG278" s="119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2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2"/>
      <c r="S279" s="95"/>
      <c r="T279" s="97"/>
      <c r="U279" s="97"/>
      <c r="V279" s="118"/>
      <c r="W279" s="98"/>
      <c r="X279" s="98"/>
      <c r="Y279" s="118"/>
      <c r="Z279" s="89"/>
      <c r="AA279" s="97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2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1"/>
      <c r="S280" s="95"/>
      <c r="T280" s="97"/>
      <c r="U280" s="97"/>
      <c r="V280" s="118"/>
      <c r="W280" s="118"/>
      <c r="X280" s="98"/>
      <c r="Y280" s="118"/>
      <c r="Z280" s="89"/>
      <c r="AA280" s="122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2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2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2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2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118"/>
      <c r="Z284" s="89"/>
      <c r="AA284" s="97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2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2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2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6"/>
      <c r="R287" s="122"/>
      <c r="S287" s="97"/>
      <c r="T287" s="97"/>
      <c r="U287" s="97"/>
      <c r="V287" s="118"/>
      <c r="W287" s="118"/>
      <c r="X287" s="98"/>
      <c r="Y287" s="98"/>
      <c r="Z287" s="89"/>
      <c r="AA287" s="97"/>
      <c r="AB287" s="89"/>
      <c r="AC287" s="120"/>
      <c r="AD287" s="89"/>
      <c r="AE287" s="89"/>
      <c r="AF287" s="117"/>
      <c r="AG287" s="117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2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2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2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2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2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2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118"/>
      <c r="Z293" s="89"/>
      <c r="AA293" s="122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2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2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2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2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2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2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2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2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2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2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2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2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2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2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2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2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2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2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2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1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2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2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2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2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2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2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1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2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2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2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2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2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1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2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2"/>
      <c r="S322" s="122"/>
      <c r="T322" s="97"/>
      <c r="U322" s="97"/>
      <c r="V322" s="118"/>
      <c r="W322" s="98"/>
      <c r="X322" s="98"/>
      <c r="Y322" s="118"/>
      <c r="Z322" s="89"/>
      <c r="AA322" s="122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2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22"/>
      <c r="S323" s="97"/>
      <c r="T323" s="97"/>
      <c r="U323" s="97"/>
      <c r="V323" s="118"/>
      <c r="W323" s="118"/>
      <c r="X323" s="98"/>
      <c r="Y323" s="118"/>
      <c r="Z323" s="89"/>
      <c r="AA323" s="97"/>
      <c r="AB323" s="89"/>
      <c r="AC323" s="120"/>
      <c r="AD323" s="89"/>
      <c r="AE323" s="89"/>
      <c r="AF323" s="117"/>
      <c r="AG323" s="117"/>
      <c r="AH323" s="117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2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15"/>
      <c r="S324" s="116"/>
      <c r="T324" s="97"/>
      <c r="U324" s="97"/>
      <c r="V324" s="98"/>
      <c r="W324" s="118"/>
      <c r="X324" s="98"/>
      <c r="Y324" s="98"/>
      <c r="Z324" s="89"/>
      <c r="AA324" s="97"/>
      <c r="AB324" s="89"/>
      <c r="AC324" s="120"/>
      <c r="AD324" s="89"/>
      <c r="AE324" s="89"/>
      <c r="AF324" s="117"/>
      <c r="AG324" s="119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2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2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21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2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2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6"/>
      <c r="R328" s="115"/>
      <c r="S328" s="116"/>
      <c r="T328" s="97"/>
      <c r="U328" s="97"/>
      <c r="V328" s="98"/>
      <c r="W328" s="118"/>
      <c r="X328" s="98"/>
      <c r="Y328" s="98"/>
      <c r="Z328" s="89"/>
      <c r="AA328" s="97"/>
      <c r="AB328" s="89"/>
      <c r="AC328" s="120"/>
      <c r="AD328" s="89"/>
      <c r="AE328" s="89"/>
      <c r="AF328" s="117"/>
      <c r="AG328" s="117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2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2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2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2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2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2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2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2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2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2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2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2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2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98"/>
      <c r="W341" s="11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2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119"/>
      <c r="AG342" s="119"/>
      <c r="AH342" s="119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2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2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2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98"/>
      <c r="W345" s="11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2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21"/>
      <c r="S346" s="116"/>
      <c r="T346" s="97"/>
      <c r="U346" s="97"/>
      <c r="V346" s="98"/>
      <c r="W346" s="98"/>
      <c r="X346" s="98"/>
      <c r="Y346" s="98"/>
      <c r="Z346" s="89"/>
      <c r="AA346" s="97"/>
      <c r="AB346" s="89"/>
      <c r="AC346" s="120"/>
      <c r="AD346" s="89"/>
      <c r="AE346" s="89"/>
      <c r="AF346" s="119"/>
      <c r="AG346" s="119"/>
      <c r="AH346" s="119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2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98"/>
      <c r="W347" s="11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2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21"/>
      <c r="S348" s="116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119"/>
      <c r="AG348" s="119"/>
      <c r="AH348" s="119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2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2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2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21"/>
      <c r="S351" s="116"/>
      <c r="T351" s="97"/>
      <c r="U351" s="97"/>
      <c r="V351" s="98"/>
      <c r="W351" s="11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9"/>
      <c r="AH351" s="117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2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2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2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2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2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2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2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2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2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2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7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2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2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2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21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2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7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2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2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2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U368" s="45"/>
    </row>
    <row r="369" spans="1:47" ht="12" customHeight="1">
      <c r="A369" s="89"/>
      <c r="B369" s="199"/>
      <c r="C369" s="89"/>
      <c r="D369" s="89"/>
      <c r="E369" s="112"/>
      <c r="F369" s="222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9"/>
      <c r="AH369" s="117"/>
      <c r="AI369" s="100"/>
      <c r="AJ369" s="100"/>
      <c r="AK369" s="100"/>
      <c r="AU369" s="45"/>
    </row>
    <row r="370" spans="1:47" ht="12" customHeight="1">
      <c r="A370" s="89"/>
      <c r="B370" s="199"/>
      <c r="C370" s="89"/>
      <c r="D370" s="89"/>
      <c r="E370" s="112"/>
      <c r="F370" s="222"/>
      <c r="G370" s="91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9"/>
      <c r="C371" s="89"/>
      <c r="D371" s="89"/>
      <c r="E371" s="112"/>
      <c r="F371" s="222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9"/>
      <c r="C372" s="89"/>
      <c r="D372" s="89"/>
      <c r="E372" s="112"/>
      <c r="F372" s="222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9"/>
      <c r="C373" s="89"/>
      <c r="D373" s="89"/>
      <c r="E373" s="112"/>
      <c r="F373" s="222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9"/>
      <c r="C374" s="89"/>
      <c r="D374" s="89"/>
      <c r="E374" s="112"/>
      <c r="F374" s="222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9"/>
      <c r="C375" s="89"/>
      <c r="D375" s="89"/>
      <c r="E375" s="112"/>
      <c r="F375" s="222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9"/>
      <c r="C376" s="89"/>
      <c r="D376" s="89"/>
      <c r="E376" s="112"/>
      <c r="F376" s="222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9"/>
      <c r="C377" s="89"/>
      <c r="D377" s="89"/>
      <c r="E377" s="112"/>
      <c r="F377" s="222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9"/>
      <c r="C378" s="89"/>
      <c r="D378" s="89"/>
      <c r="E378" s="112"/>
      <c r="F378" s="222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9"/>
      <c r="C379" s="89"/>
      <c r="D379" s="89"/>
      <c r="E379" s="112"/>
      <c r="F379" s="222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U379" s="45"/>
    </row>
    <row r="380" spans="1:47" ht="12" customHeight="1">
      <c r="A380" s="89"/>
      <c r="B380" s="199"/>
      <c r="C380" s="89"/>
      <c r="D380" s="89"/>
      <c r="E380" s="112"/>
      <c r="F380" s="222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9"/>
      <c r="C381" s="89"/>
      <c r="D381" s="89"/>
      <c r="E381" s="112"/>
      <c r="F381" s="222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9"/>
      <c r="C382" s="89"/>
      <c r="D382" s="89"/>
      <c r="E382" s="112"/>
      <c r="F382" s="222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9"/>
      <c r="C383" s="89"/>
      <c r="D383" s="89"/>
      <c r="E383" s="112"/>
      <c r="F383" s="222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9"/>
      <c r="C384" s="89"/>
      <c r="D384" s="89"/>
      <c r="E384" s="112"/>
      <c r="F384" s="222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9"/>
      <c r="C385" s="89"/>
      <c r="D385" s="89"/>
      <c r="E385" s="112"/>
      <c r="F385" s="222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9"/>
      <c r="C386" s="89"/>
      <c r="D386" s="89"/>
      <c r="E386" s="112"/>
      <c r="F386" s="222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9"/>
      <c r="C387" s="89"/>
      <c r="D387" s="89"/>
      <c r="E387" s="112"/>
      <c r="F387" s="222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9"/>
      <c r="C388" s="89"/>
      <c r="D388" s="89"/>
      <c r="E388" s="112"/>
      <c r="F388" s="222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9"/>
      <c r="C389" s="89"/>
      <c r="D389" s="89"/>
      <c r="E389" s="112"/>
      <c r="F389" s="222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9"/>
      <c r="C390" s="89"/>
      <c r="D390" s="89"/>
      <c r="E390" s="112"/>
      <c r="F390" s="222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9"/>
      <c r="C391" s="89"/>
      <c r="D391" s="89"/>
      <c r="E391" s="112"/>
      <c r="F391" s="222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9"/>
      <c r="C392" s="89"/>
      <c r="D392" s="89"/>
      <c r="E392" s="112"/>
      <c r="F392" s="222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9"/>
      <c r="C393" s="89"/>
      <c r="D393" s="89"/>
      <c r="E393" s="112"/>
      <c r="F393" s="222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9"/>
      <c r="C394" s="89"/>
      <c r="D394" s="89"/>
      <c r="E394" s="112"/>
      <c r="F394" s="222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126"/>
      <c r="B395" s="88"/>
      <c r="C395" s="89"/>
      <c r="D395" s="89"/>
      <c r="E395" s="112"/>
      <c r="F395" s="222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>
      <c r="A396" s="126"/>
      <c r="B396" s="88"/>
      <c r="C396" s="89"/>
      <c r="D396" s="89"/>
      <c r="E396" s="112"/>
      <c r="F396" s="222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>
      <c r="A397" s="126"/>
      <c r="B397" s="88"/>
      <c r="C397" s="89"/>
      <c r="D397" s="89"/>
      <c r="E397" s="112"/>
      <c r="F397" s="222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89"/>
      <c r="X397" s="89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>
      <c r="A398" s="126"/>
      <c r="B398" s="88"/>
      <c r="C398" s="89"/>
      <c r="D398" s="89"/>
      <c r="E398" s="112"/>
      <c r="F398" s="222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128"/>
      <c r="AG398" s="99"/>
      <c r="AH398" s="99"/>
      <c r="AI398" s="100"/>
      <c r="AJ398" s="100"/>
      <c r="AK398" s="129"/>
      <c r="AU398" s="45"/>
    </row>
    <row r="399" spans="1:47" ht="12" customHeight="1">
      <c r="A399" s="126"/>
      <c r="B399" s="88"/>
      <c r="C399" s="89"/>
      <c r="D399" s="89"/>
      <c r="E399" s="112"/>
      <c r="F399" s="222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>
      <c r="A400" s="126"/>
      <c r="B400" s="88"/>
      <c r="C400" s="89"/>
      <c r="D400" s="89"/>
      <c r="E400" s="112"/>
      <c r="F400" s="222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>
      <c r="A401" s="126"/>
      <c r="B401" s="88"/>
      <c r="C401" s="89"/>
      <c r="D401" s="89"/>
      <c r="E401" s="112"/>
      <c r="F401" s="222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89"/>
      <c r="X401" s="89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>
      <c r="A402" s="126"/>
      <c r="B402" s="88"/>
      <c r="C402" s="89"/>
      <c r="D402" s="89"/>
      <c r="E402" s="112"/>
      <c r="F402" s="222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>
      <c r="A403" s="126"/>
      <c r="B403" s="88"/>
      <c r="C403" s="89"/>
      <c r="D403" s="89"/>
      <c r="E403" s="112"/>
      <c r="F403" s="222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>
      <c r="A404" s="126"/>
      <c r="B404" s="88"/>
      <c r="C404" s="89"/>
      <c r="D404" s="89"/>
      <c r="E404" s="112"/>
      <c r="F404" s="222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>
      <c r="A405" s="126"/>
      <c r="B405" s="88"/>
      <c r="C405" s="89"/>
      <c r="D405" s="89"/>
      <c r="E405" s="112"/>
      <c r="F405" s="222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>
      <c r="A406" s="126"/>
      <c r="B406" s="88"/>
      <c r="C406" s="89"/>
      <c r="D406" s="89"/>
      <c r="E406" s="112"/>
      <c r="F406" s="222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88"/>
      <c r="X406" s="93"/>
      <c r="Y406" s="9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>
      <c r="A407" s="126"/>
      <c r="B407" s="88"/>
      <c r="C407" s="89"/>
      <c r="D407" s="89"/>
      <c r="E407" s="112"/>
      <c r="F407" s="222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>
      <c r="A408" s="126"/>
      <c r="B408" s="88"/>
      <c r="C408" s="89"/>
      <c r="D408" s="89"/>
      <c r="E408" s="112"/>
      <c r="F408" s="222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>
      <c r="A409" s="126"/>
      <c r="B409" s="88"/>
      <c r="C409" s="89"/>
      <c r="D409" s="89"/>
      <c r="E409" s="112"/>
      <c r="F409" s="222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88"/>
      <c r="W409" s="125"/>
      <c r="X409" s="93"/>
      <c r="Y409" s="9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>
      <c r="A410" s="126"/>
      <c r="B410" s="88"/>
      <c r="C410" s="89"/>
      <c r="D410" s="89"/>
      <c r="E410" s="112"/>
      <c r="F410" s="222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>
      <c r="A411" s="126"/>
      <c r="B411" s="88"/>
      <c r="C411" s="89"/>
      <c r="D411" s="89"/>
      <c r="E411" s="112"/>
      <c r="F411" s="222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>
      <c r="A412" s="126"/>
      <c r="B412" s="88"/>
      <c r="C412" s="89"/>
      <c r="D412" s="89"/>
      <c r="E412" s="112"/>
      <c r="F412" s="222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>
      <c r="A413" s="126"/>
      <c r="B413" s="88"/>
      <c r="C413" s="89"/>
      <c r="D413" s="89"/>
      <c r="E413" s="112"/>
      <c r="F413" s="222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>
      <c r="A414" s="126"/>
      <c r="B414" s="88"/>
      <c r="C414" s="89"/>
      <c r="D414" s="89"/>
      <c r="E414" s="112"/>
      <c r="F414" s="222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>
      <c r="A415" s="126"/>
      <c r="B415" s="88"/>
      <c r="C415" s="89"/>
      <c r="D415" s="89"/>
      <c r="E415" s="112"/>
      <c r="F415" s="222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125"/>
      <c r="X415" s="93"/>
      <c r="Y415" s="8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>
      <c r="A416" s="126"/>
      <c r="B416" s="88"/>
      <c r="C416" s="89"/>
      <c r="D416" s="89"/>
      <c r="E416" s="112"/>
      <c r="F416" s="222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>
      <c r="A417" s="126"/>
      <c r="B417" s="88"/>
      <c r="C417" s="89"/>
      <c r="D417" s="89"/>
      <c r="E417" s="112"/>
      <c r="F417" s="222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>
      <c r="A418" s="126"/>
      <c r="B418" s="88"/>
      <c r="C418" s="89"/>
      <c r="D418" s="89"/>
      <c r="E418" s="112"/>
      <c r="F418" s="222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>
      <c r="A419" s="126"/>
      <c r="B419" s="88"/>
      <c r="C419" s="89"/>
      <c r="D419" s="89"/>
      <c r="E419" s="112"/>
      <c r="F419" s="222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>
      <c r="A420" s="126"/>
      <c r="B420" s="88"/>
      <c r="C420" s="89"/>
      <c r="D420" s="89"/>
      <c r="E420" s="112"/>
      <c r="F420" s="222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>
      <c r="A421" s="126"/>
      <c r="B421" s="88"/>
      <c r="C421" s="89"/>
      <c r="D421" s="89"/>
      <c r="E421" s="112"/>
      <c r="F421" s="222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88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>
      <c r="A422" s="126"/>
      <c r="B422" s="88"/>
      <c r="C422" s="89"/>
      <c r="D422" s="89"/>
      <c r="E422" s="112"/>
      <c r="F422" s="222"/>
      <c r="G422" s="92"/>
      <c r="H422" s="93"/>
      <c r="I422" s="92"/>
      <c r="J422" s="127"/>
      <c r="K422" s="114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114"/>
      <c r="AF422" s="99"/>
      <c r="AG422" s="99"/>
      <c r="AH422" s="128"/>
      <c r="AI422" s="100"/>
      <c r="AJ422" s="100"/>
      <c r="AK422" s="129"/>
      <c r="AU422" s="45"/>
    </row>
    <row r="423" spans="1:47" ht="12" customHeight="1">
      <c r="A423" s="126"/>
      <c r="B423" s="88"/>
      <c r="C423" s="89"/>
      <c r="D423" s="89"/>
      <c r="E423" s="112"/>
      <c r="F423" s="222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>
      <c r="A424" s="126"/>
      <c r="B424" s="88"/>
      <c r="C424" s="89"/>
      <c r="D424" s="89"/>
      <c r="E424" s="112"/>
      <c r="F424" s="222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>
      <c r="A425" s="126"/>
      <c r="B425" s="88"/>
      <c r="C425" s="89"/>
      <c r="D425" s="89"/>
      <c r="E425" s="112"/>
      <c r="F425" s="222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93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>
      <c r="A426" s="126"/>
      <c r="B426" s="88"/>
      <c r="C426" s="89"/>
      <c r="D426" s="89"/>
      <c r="E426" s="112"/>
      <c r="F426" s="222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>
      <c r="A427" s="126"/>
      <c r="B427" s="93"/>
      <c r="C427" s="89"/>
      <c r="D427" s="89"/>
      <c r="E427" s="112"/>
      <c r="F427" s="222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>
      <c r="A428" s="126"/>
      <c r="B428" s="93"/>
      <c r="C428" s="89"/>
      <c r="D428" s="89"/>
      <c r="E428" s="112"/>
      <c r="F428" s="222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>
      <c r="A429" s="126"/>
      <c r="B429" s="93"/>
      <c r="C429" s="89"/>
      <c r="D429" s="89"/>
      <c r="E429" s="112"/>
      <c r="F429" s="222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>
      <c r="A430" s="126"/>
      <c r="B430" s="93"/>
      <c r="C430" s="89"/>
      <c r="D430" s="89"/>
      <c r="E430" s="112"/>
      <c r="F430" s="222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>
      <c r="A431" s="126"/>
      <c r="B431" s="93"/>
      <c r="C431" s="89"/>
      <c r="D431" s="89"/>
      <c r="E431" s="112"/>
      <c r="F431" s="222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>
      <c r="A432" s="126"/>
      <c r="B432" s="93"/>
      <c r="C432" s="89"/>
      <c r="D432" s="89"/>
      <c r="E432" s="112"/>
      <c r="F432" s="222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>
      <c r="A433" s="126"/>
      <c r="B433" s="93"/>
      <c r="C433" s="89"/>
      <c r="D433" s="89"/>
      <c r="E433" s="112"/>
      <c r="F433" s="222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12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>
      <c r="A434" s="126"/>
      <c r="B434" s="93"/>
      <c r="C434" s="89"/>
      <c r="D434" s="89"/>
      <c r="E434" s="112"/>
      <c r="F434" s="222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>
      <c r="A435" s="126"/>
      <c r="B435" s="93"/>
      <c r="C435" s="89"/>
      <c r="D435" s="89"/>
      <c r="E435" s="112"/>
      <c r="F435" s="222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>
      <c r="A436" s="126"/>
      <c r="B436" s="93"/>
      <c r="C436" s="89"/>
      <c r="D436" s="89"/>
      <c r="E436" s="112"/>
      <c r="F436" s="222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>
      <c r="A437" s="126"/>
      <c r="B437" s="93"/>
      <c r="C437" s="89"/>
      <c r="D437" s="89"/>
      <c r="E437" s="112"/>
      <c r="F437" s="222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>
      <c r="A438" s="126"/>
      <c r="B438" s="93"/>
      <c r="C438" s="89"/>
      <c r="D438" s="89"/>
      <c r="E438" s="112"/>
      <c r="F438" s="222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12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>
      <c r="A439" s="126"/>
      <c r="B439" s="93"/>
      <c r="C439" s="89"/>
      <c r="D439" s="89"/>
      <c r="E439" s="112"/>
      <c r="F439" s="222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>
      <c r="A440" s="126"/>
      <c r="B440" s="93"/>
      <c r="C440" s="89"/>
      <c r="D440" s="89"/>
      <c r="E440" s="112"/>
      <c r="F440" s="222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>
      <c r="A441" s="126"/>
      <c r="B441" s="93"/>
      <c r="C441" s="89"/>
      <c r="D441" s="89"/>
      <c r="E441" s="112"/>
      <c r="F441" s="222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>
      <c r="A442" s="126"/>
      <c r="B442" s="93"/>
      <c r="C442" s="89"/>
      <c r="D442" s="89"/>
      <c r="E442" s="112"/>
      <c r="F442" s="222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>
      <c r="A443" s="126"/>
      <c r="B443" s="93"/>
      <c r="C443" s="89"/>
      <c r="D443" s="89"/>
      <c r="E443" s="112"/>
      <c r="F443" s="222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12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>
      <c r="A444" s="126"/>
      <c r="B444" s="93"/>
      <c r="C444" s="89"/>
      <c r="D444" s="89"/>
      <c r="E444" s="112"/>
      <c r="F444" s="222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>
      <c r="A445" s="126"/>
      <c r="B445" s="93"/>
      <c r="C445" s="89"/>
      <c r="D445" s="89"/>
      <c r="E445" s="112"/>
      <c r="F445" s="222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>
      <c r="A446" s="126"/>
      <c r="B446" s="93"/>
      <c r="C446" s="89"/>
      <c r="D446" s="89"/>
      <c r="E446" s="112"/>
      <c r="F446" s="222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>
      <c r="A447" s="126"/>
      <c r="B447" s="93"/>
      <c r="C447" s="89"/>
      <c r="D447" s="89"/>
      <c r="E447" s="112"/>
      <c r="F447" s="222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>
      <c r="A448" s="126"/>
      <c r="B448" s="93"/>
      <c r="C448" s="89"/>
      <c r="D448" s="89"/>
      <c r="E448" s="112"/>
      <c r="F448" s="222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>
      <c r="A449" s="126"/>
      <c r="B449" s="93"/>
      <c r="C449" s="89"/>
      <c r="D449" s="89"/>
      <c r="E449" s="112"/>
      <c r="F449" s="222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>
      <c r="A450" s="126"/>
      <c r="B450" s="93"/>
      <c r="C450" s="89"/>
      <c r="D450" s="89"/>
      <c r="E450" s="112"/>
      <c r="F450" s="222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>
      <c r="A451" s="126"/>
      <c r="B451" s="93"/>
      <c r="C451" s="89"/>
      <c r="D451" s="89"/>
      <c r="E451" s="112"/>
      <c r="F451" s="222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>
      <c r="A452" s="126"/>
      <c r="B452" s="93"/>
      <c r="C452" s="89"/>
      <c r="D452" s="89"/>
      <c r="E452" s="112"/>
      <c r="F452" s="222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>
      <c r="A453" s="126"/>
      <c r="B453" s="93"/>
      <c r="C453" s="89"/>
      <c r="D453" s="89"/>
      <c r="E453" s="112"/>
      <c r="F453" s="222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>
      <c r="A454" s="126"/>
      <c r="B454" s="93"/>
      <c r="C454" s="89"/>
      <c r="D454" s="89"/>
      <c r="E454" s="112"/>
      <c r="F454" s="222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>
      <c r="A455" s="126"/>
      <c r="B455" s="93"/>
      <c r="C455" s="89"/>
      <c r="D455" s="89"/>
      <c r="E455" s="112"/>
      <c r="F455" s="222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>
      <c r="A456" s="126"/>
      <c r="B456" s="93"/>
      <c r="C456" s="89"/>
      <c r="D456" s="89"/>
      <c r="E456" s="112"/>
      <c r="F456" s="222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>
      <c r="A457" s="126"/>
      <c r="B457" s="93"/>
      <c r="C457" s="89"/>
      <c r="D457" s="89"/>
      <c r="E457" s="112"/>
      <c r="F457" s="222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12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>
      <c r="A458" s="126"/>
      <c r="B458" s="93"/>
      <c r="C458" s="89"/>
      <c r="D458" s="89"/>
      <c r="E458" s="112"/>
      <c r="F458" s="222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>
      <c r="A459" s="126"/>
      <c r="B459" s="93"/>
      <c r="C459" s="89"/>
      <c r="D459" s="89"/>
      <c r="E459" s="112"/>
      <c r="F459" s="222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>
      <c r="A460" s="126"/>
      <c r="B460" s="93"/>
      <c r="C460" s="89"/>
      <c r="D460" s="89"/>
      <c r="E460" s="112"/>
      <c r="F460" s="222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95"/>
      <c r="AG460" s="99"/>
      <c r="AH460" s="95"/>
      <c r="AI460" s="100"/>
      <c r="AJ460" s="100"/>
      <c r="AK460" s="129"/>
      <c r="AU460" s="45"/>
    </row>
    <row r="461" spans="1:47" ht="12" customHeight="1">
      <c r="A461" s="126"/>
      <c r="B461" s="93"/>
      <c r="C461" s="89"/>
      <c r="D461" s="89"/>
      <c r="E461" s="112"/>
      <c r="F461" s="222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>
      <c r="A462" s="126"/>
      <c r="B462" s="93"/>
      <c r="C462" s="89"/>
      <c r="D462" s="89"/>
      <c r="E462" s="112"/>
      <c r="F462" s="222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>
      <c r="A463" s="126"/>
      <c r="B463" s="93"/>
      <c r="C463" s="89"/>
      <c r="D463" s="89"/>
      <c r="E463" s="112"/>
      <c r="F463" s="222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>
      <c r="A464" s="126"/>
      <c r="B464" s="93"/>
      <c r="C464" s="89"/>
      <c r="D464" s="89"/>
      <c r="E464" s="112"/>
      <c r="F464" s="222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>
      <c r="A465" s="126"/>
      <c r="B465" s="93"/>
      <c r="C465" s="89"/>
      <c r="D465" s="89"/>
      <c r="E465" s="112"/>
      <c r="F465" s="222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95"/>
      <c r="AG465" s="95"/>
      <c r="AH465" s="128"/>
      <c r="AI465" s="100"/>
      <c r="AJ465" s="100"/>
      <c r="AK465" s="129"/>
      <c r="AU465" s="45"/>
    </row>
    <row r="466" spans="1:47" ht="12" customHeight="1">
      <c r="A466" s="126"/>
      <c r="B466" s="93"/>
      <c r="C466" s="89"/>
      <c r="D466" s="89"/>
      <c r="E466" s="112"/>
      <c r="F466" s="222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>
      <c r="A467" s="126"/>
      <c r="B467" s="93"/>
      <c r="C467" s="89"/>
      <c r="D467" s="89"/>
      <c r="E467" s="112"/>
      <c r="F467" s="222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>
      <c r="A468" s="126"/>
      <c r="B468" s="93"/>
      <c r="C468" s="89"/>
      <c r="D468" s="89"/>
      <c r="E468" s="112"/>
      <c r="F468" s="222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5"/>
      <c r="AH468" s="128"/>
      <c r="AI468" s="100"/>
      <c r="AJ468" s="100"/>
      <c r="AK468" s="129"/>
      <c r="AU468" s="45"/>
    </row>
    <row r="469" spans="1:47" ht="12" customHeight="1">
      <c r="A469" s="126"/>
      <c r="B469" s="93"/>
      <c r="C469" s="89"/>
      <c r="D469" s="89"/>
      <c r="E469" s="112"/>
      <c r="F469" s="222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>
      <c r="A470" s="126"/>
      <c r="B470" s="93"/>
      <c r="C470" s="89"/>
      <c r="D470" s="89"/>
      <c r="E470" s="112"/>
      <c r="F470" s="222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>
      <c r="A471" s="126"/>
      <c r="B471" s="93"/>
      <c r="C471" s="89"/>
      <c r="D471" s="89"/>
      <c r="E471" s="112"/>
      <c r="F471" s="222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>
      <c r="A472" s="126"/>
      <c r="B472" s="93"/>
      <c r="C472" s="89"/>
      <c r="D472" s="89"/>
      <c r="E472" s="112"/>
      <c r="F472" s="222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>
      <c r="A473" s="126"/>
      <c r="B473" s="93"/>
      <c r="C473" s="89"/>
      <c r="D473" s="89"/>
      <c r="E473" s="112"/>
      <c r="F473" s="222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93"/>
      <c r="X473" s="93"/>
      <c r="Y473" s="98"/>
      <c r="Z473" s="89"/>
      <c r="AA473" s="97"/>
      <c r="AB473" s="89"/>
      <c r="AC473" s="120"/>
      <c r="AD473" s="89"/>
      <c r="AE473" s="89"/>
      <c r="AF473" s="95"/>
      <c r="AG473" s="99"/>
      <c r="AH473" s="95"/>
      <c r="AI473" s="100"/>
      <c r="AJ473" s="100"/>
      <c r="AK473" s="129"/>
      <c r="AU473" s="45"/>
    </row>
    <row r="474" spans="1:47" ht="12" customHeight="1">
      <c r="A474" s="126"/>
      <c r="B474" s="93"/>
      <c r="C474" s="89"/>
      <c r="D474" s="89"/>
      <c r="E474" s="112"/>
      <c r="F474" s="222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>
      <c r="A475" s="126"/>
      <c r="B475" s="93"/>
      <c r="C475" s="89"/>
      <c r="D475" s="89"/>
      <c r="E475" s="112"/>
      <c r="F475" s="222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93"/>
      <c r="X475" s="93"/>
      <c r="Y475" s="98"/>
      <c r="Z475" s="89"/>
      <c r="AA475" s="97"/>
      <c r="AB475" s="89"/>
      <c r="AC475" s="120"/>
      <c r="AD475" s="89"/>
      <c r="AE475" s="89"/>
      <c r="AF475" s="95"/>
      <c r="AG475" s="99"/>
      <c r="AH475" s="95"/>
      <c r="AI475" s="100"/>
      <c r="AJ475" s="100"/>
      <c r="AK475" s="129"/>
      <c r="AU475" s="45"/>
    </row>
    <row r="476" spans="1:47" ht="12" customHeight="1">
      <c r="A476" s="126"/>
      <c r="B476" s="93"/>
      <c r="C476" s="89"/>
      <c r="D476" s="89"/>
      <c r="E476" s="112"/>
      <c r="F476" s="222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>
      <c r="A477" s="126"/>
      <c r="B477" s="93"/>
      <c r="C477" s="89"/>
      <c r="D477" s="89"/>
      <c r="E477" s="112"/>
      <c r="F477" s="222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93"/>
      <c r="X477" s="93"/>
      <c r="Y477" s="98"/>
      <c r="Z477" s="89"/>
      <c r="AA477" s="97"/>
      <c r="AB477" s="89"/>
      <c r="AC477" s="120"/>
      <c r="AD477" s="89"/>
      <c r="AE477" s="89"/>
      <c r="AF477" s="95"/>
      <c r="AG477" s="99"/>
      <c r="AH477" s="95"/>
      <c r="AI477" s="100"/>
      <c r="AJ477" s="100"/>
      <c r="AK477" s="129"/>
      <c r="AU477" s="45"/>
    </row>
    <row r="478" spans="1:47" ht="12" customHeight="1">
      <c r="A478" s="126"/>
      <c r="B478" s="93"/>
      <c r="C478" s="89"/>
      <c r="D478" s="89"/>
      <c r="E478" s="112"/>
      <c r="F478" s="222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>
      <c r="A479" s="126"/>
      <c r="B479" s="93"/>
      <c r="C479" s="89"/>
      <c r="D479" s="89"/>
      <c r="E479" s="112"/>
      <c r="F479" s="222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93"/>
      <c r="X479" s="93"/>
      <c r="Y479" s="98"/>
      <c r="Z479" s="89"/>
      <c r="AA479" s="97"/>
      <c r="AB479" s="89"/>
      <c r="AC479" s="120"/>
      <c r="AD479" s="89"/>
      <c r="AE479" s="89"/>
      <c r="AF479" s="95"/>
      <c r="AG479" s="99"/>
      <c r="AH479" s="95"/>
      <c r="AI479" s="100"/>
      <c r="AJ479" s="100"/>
      <c r="AK479" s="129"/>
      <c r="AU479" s="45"/>
    </row>
    <row r="480" spans="1:47" ht="12" customHeight="1">
      <c r="A480" s="126"/>
      <c r="B480" s="93"/>
      <c r="C480" s="89"/>
      <c r="D480" s="89"/>
      <c r="E480" s="112"/>
      <c r="F480" s="222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>
      <c r="A481" s="130"/>
      <c r="B481" s="131"/>
      <c r="C481" s="132"/>
      <c r="D481" s="132"/>
      <c r="E481" s="133"/>
      <c r="F481" s="223"/>
      <c r="G481" s="135"/>
      <c r="H481" s="131"/>
      <c r="I481" s="135"/>
      <c r="J481" s="136"/>
      <c r="K481" s="132"/>
      <c r="L481" s="132"/>
      <c r="M481" s="132"/>
      <c r="N481" s="132"/>
      <c r="O481" s="134"/>
      <c r="P481" s="137"/>
      <c r="Q481" s="148"/>
      <c r="R481" s="138"/>
      <c r="S481" s="139"/>
      <c r="T481" s="139"/>
      <c r="U481" s="139"/>
      <c r="V481" s="131"/>
      <c r="W481" s="140"/>
      <c r="X481" s="132"/>
      <c r="Y481" s="141"/>
      <c r="Z481" s="132"/>
      <c r="AA481" s="139"/>
      <c r="AB481" s="132"/>
      <c r="AC481" s="192"/>
      <c r="AD481" s="132"/>
      <c r="AE481" s="132"/>
      <c r="AF481" s="137"/>
      <c r="AG481" s="137"/>
      <c r="AH481" s="137"/>
      <c r="AI481" s="142"/>
      <c r="AJ481" s="142"/>
      <c r="AK481" s="143"/>
      <c r="AU481" s="45"/>
    </row>
    <row r="482" spans="1:47" ht="12" customHeight="1">
      <c r="A482" s="130"/>
      <c r="B482" s="93"/>
      <c r="C482" s="132"/>
      <c r="D482" s="132"/>
      <c r="E482" s="112"/>
      <c r="F482" s="222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>
      <c r="A483" s="130"/>
      <c r="B483" s="93"/>
      <c r="C483" s="132"/>
      <c r="D483" s="132"/>
      <c r="E483" s="112"/>
      <c r="F483" s="222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>
      <c r="A484" s="130"/>
      <c r="B484" s="93"/>
      <c r="C484" s="132"/>
      <c r="D484" s="132"/>
      <c r="E484" s="112"/>
      <c r="F484" s="222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>
      <c r="A485" s="130"/>
      <c r="B485" s="93"/>
      <c r="C485" s="132"/>
      <c r="D485" s="132"/>
      <c r="E485" s="112"/>
      <c r="F485" s="222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>
      <c r="A486" s="130"/>
      <c r="B486" s="93"/>
      <c r="C486" s="132"/>
      <c r="D486" s="132"/>
      <c r="E486" s="112"/>
      <c r="F486" s="222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>
      <c r="A487" s="130"/>
      <c r="B487" s="93"/>
      <c r="C487" s="132"/>
      <c r="D487" s="132"/>
      <c r="E487" s="112"/>
      <c r="F487" s="222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>
      <c r="A488" s="130"/>
      <c r="B488" s="93"/>
      <c r="C488" s="132"/>
      <c r="D488" s="132"/>
      <c r="E488" s="112"/>
      <c r="F488" s="222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>
      <c r="A489" s="130"/>
      <c r="B489" s="93"/>
      <c r="C489" s="132"/>
      <c r="D489" s="132"/>
      <c r="E489" s="112"/>
      <c r="F489" s="222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>
      <c r="A490" s="130"/>
      <c r="B490" s="93"/>
      <c r="C490" s="132"/>
      <c r="D490" s="132"/>
      <c r="E490" s="112"/>
      <c r="F490" s="222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>
      <c r="A491" s="130"/>
      <c r="B491" s="93"/>
      <c r="C491" s="132"/>
      <c r="D491" s="132"/>
      <c r="E491" s="112"/>
      <c r="F491" s="222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>
      <c r="A492" s="130"/>
      <c r="B492" s="93"/>
      <c r="C492" s="132"/>
      <c r="D492" s="132"/>
      <c r="E492" s="112"/>
      <c r="F492" s="222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>
      <c r="A493" s="130"/>
      <c r="B493" s="93"/>
      <c r="C493" s="132"/>
      <c r="D493" s="132"/>
      <c r="E493" s="112"/>
      <c r="F493" s="222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>
      <c r="A494" s="130"/>
      <c r="B494" s="93"/>
      <c r="C494" s="132"/>
      <c r="D494" s="132"/>
      <c r="E494" s="133"/>
      <c r="F494" s="223"/>
      <c r="G494" s="135"/>
      <c r="H494" s="131"/>
      <c r="I494" s="135"/>
      <c r="J494" s="136"/>
      <c r="K494" s="132"/>
      <c r="L494" s="132"/>
      <c r="M494" s="132"/>
      <c r="N494" s="132"/>
      <c r="O494" s="134"/>
      <c r="P494" s="137"/>
      <c r="Q494" s="145"/>
      <c r="R494" s="138"/>
      <c r="S494" s="139"/>
      <c r="T494" s="97"/>
      <c r="U494" s="97"/>
      <c r="V494" s="131"/>
      <c r="W494" s="140"/>
      <c r="X494" s="132"/>
      <c r="Y494" s="141"/>
      <c r="Z494" s="132"/>
      <c r="AA494" s="139"/>
      <c r="AB494" s="132"/>
      <c r="AC494" s="192"/>
      <c r="AD494" s="132"/>
      <c r="AE494" s="132"/>
      <c r="AF494" s="137"/>
      <c r="AG494" s="137"/>
      <c r="AH494" s="137"/>
      <c r="AI494" s="142"/>
      <c r="AJ494" s="142"/>
      <c r="AK494" s="143"/>
      <c r="AU494" s="45"/>
    </row>
    <row r="495" spans="1:47" ht="12" customHeight="1">
      <c r="A495" s="87"/>
      <c r="B495" s="88"/>
      <c r="C495" s="91"/>
      <c r="D495" s="89"/>
      <c r="E495" s="112"/>
      <c r="F495" s="222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125"/>
      <c r="X495" s="89"/>
      <c r="Y495" s="98"/>
      <c r="Z495" s="89"/>
      <c r="AA495" s="97"/>
      <c r="AB495" s="91"/>
      <c r="AC495" s="120"/>
      <c r="AD495" s="89"/>
      <c r="AE495" s="89"/>
      <c r="AF495" s="99"/>
      <c r="AG495" s="99"/>
      <c r="AH495" s="99"/>
      <c r="AI495" s="100"/>
      <c r="AJ495" s="100"/>
      <c r="AK495" s="100"/>
      <c r="AU495" s="45"/>
    </row>
    <row r="496" spans="1:47" ht="12" customHeight="1">
      <c r="A496" s="87"/>
      <c r="B496" s="88"/>
      <c r="C496" s="91"/>
      <c r="D496" s="89"/>
      <c r="E496" s="112"/>
      <c r="F496" s="222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93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2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89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2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2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2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2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2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2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2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93"/>
      <c r="Y504" s="98"/>
      <c r="Z504" s="89"/>
      <c r="AA504" s="97"/>
      <c r="AB504" s="91"/>
      <c r="AC504" s="120"/>
      <c r="AD504" s="89"/>
      <c r="AE504" s="89"/>
      <c r="AF504" s="99"/>
      <c r="AG504" s="99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2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2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2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2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2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2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2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2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2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2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2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125"/>
      <c r="X515" s="123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2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88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2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2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2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93"/>
      <c r="W519" s="125"/>
      <c r="X519" s="9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2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9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2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2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88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2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2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2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2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93"/>
      <c r="C527" s="91"/>
      <c r="D527" s="89"/>
      <c r="E527" s="112"/>
      <c r="F527" s="222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99"/>
      <c r="AG527" s="95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2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2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93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2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9"/>
      <c r="AG530" s="95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2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2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2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123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2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99"/>
      <c r="AG534" s="99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2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2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2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2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2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2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89"/>
      <c r="Y540" s="98"/>
      <c r="Z540" s="89"/>
      <c r="AA540" s="97"/>
      <c r="AB540" s="91"/>
      <c r="AC540" s="120"/>
      <c r="AD540" s="89"/>
      <c r="AE540" s="89"/>
      <c r="AF540" s="95"/>
      <c r="AG540" s="95"/>
      <c r="AH540" s="95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2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2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2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2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9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2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2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2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2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2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95"/>
      <c r="AG549" s="95"/>
      <c r="AH549" s="99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2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2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2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123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2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9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2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12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2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2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2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2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2"/>
      <c r="G559" s="92"/>
      <c r="H559" s="93"/>
      <c r="I559" s="92"/>
      <c r="J559" s="89"/>
      <c r="K559" s="89"/>
      <c r="L559" s="89"/>
      <c r="M559" s="89"/>
      <c r="N559" s="89"/>
      <c r="O559" s="91"/>
      <c r="P559" s="144"/>
      <c r="Q559" s="145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2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2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2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2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2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2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2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2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</sheetData>
  <autoFilter ref="A1:AU69" xr:uid="{9931A248-8A11-4D8E-BACD-A0C0D59E4D18}"/>
  <conditionalFormatting sqref="A1:A567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68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61">
    <cfRule type="duplicateValues" dxfId="19" priority="19"/>
  </conditionalFormatting>
  <conditionalFormatting sqref="F1">
    <cfRule type="duplicateValues" dxfId="18" priority="5"/>
    <cfRule type="duplicateValues" dxfId="17" priority="7"/>
  </conditionalFormatting>
  <conditionalFormatting sqref="F2:F61">
    <cfRule type="duplicateValues" dxfId="16" priority="18"/>
  </conditionalFormatting>
  <conditionalFormatting sqref="F24:F394">
    <cfRule type="duplicateValues" dxfId="15" priority="149"/>
  </conditionalFormatting>
  <conditionalFormatting sqref="F395:F494">
    <cfRule type="duplicateValues" dxfId="14" priority="20"/>
    <cfRule type="duplicateValues" dxfId="13" priority="21"/>
  </conditionalFormatting>
  <conditionalFormatting sqref="F495:F567">
    <cfRule type="duplicateValues" dxfId="12" priority="22"/>
  </conditionalFormatting>
  <conditionalFormatting sqref="F568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4:K394">
    <cfRule type="containsText" dxfId="7" priority="17" operator="containsText" text="RJ">
      <formula>NOT(ISERROR(SEARCH("RJ",K24)))</formula>
    </cfRule>
  </conditionalFormatting>
  <conditionalFormatting sqref="AJ2:AJ1048576">
    <cfRule type="containsText" dxfId="6" priority="11" operator="containsText" text="Pendente">
      <formula>NOT(ISERROR(SEARCH("Pendente",AJ2)))</formula>
    </cfRule>
    <cfRule type="containsText" dxfId="5" priority="12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 AG14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AG2:AG13 AG15:AG1048576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38" activePane="bottomLeft" state="frozen"/>
      <selection pane="bottomLeft" activeCell="U40" sqref="S14:U4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2" t="s">
        <v>37</v>
      </c>
      <c r="C2" s="81" t="s">
        <v>64</v>
      </c>
    </row>
    <row r="3" spans="1:31">
      <c r="B3" s="212" t="s">
        <v>2</v>
      </c>
      <c r="C3" s="81"/>
      <c r="F3" s="40"/>
    </row>
    <row r="4" spans="1:31">
      <c r="B4" s="212" t="s">
        <v>299</v>
      </c>
      <c r="C4" s="81" t="s">
        <v>300</v>
      </c>
      <c r="F4" s="40"/>
    </row>
    <row r="5" spans="1:31">
      <c r="F5" s="40"/>
    </row>
    <row r="6" spans="1:31">
      <c r="F6" s="40"/>
    </row>
    <row r="7" spans="1:31">
      <c r="B7" s="213" t="s">
        <v>38</v>
      </c>
      <c r="C7" s="82">
        <v>46143</v>
      </c>
      <c r="D7" t="s">
        <v>301</v>
      </c>
    </row>
    <row r="9" spans="1:31">
      <c r="B9" s="214" t="s">
        <v>302</v>
      </c>
      <c r="C9" s="78">
        <v>46023</v>
      </c>
    </row>
    <row r="10" spans="1:31">
      <c r="B10" s="214" t="s">
        <v>303</v>
      </c>
      <c r="C10" s="78">
        <v>46165</v>
      </c>
    </row>
    <row r="12" spans="1:31" s="220" customFormat="1">
      <c r="A12" s="218"/>
      <c r="B12" s="219" t="s">
        <v>304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</row>
    <row r="14" spans="1:31">
      <c r="B14" s="239" t="s">
        <v>16</v>
      </c>
      <c r="C14" s="177" t="s">
        <v>39</v>
      </c>
      <c r="D14" s="177"/>
      <c r="E14" s="177"/>
      <c r="F14" s="177"/>
      <c r="G14" s="177"/>
      <c r="H14" s="177" t="s">
        <v>305</v>
      </c>
      <c r="I14" s="177"/>
      <c r="K14" s="239" t="s">
        <v>306</v>
      </c>
      <c r="L14" s="177" t="s">
        <v>39</v>
      </c>
      <c r="M14" s="177"/>
      <c r="N14" s="177"/>
      <c r="O14" s="177"/>
      <c r="P14" s="177"/>
      <c r="Q14" s="177"/>
      <c r="S14" s="77" t="s">
        <v>16</v>
      </c>
      <c r="T14" s="77" t="s">
        <v>307</v>
      </c>
      <c r="U14" s="77" t="s">
        <v>308</v>
      </c>
      <c r="W14" s="187" t="s">
        <v>306</v>
      </c>
      <c r="X14" s="187"/>
      <c r="Y14" s="187"/>
    </row>
    <row r="15" spans="1:31">
      <c r="B15" s="239"/>
      <c r="C15" s="37">
        <v>1</v>
      </c>
      <c r="D15" s="177">
        <v>2</v>
      </c>
      <c r="E15" s="177">
        <v>3</v>
      </c>
      <c r="F15" s="177">
        <v>4</v>
      </c>
      <c r="G15" s="177">
        <v>5</v>
      </c>
      <c r="H15" s="177" t="s">
        <v>307</v>
      </c>
      <c r="I15" s="177" t="s">
        <v>308</v>
      </c>
      <c r="K15" s="239"/>
      <c r="L15" s="178">
        <v>1</v>
      </c>
      <c r="M15" s="178">
        <v>2</v>
      </c>
      <c r="N15" s="178">
        <v>3</v>
      </c>
      <c r="O15" s="178">
        <v>4</v>
      </c>
      <c r="P15" s="178">
        <v>5</v>
      </c>
      <c r="Q15" s="177" t="s">
        <v>305</v>
      </c>
      <c r="S15" s="194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40</v>
      </c>
      <c r="U15" s="80">
        <f t="shared" ref="U15:U40" si="0">IFERROR(T15/$T$40,0)</f>
        <v>0.66666666666666663</v>
      </c>
      <c r="W15" s="188" t="s">
        <v>309</v>
      </c>
      <c r="X15" s="188"/>
      <c r="Y15" s="189">
        <f>IFERROR(T15/T40,0)</f>
        <v>0.66666666666666663</v>
      </c>
    </row>
    <row r="16" spans="1:31">
      <c r="B16" s="195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3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4</v>
      </c>
      <c r="I16" s="49">
        <f t="shared" ref="I16:I41" si="1">+IFERROR(H16/$H$41,0)</f>
        <v>0.8</v>
      </c>
      <c r="K16" s="36" t="s">
        <v>300</v>
      </c>
      <c r="L16" s="36">
        <f t="shared" ref="L16:Q16" si="2">+C41</f>
        <v>0</v>
      </c>
      <c r="M16" s="36">
        <f t="shared" si="2"/>
        <v>3</v>
      </c>
      <c r="N16" s="36">
        <f t="shared" si="2"/>
        <v>0</v>
      </c>
      <c r="O16" s="36">
        <f t="shared" si="2"/>
        <v>2</v>
      </c>
      <c r="P16" s="36">
        <f t="shared" si="2"/>
        <v>0</v>
      </c>
      <c r="Q16" s="44">
        <f t="shared" si="2"/>
        <v>5</v>
      </c>
      <c r="S16" s="207" t="s">
        <v>310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4">
        <f t="shared" si="0"/>
        <v>0</v>
      </c>
      <c r="W16" s="209" t="s">
        <v>311</v>
      </c>
      <c r="X16" s="209"/>
      <c r="Y16" s="211">
        <f>IFERROR(SUMIFS(Consolidado!AQ:AQ,Consolidado!$AL:$AL,IF(ISBLANK($C$2),"&lt;&gt;",$C$2),Consolidado!$B:$B,"&lt;="&amp;Análise!$C$10,Consolidado!$B:$B,"&gt;="&amp;Análise!$C$9,Consolidado!$C:$C,IF(ISBLANK($C$3),"&lt;&gt;",$C$3))/T15,0)</f>
        <v>29.574999999999999</v>
      </c>
    </row>
    <row r="17" spans="2:25">
      <c r="B17" s="196" t="s">
        <v>310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6" t="s">
        <v>57</v>
      </c>
      <c r="L17" s="38">
        <f t="shared" ref="L17:Q17" si="4">+C16</f>
        <v>0</v>
      </c>
      <c r="M17" s="38">
        <f t="shared" si="4"/>
        <v>3</v>
      </c>
      <c r="N17" s="38">
        <f t="shared" si="4"/>
        <v>0</v>
      </c>
      <c r="O17" s="38">
        <f t="shared" si="4"/>
        <v>1</v>
      </c>
      <c r="P17" s="38">
        <f t="shared" si="4"/>
        <v>0</v>
      </c>
      <c r="Q17" s="39">
        <f t="shared" si="4"/>
        <v>4</v>
      </c>
      <c r="S17" s="194" t="s">
        <v>312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8" t="s">
        <v>313</v>
      </c>
      <c r="X17" s="188"/>
      <c r="Y17" s="190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21.214285714285715</v>
      </c>
    </row>
    <row r="18" spans="2:25">
      <c r="B18" s="195" t="s">
        <v>312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5" t="s">
        <v>309</v>
      </c>
      <c r="L18" s="41" t="str">
        <f t="shared" ref="L18:Q18" si="5">IFERROR(L17/L16,"")</f>
        <v/>
      </c>
      <c r="M18" s="41">
        <f t="shared" si="5"/>
        <v>1</v>
      </c>
      <c r="N18" s="41" t="str">
        <f t="shared" si="5"/>
        <v/>
      </c>
      <c r="O18" s="41">
        <f t="shared" si="5"/>
        <v>0.5</v>
      </c>
      <c r="P18" s="41" t="str">
        <f t="shared" si="5"/>
        <v/>
      </c>
      <c r="Q18" s="49">
        <f t="shared" si="5"/>
        <v>0.8</v>
      </c>
      <c r="S18" s="207" t="s">
        <v>314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4">
        <f t="shared" si="0"/>
        <v>0</v>
      </c>
      <c r="W18" s="209" t="s">
        <v>315</v>
      </c>
      <c r="X18" s="209"/>
      <c r="Y18" s="21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20.792483660130529</v>
      </c>
    </row>
    <row r="19" spans="2:25">
      <c r="B19" s="196" t="s">
        <v>314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6" t="s">
        <v>311</v>
      </c>
      <c r="L19" s="179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9">
        <f>IFERROR(SUMIFS(Consolidado!$AQ:$AQ,Consolidado!$AN:$AN,Análise!M15,Consolidado!$AM:$AM,Análise!$C$7,Consolidado!$AL:$AL,IF(ISBLANK($C$2),"&lt;&gt;",$C$2),Consolidado!$C:$C,IF(ISBLANK($C$3),"&lt;&gt;",$C$3))/M$17,0)</f>
        <v>22.666666666666668</v>
      </c>
      <c r="N19" s="179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9">
        <f>IFERROR(SUMIFS(Consolidado!$AQ:$AQ,Consolidado!$AN:$AN,Análise!O15,Consolidado!$AM:$AM,Análise!$C$7,Consolidado!$AL:$AL,IF(ISBLANK($C$2),"&lt;&gt;",$C$2),Consolidado!$C:$C,IF(ISBLANK($C$3),"&lt;&gt;",$C$3))/O$17,0)</f>
        <v>15</v>
      </c>
      <c r="P19" s="179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82">
        <f>IFERROR(SUMIFS(Consolidado!AQ:AQ,Consolidado!$AM:$AM,Análise!$C$7,Consolidado!$AL:$AL,IF(ISBLANK($C$2),"&lt;&gt;",$C$2),Consolidado!$C:$C,IF(ISBLANK($C$3),"&lt;&gt;",$C$3))/$Q17,0)</f>
        <v>20.75</v>
      </c>
      <c r="S19" s="194" t="s">
        <v>68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6</v>
      </c>
      <c r="U19" s="80">
        <f t="shared" si="0"/>
        <v>0.1</v>
      </c>
      <c r="W19" s="188" t="s">
        <v>316</v>
      </c>
      <c r="X19" s="188"/>
      <c r="Y19" s="190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95" t="s">
        <v>68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5" t="s">
        <v>313</v>
      </c>
      <c r="L20" s="180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80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10</v>
      </c>
      <c r="N20" s="180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80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80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3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9</v>
      </c>
      <c r="S20" s="207" t="s">
        <v>317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4">
        <f t="shared" si="0"/>
        <v>0</v>
      </c>
      <c r="W20" s="209" t="s">
        <v>318</v>
      </c>
      <c r="X20" s="209"/>
      <c r="Y20" s="210">
        <f>IFERROR((T15+T37)/T40,"")</f>
        <v>0.68333333333333335</v>
      </c>
    </row>
    <row r="21" spans="2:25">
      <c r="B21" s="196" t="s">
        <v>317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6" t="s">
        <v>315</v>
      </c>
      <c r="L21" s="179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9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9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9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9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2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94" t="s">
        <v>319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5" t="s">
        <v>319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7" t="s">
        <v>320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4">
        <f t="shared" si="0"/>
        <v>0</v>
      </c>
      <c r="W22" s="77" t="s">
        <v>321</v>
      </c>
      <c r="X22" s="77" t="s">
        <v>307</v>
      </c>
      <c r="Y22" s="77" t="s">
        <v>308</v>
      </c>
    </row>
    <row r="23" spans="2:25">
      <c r="B23" s="196" t="s">
        <v>320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4" t="s">
        <v>135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5</v>
      </c>
      <c r="U23" s="80">
        <f t="shared" si="0"/>
        <v>8.3333333333333329E-2</v>
      </c>
      <c r="W23" s="186" t="s">
        <v>84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19</v>
      </c>
      <c r="Y23" s="80">
        <f>IFERROR(X23/SUM($X$23:$X$24),"")</f>
        <v>0.47499999999999998</v>
      </c>
    </row>
    <row r="24" spans="2:25">
      <c r="B24" s="195" t="s">
        <v>135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9" t="s">
        <v>306</v>
      </c>
      <c r="L24" s="177" t="s">
        <v>39</v>
      </c>
      <c r="M24" s="177"/>
      <c r="N24" s="177"/>
      <c r="O24" s="177"/>
      <c r="P24" s="177"/>
      <c r="Q24" s="177"/>
      <c r="S24" s="207" t="s">
        <v>322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4">
        <f t="shared" si="0"/>
        <v>0</v>
      </c>
      <c r="W24" s="208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21</v>
      </c>
      <c r="Y24" s="184">
        <f>IFERROR(X24/SUM($X$23:$X$24),"")</f>
        <v>0.52500000000000002</v>
      </c>
    </row>
    <row r="25" spans="2:25">
      <c r="B25" s="196" t="s">
        <v>322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9"/>
      <c r="L25" s="178">
        <v>1</v>
      </c>
      <c r="M25" s="178">
        <v>2</v>
      </c>
      <c r="N25" s="178">
        <v>3</v>
      </c>
      <c r="O25" s="178">
        <v>4</v>
      </c>
      <c r="P25" s="178">
        <v>5</v>
      </c>
      <c r="Q25" s="177" t="s">
        <v>305</v>
      </c>
      <c r="S25" s="194" t="s">
        <v>323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5" t="s">
        <v>323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316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1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7" t="s">
        <v>324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4">
        <f t="shared" si="0"/>
        <v>0</v>
      </c>
    </row>
    <row r="27" spans="2:25">
      <c r="B27" s="196" t="s">
        <v>324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4" t="s">
        <v>325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5" t="s">
        <v>325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7" t="s">
        <v>326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4">
        <f t="shared" si="0"/>
        <v>0</v>
      </c>
    </row>
    <row r="29" spans="2:25">
      <c r="B29" s="196" t="s">
        <v>326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9" t="s">
        <v>306</v>
      </c>
      <c r="L29" s="177" t="s">
        <v>39</v>
      </c>
      <c r="M29" s="177"/>
      <c r="N29" s="177"/>
      <c r="O29" s="177"/>
      <c r="P29" s="177"/>
      <c r="Q29" s="177"/>
      <c r="S29" s="194" t="s">
        <v>327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5" t="s">
        <v>327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9"/>
      <c r="L30" s="178">
        <v>1</v>
      </c>
      <c r="M30" s="178">
        <v>2</v>
      </c>
      <c r="N30" s="178">
        <v>3</v>
      </c>
      <c r="O30" s="178">
        <v>4</v>
      </c>
      <c r="P30" s="178">
        <v>5</v>
      </c>
      <c r="Q30" s="177" t="s">
        <v>305</v>
      </c>
      <c r="S30" s="207" t="s">
        <v>328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4">
        <f t="shared" si="0"/>
        <v>0</v>
      </c>
    </row>
    <row r="31" spans="2:25">
      <c r="B31" s="196" t="s">
        <v>328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318</v>
      </c>
      <c r="L31" s="184" t="str">
        <f t="shared" ref="L31:Q31" si="6">IFERROR((C16+C38)/C41,"")</f>
        <v/>
      </c>
      <c r="M31" s="184">
        <f t="shared" si="6"/>
        <v>1</v>
      </c>
      <c r="N31" s="184" t="str">
        <f t="shared" si="6"/>
        <v/>
      </c>
      <c r="O31" s="184">
        <f t="shared" si="6"/>
        <v>1</v>
      </c>
      <c r="P31" s="184" t="str">
        <f t="shared" si="6"/>
        <v/>
      </c>
      <c r="Q31" s="185">
        <f t="shared" si="6"/>
        <v>1</v>
      </c>
      <c r="S31" s="194" t="s">
        <v>329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5" t="s">
        <v>329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7" t="s">
        <v>330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4">
        <f t="shared" si="0"/>
        <v>0</v>
      </c>
    </row>
    <row r="33" spans="1:31">
      <c r="B33" s="196" t="s">
        <v>330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4" t="s">
        <v>331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5" t="s">
        <v>331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321</v>
      </c>
      <c r="L34" s="37" t="s">
        <v>307</v>
      </c>
      <c r="M34" s="177" t="s">
        <v>308</v>
      </c>
      <c r="S34" s="207" t="s">
        <v>332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4">
        <f t="shared" si="0"/>
        <v>0</v>
      </c>
    </row>
    <row r="35" spans="1:31">
      <c r="B35" s="196" t="s">
        <v>332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84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1</v>
      </c>
      <c r="M35" s="41">
        <f>IFERROR(L35/SUM($L$35:$L$36),"")</f>
        <v>0.25</v>
      </c>
      <c r="S35" s="194" t="s">
        <v>333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5" t="s">
        <v>333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3</v>
      </c>
      <c r="M36" s="42">
        <f>IFERROR(L36/SUM($L$35:$L$36),"")</f>
        <v>0.75</v>
      </c>
      <c r="S36" s="207" t="s">
        <v>118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8</v>
      </c>
      <c r="U36" s="184">
        <f t="shared" si="0"/>
        <v>0.13333333333333333</v>
      </c>
    </row>
    <row r="37" spans="1:31">
      <c r="B37" s="196" t="s">
        <v>118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4" t="s">
        <v>269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80">
        <f t="shared" si="0"/>
        <v>1.6666666666666666E-2</v>
      </c>
    </row>
    <row r="38" spans="1:31">
      <c r="B38" s="195" t="s">
        <v>269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0</v>
      </c>
      <c r="H38" s="44">
        <f t="shared" si="3"/>
        <v>1</v>
      </c>
      <c r="I38" s="49">
        <f t="shared" si="1"/>
        <v>0.2</v>
      </c>
      <c r="S38" s="207" t="s">
        <v>334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4">
        <f t="shared" si="0"/>
        <v>0</v>
      </c>
    </row>
    <row r="39" spans="1:31">
      <c r="B39" s="196" t="s">
        <v>334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4" t="s">
        <v>335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5" t="s">
        <v>335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8" t="s">
        <v>300</v>
      </c>
      <c r="T40" s="39">
        <f>SUM(T15:T39)</f>
        <v>60</v>
      </c>
      <c r="U40" s="185">
        <f t="shared" si="0"/>
        <v>1</v>
      </c>
    </row>
    <row r="41" spans="1:31">
      <c r="B41" s="39" t="s">
        <v>300</v>
      </c>
      <c r="C41" s="39">
        <f t="shared" ref="C41:H41" si="7">SUM(C16:C40)</f>
        <v>0</v>
      </c>
      <c r="D41" s="39">
        <f t="shared" si="7"/>
        <v>3</v>
      </c>
      <c r="E41" s="39">
        <f t="shared" si="7"/>
        <v>0</v>
      </c>
      <c r="F41" s="39">
        <f t="shared" si="7"/>
        <v>2</v>
      </c>
      <c r="G41" s="39">
        <f t="shared" si="7"/>
        <v>0</v>
      </c>
      <c r="H41" s="39">
        <f t="shared" si="7"/>
        <v>5</v>
      </c>
      <c r="I41" s="43">
        <f t="shared" si="1"/>
        <v>1</v>
      </c>
    </row>
    <row r="43" spans="1:31" s="220" customFormat="1">
      <c r="A43" s="218"/>
      <c r="B43" s="219" t="s">
        <v>336</v>
      </c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</row>
    <row r="45" spans="1:31">
      <c r="B45" s="239" t="s">
        <v>16</v>
      </c>
      <c r="C45" s="177" t="s">
        <v>39</v>
      </c>
      <c r="D45" s="177"/>
      <c r="E45" s="177"/>
      <c r="F45" s="177"/>
      <c r="G45" s="177"/>
      <c r="H45" s="240" t="s">
        <v>305</v>
      </c>
    </row>
    <row r="46" spans="1:31">
      <c r="B46" s="239"/>
      <c r="C46" s="37">
        <v>1</v>
      </c>
      <c r="D46" s="177">
        <v>2</v>
      </c>
      <c r="E46" s="177">
        <v>3</v>
      </c>
      <c r="F46" s="177">
        <v>4</v>
      </c>
      <c r="G46" s="177">
        <v>5</v>
      </c>
      <c r="H46" s="241"/>
    </row>
    <row r="47" spans="1:31">
      <c r="B47" s="195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4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</v>
      </c>
      <c r="H47" s="44">
        <f>SUM(C47:G47)</f>
        <v>7</v>
      </c>
    </row>
    <row r="49" spans="1:31">
      <c r="B49" s="77" t="s">
        <v>16</v>
      </c>
      <c r="C49" s="77" t="s">
        <v>337</v>
      </c>
    </row>
    <row r="50" spans="1:31">
      <c r="B50" s="194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34</v>
      </c>
    </row>
    <row r="52" spans="1:31" s="220" customFormat="1">
      <c r="A52" s="218"/>
      <c r="B52" s="219" t="s">
        <v>338</v>
      </c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</row>
    <row r="54" spans="1:31">
      <c r="B54" s="235" t="s">
        <v>339</v>
      </c>
      <c r="C54" s="177" t="s">
        <v>39</v>
      </c>
      <c r="D54" s="177"/>
      <c r="E54" s="177"/>
      <c r="F54" s="177"/>
      <c r="G54" s="177"/>
      <c r="H54" s="177"/>
      <c r="K54" s="236" t="s">
        <v>339</v>
      </c>
      <c r="L54" s="237" t="s">
        <v>337</v>
      </c>
    </row>
    <row r="55" spans="1:31">
      <c r="B55" s="235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300</v>
      </c>
      <c r="K55" s="236"/>
      <c r="L55" s="238"/>
    </row>
    <row r="56" spans="1:31">
      <c r="B56" s="47" t="s">
        <v>340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5" t="s">
        <v>340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341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341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342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5" t="s">
        <v>342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81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81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0" spans="1:31">
      <c r="B60" s="47" t="s">
        <v>195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5" t="s">
        <v>195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61" spans="1:31">
      <c r="B61" s="48" t="s">
        <v>343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343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300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5" t="s">
        <v>300</v>
      </c>
      <c r="L62" s="206">
        <f>SUM(L56:L61)</f>
        <v>9</v>
      </c>
    </row>
    <row r="64" spans="1:31">
      <c r="B64" s="235" t="s">
        <v>344</v>
      </c>
      <c r="C64" s="177" t="s">
        <v>39</v>
      </c>
      <c r="D64" s="177"/>
      <c r="E64" s="177"/>
      <c r="F64" s="177"/>
      <c r="G64" s="177"/>
      <c r="H64" s="177"/>
      <c r="K64" s="236" t="s">
        <v>344</v>
      </c>
      <c r="L64" s="237" t="s">
        <v>337</v>
      </c>
    </row>
    <row r="65" spans="1:31">
      <c r="B65" s="235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300</v>
      </c>
      <c r="K65" s="236"/>
      <c r="L65" s="238"/>
    </row>
    <row r="66" spans="1:31">
      <c r="B66" s="47" t="s">
        <v>340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5" t="s">
        <v>340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341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341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345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5" t="s">
        <v>345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20" customFormat="1">
      <c r="A70" s="218"/>
      <c r="B70" s="219" t="s">
        <v>346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</row>
    <row r="72" spans="1:31">
      <c r="B72" s="35" t="s">
        <v>347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305</v>
      </c>
      <c r="K72" s="76" t="s">
        <v>347</v>
      </c>
      <c r="L72" s="215" t="s">
        <v>337</v>
      </c>
    </row>
    <row r="73" spans="1:31">
      <c r="B73" s="47" t="s">
        <v>348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5" t="s">
        <v>348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106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106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5" spans="1:31">
      <c r="B75" s="47" t="s">
        <v>349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5" t="s">
        <v>349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300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300</v>
      </c>
      <c r="L76" s="39">
        <f>SUM(L73:L75)</f>
        <v>4</v>
      </c>
    </row>
    <row r="78" spans="1:31">
      <c r="B78" s="35" t="s">
        <v>350</v>
      </c>
      <c r="C78" s="46" t="s">
        <v>305</v>
      </c>
      <c r="K78" s="76" t="s">
        <v>350</v>
      </c>
      <c r="L78" s="215" t="s">
        <v>337</v>
      </c>
    </row>
    <row r="79" spans="1:31">
      <c r="B79" s="47" t="s">
        <v>348</v>
      </c>
      <c r="C79" s="49" t="str">
        <f>IFERROR(H73/$H$76,"")</f>
        <v/>
      </c>
      <c r="K79" s="205" t="s">
        <v>348</v>
      </c>
      <c r="L79" s="216">
        <f>IFERROR(L73/$L$76,"")</f>
        <v>0</v>
      </c>
    </row>
    <row r="80" spans="1:31">
      <c r="B80" s="48" t="s">
        <v>106</v>
      </c>
      <c r="C80" s="50" t="str">
        <f>IFERROR(H74/$H$76,"")</f>
        <v/>
      </c>
      <c r="K80" s="48" t="s">
        <v>106</v>
      </c>
      <c r="L80" s="50">
        <f>IFERROR(L74/$L$76,"")</f>
        <v>1</v>
      </c>
    </row>
    <row r="81" spans="1:31">
      <c r="B81" s="47" t="s">
        <v>349</v>
      </c>
      <c r="C81" s="51" t="str">
        <f>IFERROR(H75/$H$76,"")</f>
        <v/>
      </c>
      <c r="K81" s="205" t="s">
        <v>349</v>
      </c>
      <c r="L81" s="217">
        <f>IFERROR(L75/$L$76,"")</f>
        <v>0</v>
      </c>
    </row>
    <row r="83" spans="1:31" s="220" customFormat="1">
      <c r="A83" s="218"/>
      <c r="B83" s="219" t="s">
        <v>351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</row>
    <row r="85" spans="1:31">
      <c r="B85" s="35" t="s">
        <v>352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305</v>
      </c>
      <c r="K85" s="76" t="s">
        <v>352</v>
      </c>
      <c r="L85" s="215" t="s">
        <v>337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3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1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4">
        <f>SUM(C86:G86)</f>
        <v>4</v>
      </c>
      <c r="K86" s="20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34</v>
      </c>
    </row>
    <row r="87" spans="1:31">
      <c r="B87" s="48" t="s">
        <v>353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353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354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5" t="s">
        <v>354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300</v>
      </c>
      <c r="C89" s="39">
        <f>SUM(C86:C88)</f>
        <v>0</v>
      </c>
      <c r="D89" s="39">
        <f t="shared" ref="D89:H89" si="12">SUM(D86:D88)</f>
        <v>3</v>
      </c>
      <c r="E89" s="39">
        <f t="shared" si="12"/>
        <v>0</v>
      </c>
      <c r="F89" s="39">
        <f t="shared" si="12"/>
        <v>1</v>
      </c>
      <c r="G89" s="39">
        <f t="shared" si="12"/>
        <v>0</v>
      </c>
      <c r="H89" s="39">
        <f t="shared" si="12"/>
        <v>4</v>
      </c>
      <c r="K89" s="48" t="s">
        <v>300</v>
      </c>
      <c r="L89" s="39">
        <f>SUM(L86:L88)</f>
        <v>34</v>
      </c>
    </row>
    <row r="91" spans="1:31">
      <c r="B91" s="35" t="s">
        <v>355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305</v>
      </c>
      <c r="K91" s="76" t="s">
        <v>355</v>
      </c>
      <c r="L91" s="215" t="s">
        <v>337</v>
      </c>
    </row>
    <row r="92" spans="1:31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0</v>
      </c>
      <c r="K92" s="205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22</v>
      </c>
    </row>
    <row r="93" spans="1:31">
      <c r="B93" s="48" t="s">
        <v>356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356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357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5" t="s">
        <v>357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177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3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3</v>
      </c>
      <c r="K95" s="48" t="s">
        <v>177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7</v>
      </c>
    </row>
    <row r="96" spans="1:31">
      <c r="B96" s="47" t="s">
        <v>354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5" t="s">
        <v>354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358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358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300</v>
      </c>
      <c r="C98" s="44">
        <f t="shared" ref="C98:H98" si="14">SUM(C92:C97)</f>
        <v>0</v>
      </c>
      <c r="D98" s="44">
        <f t="shared" si="14"/>
        <v>3</v>
      </c>
      <c r="E98" s="44">
        <f t="shared" si="14"/>
        <v>0</v>
      </c>
      <c r="F98" s="44">
        <f t="shared" si="14"/>
        <v>0</v>
      </c>
      <c r="G98" s="44">
        <f t="shared" si="14"/>
        <v>0</v>
      </c>
      <c r="H98" s="44">
        <f t="shared" si="14"/>
        <v>3</v>
      </c>
      <c r="K98" s="205" t="s">
        <v>300</v>
      </c>
      <c r="L98" s="206">
        <f>SUM(L92:L97)</f>
        <v>29</v>
      </c>
    </row>
    <row r="100" spans="1:31" s="220" customFormat="1">
      <c r="A100" s="218"/>
      <c r="B100" s="219" t="s">
        <v>359</v>
      </c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</row>
    <row r="101" spans="1:31">
      <c r="E101" s="40"/>
      <c r="F101" s="40"/>
    </row>
    <row r="102" spans="1:31">
      <c r="B102" s="235" t="s">
        <v>3</v>
      </c>
      <c r="C102" s="177" t="s">
        <v>39</v>
      </c>
      <c r="D102" s="177"/>
      <c r="E102" s="177"/>
      <c r="F102" s="177"/>
      <c r="G102" s="177"/>
      <c r="H102" s="177"/>
      <c r="K102" s="236" t="s">
        <v>3</v>
      </c>
      <c r="L102" s="237" t="s">
        <v>337</v>
      </c>
    </row>
    <row r="103" spans="1:31">
      <c r="B103" s="235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300</v>
      </c>
      <c r="K103" s="236"/>
      <c r="L103" s="238"/>
    </row>
    <row r="104" spans="1:31">
      <c r="B104" s="47" t="s">
        <v>139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</v>
      </c>
      <c r="K104" s="205" t="s">
        <v>139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7</v>
      </c>
    </row>
    <row r="105" spans="1:31">
      <c r="B105" s="48" t="s">
        <v>360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360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361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5" t="s">
        <v>361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8" t="s">
        <v>190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190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3</v>
      </c>
    </row>
    <row r="108" spans="1:31">
      <c r="B108" s="47" t="s">
        <v>82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5" t="s">
        <v>82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4</v>
      </c>
    </row>
    <row r="109" spans="1:31">
      <c r="B109" s="48" t="s">
        <v>213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213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</v>
      </c>
    </row>
    <row r="110" spans="1:31">
      <c r="B110" s="47" t="s">
        <v>362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5" t="s">
        <v>362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300</v>
      </c>
      <c r="C111" s="39">
        <f>SUM(C104:C110)</f>
        <v>0</v>
      </c>
      <c r="D111" s="39">
        <f t="shared" ref="D111:G111" si="16">SUM(D104:D110)</f>
        <v>1</v>
      </c>
      <c r="E111" s="39">
        <f t="shared" si="16"/>
        <v>0</v>
      </c>
      <c r="F111" s="39">
        <f t="shared" si="16"/>
        <v>0</v>
      </c>
      <c r="G111" s="39">
        <f t="shared" si="16"/>
        <v>0</v>
      </c>
      <c r="H111" s="39">
        <f t="shared" si="15"/>
        <v>1</v>
      </c>
      <c r="K111" s="48" t="s">
        <v>300</v>
      </c>
      <c r="L111" s="39">
        <f>SUM(L104:L110)</f>
        <v>17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61" sqref="H61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363</v>
      </c>
      <c r="G1" s="53"/>
      <c r="H1" s="156" t="s">
        <v>37</v>
      </c>
      <c r="I1" s="155" t="s">
        <v>364</v>
      </c>
      <c r="K1" s="71" t="s">
        <v>365</v>
      </c>
      <c r="L1" s="53"/>
      <c r="M1" s="54" t="s">
        <v>37</v>
      </c>
      <c r="N1" s="55" t="s">
        <v>366</v>
      </c>
      <c r="P1" s="159" t="s">
        <v>32</v>
      </c>
      <c r="R1" s="56" t="s">
        <v>367</v>
      </c>
      <c r="T1" s="74" t="s">
        <v>368</v>
      </c>
      <c r="V1" s="171" t="s">
        <v>16</v>
      </c>
      <c r="X1" s="169" t="s">
        <v>19</v>
      </c>
      <c r="Z1" s="227" t="s">
        <v>20</v>
      </c>
      <c r="AB1" s="167" t="s">
        <v>25</v>
      </c>
      <c r="AD1" s="165" t="s">
        <v>27</v>
      </c>
      <c r="AF1" s="165" t="s">
        <v>29</v>
      </c>
      <c r="AH1" s="162" t="s">
        <v>369</v>
      </c>
      <c r="AJ1" s="163" t="s">
        <v>35</v>
      </c>
      <c r="AL1" s="162" t="s">
        <v>36</v>
      </c>
      <c r="AN1" s="174" t="s">
        <v>0</v>
      </c>
    </row>
    <row r="2" spans="2:40" ht="15" thickBot="1">
      <c r="B2" s="52" t="s">
        <v>370</v>
      </c>
      <c r="D2" s="149" t="s">
        <v>48</v>
      </c>
      <c r="F2" s="70" t="str" cm="1">
        <f t="array" ref="F2:F11">IF(COUNTIF(Consolidado!$AL:$AL,"Emagrecimento")&lt;&gt;0,_xlfn._xlws.FILTER($I$2:$I$54,$H$2:$H$54&lt;&gt;""),_xlfn._xlws.FILTER($I$2:$I$54,$H$2:$H$54="Outras"))</f>
        <v>Captado pela Amil/Call Center</v>
      </c>
      <c r="H2" s="79" t="s">
        <v>371</v>
      </c>
      <c r="I2" s="151" t="s">
        <v>139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371</v>
      </c>
      <c r="N2" s="152" t="s">
        <v>340</v>
      </c>
      <c r="P2" s="160" t="s">
        <v>340</v>
      </c>
      <c r="R2" s="59" t="s">
        <v>372</v>
      </c>
      <c r="T2" s="85" t="s">
        <v>348</v>
      </c>
      <c r="V2" s="172" t="s">
        <v>57</v>
      </c>
      <c r="X2" s="170" t="s">
        <v>58</v>
      </c>
      <c r="Z2" s="228" t="s">
        <v>59</v>
      </c>
      <c r="AB2" s="149" t="s">
        <v>62</v>
      </c>
      <c r="AD2" s="160" t="s">
        <v>63</v>
      </c>
      <c r="AF2" s="160" t="s">
        <v>80</v>
      </c>
      <c r="AH2" s="160" t="s">
        <v>47</v>
      </c>
      <c r="AJ2" s="160" t="s">
        <v>234</v>
      </c>
      <c r="AL2" s="160" t="s">
        <v>47</v>
      </c>
      <c r="AN2" s="175" t="s">
        <v>47</v>
      </c>
    </row>
    <row r="3" spans="2:40" ht="15" thickBot="1">
      <c r="D3" s="149" t="s">
        <v>138</v>
      </c>
      <c r="F3" s="68" t="str">
        <v>Casos Prioritário - E-mail</v>
      </c>
      <c r="H3" s="79" t="s">
        <v>371</v>
      </c>
      <c r="I3" s="151" t="s">
        <v>360</v>
      </c>
      <c r="K3" s="60" t="str">
        <v>Samaritano Higi</v>
      </c>
      <c r="M3" s="79" t="s">
        <v>371</v>
      </c>
      <c r="N3" s="152" t="s">
        <v>341</v>
      </c>
      <c r="P3" s="160" t="s">
        <v>341</v>
      </c>
      <c r="R3" s="59" t="s">
        <v>373</v>
      </c>
      <c r="T3" s="84" t="s">
        <v>106</v>
      </c>
      <c r="V3" s="172" t="s">
        <v>310</v>
      </c>
      <c r="X3" s="149" t="s">
        <v>119</v>
      </c>
      <c r="Z3" s="149" t="s">
        <v>270</v>
      </c>
      <c r="AB3" s="168" t="s">
        <v>89</v>
      </c>
      <c r="AD3" s="160" t="s">
        <v>356</v>
      </c>
      <c r="AF3" s="166" t="s">
        <v>105</v>
      </c>
      <c r="AH3" s="160" t="s">
        <v>137</v>
      </c>
      <c r="AJ3" s="164" t="s">
        <v>71</v>
      </c>
      <c r="AL3" s="160" t="s">
        <v>137</v>
      </c>
      <c r="AN3" s="175" t="s">
        <v>137</v>
      </c>
    </row>
    <row r="4" spans="2:40">
      <c r="D4" s="149" t="s">
        <v>374</v>
      </c>
      <c r="F4" s="68" t="str">
        <v>Forms</v>
      </c>
      <c r="H4" s="79" t="s">
        <v>371</v>
      </c>
      <c r="I4" s="151" t="s">
        <v>286</v>
      </c>
      <c r="K4" s="60" t="str">
        <v>COI -RJ</v>
      </c>
      <c r="M4" s="79" t="s">
        <v>371</v>
      </c>
      <c r="N4" s="152" t="s">
        <v>342</v>
      </c>
      <c r="P4" s="160" t="s">
        <v>345</v>
      </c>
      <c r="R4" s="59" t="s">
        <v>375</v>
      </c>
      <c r="T4" s="84" t="s">
        <v>349</v>
      </c>
      <c r="V4" s="172" t="s">
        <v>312</v>
      </c>
      <c r="X4" s="168" t="s">
        <v>376</v>
      </c>
      <c r="Z4" s="59" t="s">
        <v>69</v>
      </c>
      <c r="AD4" s="160" t="s">
        <v>357</v>
      </c>
      <c r="AF4" s="166" t="s">
        <v>216</v>
      </c>
      <c r="AH4" s="161"/>
      <c r="AJ4" s="161" t="s">
        <v>124</v>
      </c>
      <c r="AL4" s="160" t="s">
        <v>377</v>
      </c>
      <c r="AN4" s="176"/>
    </row>
    <row r="5" spans="2:40">
      <c r="D5" s="73" t="s">
        <v>156</v>
      </c>
      <c r="F5" s="68" t="str">
        <v>GSC</v>
      </c>
      <c r="H5" s="79" t="s">
        <v>371</v>
      </c>
      <c r="I5" s="151" t="s">
        <v>190</v>
      </c>
      <c r="K5" s="60" t="str">
        <v>Interno - Amil Geral</v>
      </c>
      <c r="M5" s="79" t="s">
        <v>371</v>
      </c>
      <c r="N5" s="152" t="s">
        <v>81</v>
      </c>
      <c r="P5" s="161" t="s">
        <v>378</v>
      </c>
      <c r="R5" s="59" t="s">
        <v>379</v>
      </c>
      <c r="T5" s="86" t="s">
        <v>377</v>
      </c>
      <c r="V5" s="172" t="s">
        <v>314</v>
      </c>
      <c r="Z5" s="59"/>
      <c r="AD5" s="160" t="s">
        <v>177</v>
      </c>
      <c r="AF5" s="161"/>
      <c r="AH5" s="83"/>
      <c r="AJ5" s="161" t="s">
        <v>137</v>
      </c>
      <c r="AL5" s="161"/>
    </row>
    <row r="6" spans="2:40">
      <c r="D6" s="73" t="s">
        <v>380</v>
      </c>
      <c r="F6" s="68" t="str">
        <v>Triggers</v>
      </c>
      <c r="H6" s="79" t="s">
        <v>371</v>
      </c>
      <c r="I6" s="151" t="s">
        <v>82</v>
      </c>
      <c r="K6" s="60" t="str">
        <v>Externo - Geral</v>
      </c>
      <c r="M6" s="79" t="s">
        <v>371</v>
      </c>
      <c r="N6" s="152" t="s">
        <v>195</v>
      </c>
      <c r="R6" s="59" t="s">
        <v>381</v>
      </c>
      <c r="V6" s="172" t="s">
        <v>68</v>
      </c>
      <c r="Z6" s="226"/>
      <c r="AD6" s="161" t="s">
        <v>354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371</v>
      </c>
      <c r="I7" s="151" t="s">
        <v>213</v>
      </c>
      <c r="K7" s="60" t="str">
        <v>Não Informou</v>
      </c>
      <c r="M7" s="79" t="s">
        <v>371</v>
      </c>
      <c r="N7" s="152" t="s">
        <v>343</v>
      </c>
      <c r="R7" s="59" t="s">
        <v>382</v>
      </c>
      <c r="V7" s="172" t="s">
        <v>317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371</v>
      </c>
      <c r="I8" s="151" t="s">
        <v>362</v>
      </c>
      <c r="K8" s="60" t="str">
        <v>CMDP - Centro Médico Dom Pedro</v>
      </c>
      <c r="M8" s="79" t="s">
        <v>371</v>
      </c>
      <c r="N8" s="152" t="s">
        <v>383</v>
      </c>
      <c r="R8" s="59" t="s">
        <v>384</v>
      </c>
      <c r="V8" s="172" t="s">
        <v>319</v>
      </c>
      <c r="AD8" s="83"/>
      <c r="AF8" s="83"/>
      <c r="AH8" s="83"/>
      <c r="AJ8" s="83"/>
      <c r="AL8" s="83"/>
    </row>
    <row r="9" spans="2:40">
      <c r="D9" s="73"/>
      <c r="F9" s="68" t="str">
        <v>Migrou do Fluxo de Negativa</v>
      </c>
      <c r="H9" s="38" t="s">
        <v>385</v>
      </c>
      <c r="I9" s="153" t="s">
        <v>386</v>
      </c>
      <c r="K9" s="60" t="str">
        <v>Outros</v>
      </c>
      <c r="M9" s="79" t="s">
        <v>371</v>
      </c>
      <c r="N9" s="152" t="s">
        <v>387</v>
      </c>
      <c r="R9" s="59" t="s">
        <v>388</v>
      </c>
      <c r="V9" s="172" t="s">
        <v>320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>
      <c r="D10" s="150"/>
      <c r="F10" s="68" t="str">
        <v>Optin</v>
      </c>
      <c r="H10" s="38" t="s">
        <v>385</v>
      </c>
      <c r="I10" s="154" t="s">
        <v>389</v>
      </c>
      <c r="K10" s="60" t="str">
        <v>Amil - Hospital Ipiranga Arujá - Ambulatório </v>
      </c>
      <c r="M10" s="79" t="s">
        <v>371</v>
      </c>
      <c r="N10" s="152" t="s">
        <v>390</v>
      </c>
      <c r="R10" s="59" t="s">
        <v>391</v>
      </c>
      <c r="V10" s="172" t="s">
        <v>135</v>
      </c>
      <c r="Z10" s="1" t="s">
        <v>46</v>
      </c>
      <c r="AA10" s="1" t="s">
        <v>270</v>
      </c>
      <c r="AD10" s="83"/>
      <c r="AF10" s="83"/>
      <c r="AJ10" s="83"/>
      <c r="AL10" s="83"/>
    </row>
    <row r="11" spans="2:40">
      <c r="F11" s="68" t="str">
        <v>Captado Total Care</v>
      </c>
      <c r="H11" s="38" t="s">
        <v>385</v>
      </c>
      <c r="I11" s="154" t="s">
        <v>392</v>
      </c>
      <c r="K11" s="60" t="str">
        <v>Amil - Hospital Ipiranga Mogi - Ambulatório </v>
      </c>
      <c r="M11" s="79" t="s">
        <v>371</v>
      </c>
      <c r="N11" s="152" t="s">
        <v>393</v>
      </c>
      <c r="R11" s="59" t="s">
        <v>394</v>
      </c>
      <c r="V11" s="172" t="s">
        <v>322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>
      <c r="F12" s="68"/>
      <c r="H12" s="38" t="s">
        <v>385</v>
      </c>
      <c r="I12" s="154" t="s">
        <v>395</v>
      </c>
      <c r="K12" s="60" t="str">
        <v>Amil - Hospital Metropolitano - Centro Médico </v>
      </c>
      <c r="M12" s="79" t="s">
        <v>371</v>
      </c>
      <c r="N12" s="152" t="s">
        <v>396</v>
      </c>
      <c r="R12" s="59" t="s">
        <v>397</v>
      </c>
      <c r="V12" s="172" t="s">
        <v>323</v>
      </c>
      <c r="Z12" s="1" t="s">
        <v>270</v>
      </c>
      <c r="AA12" s="1" t="s">
        <v>270</v>
      </c>
      <c r="AD12" s="83"/>
      <c r="AF12" s="83"/>
      <c r="AH12" s="83"/>
      <c r="AJ12" s="83"/>
      <c r="AL12" s="83"/>
    </row>
    <row r="13" spans="2:40">
      <c r="F13" s="68"/>
      <c r="H13" s="38" t="s">
        <v>385</v>
      </c>
      <c r="I13" s="154" t="s">
        <v>398</v>
      </c>
      <c r="K13" s="60" t="str">
        <v>Amil - Hospital Paulistano - Ambulatório </v>
      </c>
      <c r="M13" s="79" t="s">
        <v>371</v>
      </c>
      <c r="N13" s="152" t="s">
        <v>399</v>
      </c>
      <c r="R13" s="59" t="s">
        <v>400</v>
      </c>
      <c r="V13" s="172" t="s">
        <v>324</v>
      </c>
      <c r="Z13" s="1" t="s">
        <v>69</v>
      </c>
      <c r="AA13" s="1" t="s">
        <v>69</v>
      </c>
      <c r="AD13" s="83"/>
      <c r="AF13" s="83"/>
      <c r="AH13" s="83"/>
      <c r="AJ13" s="83"/>
      <c r="AL13" s="83"/>
    </row>
    <row r="14" spans="2:40">
      <c r="F14" s="68"/>
      <c r="H14" s="38" t="s">
        <v>385</v>
      </c>
      <c r="I14" s="58" t="s">
        <v>401</v>
      </c>
      <c r="K14" s="60" t="str">
        <v>Amil - Ud Cubatão Sp - Hospital Da Luz </v>
      </c>
      <c r="M14" s="79" t="s">
        <v>371</v>
      </c>
      <c r="N14" s="152" t="s">
        <v>128</v>
      </c>
      <c r="R14" s="59" t="s">
        <v>385</v>
      </c>
      <c r="V14" s="172" t="s">
        <v>325</v>
      </c>
      <c r="Z14" s="1" t="s">
        <v>300</v>
      </c>
      <c r="AA14" s="1" t="s">
        <v>59</v>
      </c>
      <c r="AD14" s="83"/>
      <c r="AF14" s="83"/>
      <c r="AH14" s="83"/>
      <c r="AJ14" s="83"/>
      <c r="AL14" s="83"/>
    </row>
    <row r="15" spans="2:40">
      <c r="F15" s="68"/>
      <c r="H15" s="38" t="s">
        <v>385</v>
      </c>
      <c r="I15" s="58" t="s">
        <v>402</v>
      </c>
      <c r="K15" s="60" t="str">
        <v>Amil - Unidade Avançada Carlos Chagas </v>
      </c>
      <c r="M15" s="79" t="s">
        <v>371</v>
      </c>
      <c r="N15" s="152" t="s">
        <v>403</v>
      </c>
      <c r="R15" s="59" t="s">
        <v>404</v>
      </c>
      <c r="V15" s="172" t="s">
        <v>326</v>
      </c>
      <c r="Z15" s="1" t="s">
        <v>300</v>
      </c>
      <c r="AA15" s="1" t="s">
        <v>270</v>
      </c>
      <c r="AD15" s="83"/>
      <c r="AF15" s="83"/>
      <c r="AH15" s="83"/>
      <c r="AJ15" s="83"/>
      <c r="AL15" s="83"/>
    </row>
    <row r="16" spans="2:40">
      <c r="F16" s="68"/>
      <c r="H16" s="38" t="s">
        <v>385</v>
      </c>
      <c r="I16" s="58" t="s">
        <v>405</v>
      </c>
      <c r="K16" s="60" t="str">
        <v>Amil - Unidade Avançada Luz Butantã </v>
      </c>
      <c r="M16" s="79" t="s">
        <v>371</v>
      </c>
      <c r="N16" s="152" t="s">
        <v>406</v>
      </c>
      <c r="R16" s="59" t="s">
        <v>407</v>
      </c>
      <c r="V16" s="172" t="s">
        <v>327</v>
      </c>
      <c r="Z16" s="1" t="s">
        <v>300</v>
      </c>
      <c r="AA16" s="1" t="s">
        <v>69</v>
      </c>
      <c r="AD16" s="83"/>
      <c r="AF16" s="83"/>
      <c r="AH16" s="83"/>
      <c r="AJ16" s="83"/>
      <c r="AL16" s="83"/>
    </row>
    <row r="17" spans="6:38">
      <c r="F17" s="68"/>
      <c r="H17" s="38" t="s">
        <v>385</v>
      </c>
      <c r="I17" s="58" t="s">
        <v>408</v>
      </c>
      <c r="K17" s="60" t="str">
        <v>Amil - Unidade Avançada Luz Joao Dias </v>
      </c>
      <c r="M17" s="79" t="s">
        <v>371</v>
      </c>
      <c r="N17" s="152" t="s">
        <v>409</v>
      </c>
      <c r="R17" s="59" t="s">
        <v>64</v>
      </c>
      <c r="V17" s="172" t="s">
        <v>328</v>
      </c>
      <c r="AD17" s="83"/>
      <c r="AF17" s="83"/>
      <c r="AH17" s="83"/>
      <c r="AJ17" s="83"/>
      <c r="AL17" s="83"/>
    </row>
    <row r="18" spans="6:38">
      <c r="F18" s="68"/>
      <c r="H18" s="38" t="s">
        <v>385</v>
      </c>
      <c r="I18" s="58" t="s">
        <v>410</v>
      </c>
      <c r="K18" s="60" t="str">
        <v>Amil - Unidade Avançada Vitoria </v>
      </c>
      <c r="M18" s="79" t="s">
        <v>371</v>
      </c>
      <c r="N18" s="152" t="s">
        <v>411</v>
      </c>
      <c r="R18" s="59" t="s">
        <v>412</v>
      </c>
      <c r="V18" s="172" t="s">
        <v>329</v>
      </c>
      <c r="AD18" s="83"/>
      <c r="AF18" s="83"/>
      <c r="AH18" s="83"/>
      <c r="AJ18" s="83"/>
      <c r="AL18" s="83"/>
    </row>
    <row r="19" spans="6:38">
      <c r="F19" s="68"/>
      <c r="H19" s="38" t="s">
        <v>385</v>
      </c>
      <c r="I19" s="58" t="s">
        <v>413</v>
      </c>
      <c r="K19" s="60" t="str">
        <v>Amil Espaço Saúde - Ana Rosa </v>
      </c>
      <c r="M19" s="79" t="s">
        <v>371</v>
      </c>
      <c r="N19" s="152" t="s">
        <v>414</v>
      </c>
      <c r="R19" s="59" t="s">
        <v>415</v>
      </c>
      <c r="V19" s="172" t="s">
        <v>330</v>
      </c>
      <c r="AD19" s="83"/>
      <c r="AF19" s="83"/>
      <c r="AH19" s="83"/>
      <c r="AJ19" s="83"/>
      <c r="AL19" s="83"/>
    </row>
    <row r="20" spans="6:38">
      <c r="F20" s="68"/>
      <c r="H20" s="38" t="s">
        <v>385</v>
      </c>
      <c r="I20" s="58" t="s">
        <v>416</v>
      </c>
      <c r="K20" s="60" t="str">
        <v>Amil Espaço Saúde - Botafogo </v>
      </c>
      <c r="M20" s="79" t="s">
        <v>371</v>
      </c>
      <c r="N20" s="152" t="s">
        <v>417</v>
      </c>
      <c r="R20" s="59" t="s">
        <v>418</v>
      </c>
      <c r="V20" s="172" t="s">
        <v>331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419</v>
      </c>
      <c r="AD20" s="83"/>
      <c r="AF20" s="83"/>
      <c r="AH20" s="83"/>
      <c r="AJ20" s="83"/>
      <c r="AL20" s="83"/>
    </row>
    <row r="21" spans="6:38">
      <c r="F21" s="68"/>
      <c r="H21" s="38" t="s">
        <v>385</v>
      </c>
      <c r="I21" s="58" t="s">
        <v>420</v>
      </c>
      <c r="K21" s="60" t="str">
        <v>Amil Espaço Saúde - Campo Grande </v>
      </c>
      <c r="M21" s="79" t="s">
        <v>371</v>
      </c>
      <c r="N21" s="152" t="s">
        <v>421</v>
      </c>
      <c r="R21" s="59" t="s">
        <v>422</v>
      </c>
      <c r="V21" s="172" t="s">
        <v>332</v>
      </c>
      <c r="AA21" s="1" t="str">
        <v>Inativo</v>
      </c>
      <c r="AB21" s="1" t="s">
        <v>419</v>
      </c>
      <c r="AD21" s="83"/>
      <c r="AF21" s="83"/>
      <c r="AH21" s="83"/>
      <c r="AJ21" s="83"/>
      <c r="AL21" s="83"/>
    </row>
    <row r="22" spans="6:38">
      <c r="F22" s="68"/>
      <c r="H22" s="38" t="s">
        <v>385</v>
      </c>
      <c r="I22" s="58" t="s">
        <v>423</v>
      </c>
      <c r="K22" s="60" t="str">
        <v>Amil Espaço Saúde - Caxias </v>
      </c>
      <c r="M22" s="79" t="s">
        <v>371</v>
      </c>
      <c r="N22" s="152" t="s">
        <v>424</v>
      </c>
      <c r="R22" s="59" t="s">
        <v>425</v>
      </c>
      <c r="V22" s="172" t="s">
        <v>333</v>
      </c>
      <c r="AA22" s="1" t="str">
        <v>Fora da Linha</v>
      </c>
      <c r="AB22" s="1" t="s">
        <v>419</v>
      </c>
      <c r="AD22" s="83"/>
      <c r="AF22" s="83"/>
      <c r="AH22" s="83"/>
      <c r="AJ22" s="83"/>
      <c r="AL22" s="83"/>
    </row>
    <row r="23" spans="6:38">
      <c r="F23" s="68"/>
      <c r="H23" s="38" t="s">
        <v>385</v>
      </c>
      <c r="I23" s="58" t="s">
        <v>426</v>
      </c>
      <c r="K23" s="60" t="str">
        <v>Amil Espaço Saúde - Guarulhos </v>
      </c>
      <c r="M23" s="79" t="s">
        <v>371</v>
      </c>
      <c r="N23" s="152" t="s">
        <v>427</v>
      </c>
      <c r="R23" s="59" t="s">
        <v>428</v>
      </c>
      <c r="V23" s="172" t="s">
        <v>118</v>
      </c>
      <c r="AB23" s="1" t="s">
        <v>419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385</v>
      </c>
      <c r="I24" s="58" t="s">
        <v>429</v>
      </c>
      <c r="K24" s="60" t="str">
        <v>Amil Espaço Saúde - Niterói </v>
      </c>
      <c r="M24" s="79" t="s">
        <v>371</v>
      </c>
      <c r="N24" s="152" t="s">
        <v>430</v>
      </c>
      <c r="R24" s="61" t="s">
        <v>431</v>
      </c>
      <c r="V24" s="172" t="s">
        <v>269</v>
      </c>
      <c r="AD24" s="83"/>
      <c r="AF24" s="83"/>
      <c r="AH24" s="83"/>
      <c r="AJ24" s="83"/>
      <c r="AL24" s="83"/>
    </row>
    <row r="25" spans="6:38">
      <c r="F25" s="68"/>
      <c r="H25" s="38" t="s">
        <v>385</v>
      </c>
      <c r="I25" s="58" t="s">
        <v>432</v>
      </c>
      <c r="K25" s="60" t="str">
        <v>Amil Espaço Saúde - Nova Iguaçu </v>
      </c>
      <c r="M25" s="79" t="s">
        <v>371</v>
      </c>
      <c r="N25" s="152" t="s">
        <v>433</v>
      </c>
      <c r="V25" s="172" t="s">
        <v>334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385</v>
      </c>
      <c r="I26" s="58" t="s">
        <v>434</v>
      </c>
      <c r="K26" s="60" t="str">
        <v>Amil Espaço Saúde - Osasco </v>
      </c>
      <c r="M26" s="79" t="s">
        <v>371</v>
      </c>
      <c r="N26" s="152" t="s">
        <v>435</v>
      </c>
      <c r="V26" s="173" t="s">
        <v>335</v>
      </c>
      <c r="AD26" s="83"/>
      <c r="AF26" s="83"/>
      <c r="AH26" s="83"/>
      <c r="AJ26" s="83"/>
      <c r="AL26" s="83"/>
    </row>
    <row r="27" spans="6:38">
      <c r="F27" s="68"/>
      <c r="H27" s="38" t="s">
        <v>385</v>
      </c>
      <c r="I27" s="58" t="s">
        <v>436</v>
      </c>
      <c r="K27" s="60" t="str">
        <v>Amil Espaço Saúde - Santana </v>
      </c>
      <c r="M27" s="79" t="s">
        <v>371</v>
      </c>
      <c r="N27" s="152" t="s">
        <v>437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385</v>
      </c>
      <c r="I28" s="58" t="s">
        <v>438</v>
      </c>
      <c r="K28" s="60" t="str">
        <v>Amil Espaço Saúde - Tijuca </v>
      </c>
      <c r="M28" s="79" t="s">
        <v>371</v>
      </c>
      <c r="N28" s="152" t="s">
        <v>439</v>
      </c>
      <c r="Z28" s="1" t="s">
        <v>59</v>
      </c>
    </row>
    <row r="29" spans="6:38">
      <c r="F29" s="68"/>
      <c r="H29" s="38" t="s">
        <v>385</v>
      </c>
      <c r="I29" s="58" t="s">
        <v>440</v>
      </c>
      <c r="K29" s="60" t="str">
        <v>Amil Telemedicina </v>
      </c>
      <c r="M29" s="79" t="s">
        <v>371</v>
      </c>
      <c r="N29" s="152" t="s">
        <v>441</v>
      </c>
      <c r="Z29" s="1" t="s">
        <v>270</v>
      </c>
    </row>
    <row r="30" spans="6:38">
      <c r="F30" s="68"/>
      <c r="H30" s="38" t="s">
        <v>385</v>
      </c>
      <c r="I30" s="58" t="s">
        <v>442</v>
      </c>
      <c r="K30" s="60" t="str">
        <v>Centro Médico Jardim </v>
      </c>
      <c r="M30" s="79" t="s">
        <v>371</v>
      </c>
      <c r="N30" s="152" t="s">
        <v>443</v>
      </c>
      <c r="Z30" s="1" t="s">
        <v>69</v>
      </c>
    </row>
    <row r="31" spans="6:38">
      <c r="F31" s="68"/>
      <c r="H31" s="38" t="s">
        <v>385</v>
      </c>
      <c r="I31" s="58" t="s">
        <v>444</v>
      </c>
      <c r="K31" s="60" t="str">
        <v>Centro Médico Joao Azevedo - Sbc  II</v>
      </c>
      <c r="M31" s="79" t="s">
        <v>371</v>
      </c>
      <c r="N31" s="152" t="s">
        <v>445</v>
      </c>
      <c r="Z31" s="1" t="s">
        <v>300</v>
      </c>
    </row>
    <row r="32" spans="6:38">
      <c r="F32" s="68"/>
      <c r="H32" s="38" t="s">
        <v>385</v>
      </c>
      <c r="I32" s="58" t="s">
        <v>446</v>
      </c>
      <c r="K32" s="60" t="str">
        <v>Centro Médico João Azevedo - Sbc I  </v>
      </c>
      <c r="M32" s="79" t="s">
        <v>371</v>
      </c>
      <c r="N32" s="152" t="s">
        <v>447</v>
      </c>
    </row>
    <row r="33" spans="6:14">
      <c r="F33" s="68"/>
      <c r="H33" s="38" t="s">
        <v>385</v>
      </c>
      <c r="I33" s="58" t="s">
        <v>448</v>
      </c>
      <c r="K33" s="60" t="str">
        <v>Centro Médico Luiz Ferreira - Sbc </v>
      </c>
      <c r="M33" s="79" t="s">
        <v>371</v>
      </c>
      <c r="N33" s="152" t="s">
        <v>449</v>
      </c>
    </row>
    <row r="34" spans="6:14">
      <c r="F34" s="68"/>
      <c r="H34" s="38" t="s">
        <v>385</v>
      </c>
      <c r="I34" s="58" t="s">
        <v>450</v>
      </c>
      <c r="K34" s="60" t="str">
        <v>Centro Médico - Samaritano Higienópolis </v>
      </c>
      <c r="M34" s="79" t="s">
        <v>371</v>
      </c>
      <c r="N34" s="152" t="s">
        <v>451</v>
      </c>
    </row>
    <row r="35" spans="6:14">
      <c r="F35" s="68"/>
      <c r="H35" s="38" t="s">
        <v>385</v>
      </c>
      <c r="I35" s="58" t="s">
        <v>452</v>
      </c>
      <c r="K35" s="60" t="str">
        <v>Centro Médico Hospital São Lucas </v>
      </c>
      <c r="M35" s="79" t="s">
        <v>371</v>
      </c>
      <c r="N35" s="152" t="s">
        <v>453</v>
      </c>
    </row>
    <row r="36" spans="6:14">
      <c r="F36" s="68"/>
      <c r="H36" s="38" t="s">
        <v>385</v>
      </c>
      <c r="I36" s="58" t="s">
        <v>454</v>
      </c>
      <c r="K36" s="60" t="str">
        <v>Hospital Alvorada Ambulatório Arapanés </v>
      </c>
      <c r="M36" s="79" t="s">
        <v>371</v>
      </c>
      <c r="N36" s="152" t="s">
        <v>455</v>
      </c>
    </row>
    <row r="37" spans="6:14">
      <c r="F37" s="68"/>
      <c r="H37" s="38" t="s">
        <v>385</v>
      </c>
      <c r="I37" s="58" t="s">
        <v>456</v>
      </c>
      <c r="K37" s="60" t="str">
        <v>Hospital Alvorada Moema </v>
      </c>
      <c r="M37" s="79" t="s">
        <v>371</v>
      </c>
      <c r="N37" s="152" t="s">
        <v>457</v>
      </c>
    </row>
    <row r="38" spans="6:14">
      <c r="F38" s="68"/>
      <c r="H38" s="38" t="s">
        <v>385</v>
      </c>
      <c r="I38" s="58" t="s">
        <v>458</v>
      </c>
      <c r="K38" s="60" t="str">
        <v>Hospital Américas - Ambulatório </v>
      </c>
      <c r="M38" s="79" t="s">
        <v>371</v>
      </c>
      <c r="N38" s="152" t="s">
        <v>459</v>
      </c>
    </row>
    <row r="39" spans="6:14">
      <c r="F39" s="68"/>
      <c r="H39" s="38" t="s">
        <v>385</v>
      </c>
      <c r="I39" s="58" t="s">
        <v>460</v>
      </c>
      <c r="K39" s="60" t="str">
        <v>Hospital Samaritano Paulista - Ambulatório </v>
      </c>
      <c r="M39" s="79" t="s">
        <v>371</v>
      </c>
      <c r="N39" s="152" t="s">
        <v>461</v>
      </c>
    </row>
    <row r="40" spans="6:14">
      <c r="F40" s="68"/>
      <c r="H40" s="38" t="s">
        <v>385</v>
      </c>
      <c r="I40" s="58" t="s">
        <v>462</v>
      </c>
      <c r="K40" s="60" t="str">
        <v>Amil Espaço Saúde - Tatuapé</v>
      </c>
      <c r="M40" s="38" t="s">
        <v>385</v>
      </c>
      <c r="N40" s="58" t="s">
        <v>463</v>
      </c>
    </row>
    <row r="41" spans="6:14">
      <c r="F41" s="68"/>
      <c r="H41" s="38" t="s">
        <v>385</v>
      </c>
      <c r="I41" s="58" t="s">
        <v>464</v>
      </c>
      <c r="K41" s="60" t="str">
        <v>Amil Espaço Saúde - Santo Amaro</v>
      </c>
      <c r="M41" s="38" t="s">
        <v>385</v>
      </c>
      <c r="N41" s="58" t="s">
        <v>465</v>
      </c>
    </row>
    <row r="42" spans="6:14">
      <c r="F42" s="68"/>
      <c r="H42" s="38" t="s">
        <v>385</v>
      </c>
      <c r="I42" s="58" t="s">
        <v>466</v>
      </c>
      <c r="K42" s="60" t="str">
        <v>Amil Espaço Saúde - Guarulhos</v>
      </c>
      <c r="M42" s="38" t="s">
        <v>385</v>
      </c>
      <c r="N42" s="58" t="s">
        <v>467</v>
      </c>
    </row>
    <row r="43" spans="6:14">
      <c r="F43" s="68"/>
      <c r="H43" s="38" t="s">
        <v>385</v>
      </c>
      <c r="I43" s="58" t="s">
        <v>468</v>
      </c>
      <c r="K43" s="60" t="str">
        <v xml:space="preserve">Amil Espaço Saúde - Santa Helena </v>
      </c>
      <c r="M43" s="38" t="s">
        <v>385</v>
      </c>
      <c r="N43" s="58" t="s">
        <v>469</v>
      </c>
    </row>
    <row r="44" spans="6:14">
      <c r="F44" s="68"/>
      <c r="H44" s="38" t="s">
        <v>385</v>
      </c>
      <c r="I44" s="58" t="s">
        <v>470</v>
      </c>
      <c r="K44" s="60" t="str">
        <v>Hospital Samaritano - Não Especificado</v>
      </c>
      <c r="M44" s="38" t="s">
        <v>385</v>
      </c>
      <c r="N44" s="58" t="s">
        <v>471</v>
      </c>
    </row>
    <row r="45" spans="6:14">
      <c r="F45" s="68"/>
      <c r="H45" s="38" t="s">
        <v>385</v>
      </c>
      <c r="I45" s="58" t="s">
        <v>472</v>
      </c>
      <c r="K45" s="60" t="str">
        <v>SUS</v>
      </c>
      <c r="M45" s="38" t="s">
        <v>385</v>
      </c>
      <c r="N45" s="58" t="s">
        <v>473</v>
      </c>
    </row>
    <row r="46" spans="6:14">
      <c r="F46" s="68"/>
      <c r="H46" s="79" t="s">
        <v>371</v>
      </c>
      <c r="I46" s="79" t="s">
        <v>156</v>
      </c>
      <c r="K46" s="60"/>
      <c r="M46" s="38" t="s">
        <v>385</v>
      </c>
      <c r="N46" s="58" t="s">
        <v>474</v>
      </c>
    </row>
    <row r="47" spans="6:14">
      <c r="F47" s="68"/>
      <c r="H47" s="79" t="s">
        <v>371</v>
      </c>
      <c r="I47" s="151" t="s">
        <v>475</v>
      </c>
      <c r="K47" s="60"/>
      <c r="M47" s="38" t="s">
        <v>385</v>
      </c>
      <c r="N47" s="58" t="s">
        <v>476</v>
      </c>
    </row>
    <row r="48" spans="6:14">
      <c r="F48" s="68"/>
      <c r="H48" s="231" t="s">
        <v>385</v>
      </c>
      <c r="I48" s="232" t="s">
        <v>477</v>
      </c>
      <c r="K48" s="60"/>
      <c r="M48" s="38" t="s">
        <v>385</v>
      </c>
      <c r="N48" s="58" t="s">
        <v>478</v>
      </c>
    </row>
    <row r="49" spans="6:14">
      <c r="F49" s="68"/>
      <c r="H49" s="233" t="s">
        <v>371</v>
      </c>
      <c r="I49" s="234" t="s">
        <v>477</v>
      </c>
      <c r="K49" s="60"/>
      <c r="M49" s="38" t="s">
        <v>385</v>
      </c>
      <c r="N49" s="58" t="s">
        <v>479</v>
      </c>
    </row>
    <row r="50" spans="6:14">
      <c r="F50" s="68"/>
      <c r="I50" s="62"/>
      <c r="K50" s="60"/>
      <c r="M50" s="38" t="s">
        <v>385</v>
      </c>
      <c r="N50" s="58" t="s">
        <v>480</v>
      </c>
    </row>
    <row r="51" spans="6:14">
      <c r="F51" s="68"/>
      <c r="I51" s="62"/>
      <c r="K51" s="60"/>
      <c r="M51" s="38" t="s">
        <v>385</v>
      </c>
      <c r="N51" s="58" t="s">
        <v>481</v>
      </c>
    </row>
    <row r="52" spans="6:14">
      <c r="F52" s="68"/>
      <c r="I52" s="62"/>
      <c r="K52" s="60"/>
      <c r="M52" s="38" t="s">
        <v>385</v>
      </c>
      <c r="N52" s="58" t="s">
        <v>482</v>
      </c>
    </row>
    <row r="53" spans="6:14">
      <c r="F53" s="68"/>
      <c r="I53" s="62"/>
      <c r="K53" s="60"/>
      <c r="M53" s="38" t="s">
        <v>385</v>
      </c>
      <c r="N53" s="58" t="s">
        <v>483</v>
      </c>
    </row>
    <row r="54" spans="6:14" ht="15" thickBot="1">
      <c r="F54" s="69"/>
      <c r="G54" s="64"/>
      <c r="H54" s="64"/>
      <c r="I54" s="65"/>
      <c r="K54" s="63"/>
      <c r="L54" s="64"/>
      <c r="M54" s="38" t="s">
        <v>385</v>
      </c>
      <c r="N54" s="58" t="s">
        <v>484</v>
      </c>
    </row>
    <row r="55" spans="6:14" ht="15" thickBot="1">
      <c r="M55" s="157" t="s">
        <v>385</v>
      </c>
      <c r="N55" s="158" t="s">
        <v>383</v>
      </c>
    </row>
    <row r="56" spans="6:14">
      <c r="M56" s="201" t="s">
        <v>371</v>
      </c>
      <c r="N56" s="202" t="s">
        <v>485</v>
      </c>
    </row>
    <row r="57" spans="6:14">
      <c r="M57" s="201" t="s">
        <v>371</v>
      </c>
      <c r="N57" s="202" t="s">
        <v>486</v>
      </c>
    </row>
    <row r="58" spans="6:14">
      <c r="M58" s="201" t="s">
        <v>371</v>
      </c>
      <c r="N58" s="202" t="s">
        <v>487</v>
      </c>
    </row>
    <row r="59" spans="6:14">
      <c r="M59" s="201" t="s">
        <v>371</v>
      </c>
      <c r="N59" s="203" t="s">
        <v>488</v>
      </c>
    </row>
    <row r="60" spans="6:14">
      <c r="M60" s="201" t="s">
        <v>371</v>
      </c>
      <c r="N60" s="204" t="s">
        <v>489</v>
      </c>
    </row>
    <row r="61" spans="6:14">
      <c r="M61" s="201" t="s">
        <v>371</v>
      </c>
      <c r="N61" s="204" t="s">
        <v>490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491</v>
      </c>
      <c r="AF1" s="15" t="s">
        <v>492</v>
      </c>
      <c r="AG1" s="16" t="s">
        <v>35</v>
      </c>
    </row>
    <row r="2" spans="1:33">
      <c r="A2" s="17" t="s">
        <v>47</v>
      </c>
      <c r="B2" s="3"/>
      <c r="C2" s="3" t="s">
        <v>493</v>
      </c>
      <c r="D2" s="18" t="s">
        <v>392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62</v>
      </c>
      <c r="AA2" s="20"/>
      <c r="AB2" s="3" t="s">
        <v>356</v>
      </c>
      <c r="AC2" s="3"/>
      <c r="AD2" s="3" t="s">
        <v>80</v>
      </c>
      <c r="AE2" s="3"/>
      <c r="AF2" s="3" t="s">
        <v>494</v>
      </c>
      <c r="AG2" s="17" t="s">
        <v>234</v>
      </c>
    </row>
    <row r="3" spans="1:33">
      <c r="A3" s="17" t="s">
        <v>137</v>
      </c>
      <c r="B3" s="3"/>
      <c r="C3" s="3" t="s">
        <v>466</v>
      </c>
      <c r="D3" s="18" t="s">
        <v>361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310</v>
      </c>
      <c r="R3" s="3"/>
      <c r="S3" s="3"/>
      <c r="T3" s="3" t="s">
        <v>119</v>
      </c>
      <c r="U3" s="3" t="s">
        <v>270</v>
      </c>
      <c r="V3" s="3"/>
      <c r="W3" s="3"/>
      <c r="X3" s="3"/>
      <c r="Y3" s="3"/>
      <c r="Z3" s="3" t="s">
        <v>89</v>
      </c>
      <c r="AA3" s="3"/>
      <c r="AB3" s="3" t="s">
        <v>357</v>
      </c>
      <c r="AC3" s="3"/>
      <c r="AD3" s="3" t="s">
        <v>105</v>
      </c>
      <c r="AE3" s="3"/>
      <c r="AF3" s="3" t="s">
        <v>495</v>
      </c>
      <c r="AG3" s="17" t="s">
        <v>124</v>
      </c>
    </row>
    <row r="4" spans="1:33">
      <c r="A4" s="3"/>
      <c r="B4" s="3"/>
      <c r="C4" s="3" t="s">
        <v>496</v>
      </c>
      <c r="D4" s="18" t="s">
        <v>82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312</v>
      </c>
      <c r="R4" s="3"/>
      <c r="S4" s="3"/>
      <c r="T4" s="3" t="s">
        <v>376</v>
      </c>
      <c r="U4" s="3"/>
      <c r="V4" s="3"/>
      <c r="W4" s="3"/>
      <c r="X4" s="3"/>
      <c r="Y4" s="3"/>
      <c r="Z4" s="3" t="s">
        <v>63</v>
      </c>
      <c r="AA4" s="3"/>
      <c r="AB4" s="21" t="s">
        <v>177</v>
      </c>
      <c r="AC4" s="3"/>
      <c r="AD4" s="3" t="s">
        <v>216</v>
      </c>
      <c r="AE4" s="3"/>
      <c r="AF4" s="3" t="s">
        <v>497</v>
      </c>
      <c r="AG4" s="17" t="s">
        <v>137</v>
      </c>
    </row>
    <row r="5" spans="1:33">
      <c r="M5" s="1"/>
      <c r="O5" s="1"/>
      <c r="Q5" s="22" t="s">
        <v>314</v>
      </c>
      <c r="AB5" s="3" t="s">
        <v>63</v>
      </c>
      <c r="AF5" t="s">
        <v>498</v>
      </c>
    </row>
    <row r="6" spans="1:33">
      <c r="M6" s="1"/>
      <c r="O6" s="1"/>
      <c r="Q6" s="23" t="s">
        <v>68</v>
      </c>
      <c r="AF6" t="s">
        <v>499</v>
      </c>
    </row>
    <row r="7" spans="1:33">
      <c r="M7" s="1"/>
      <c r="O7" s="1"/>
      <c r="Q7" s="23" t="s">
        <v>317</v>
      </c>
      <c r="AF7" t="s">
        <v>500</v>
      </c>
    </row>
    <row r="8" spans="1:33">
      <c r="M8" s="1"/>
      <c r="O8" s="1"/>
      <c r="Q8" s="23" t="s">
        <v>319</v>
      </c>
      <c r="AF8" t="s">
        <v>501</v>
      </c>
    </row>
    <row r="9" spans="1:33">
      <c r="M9" s="1"/>
      <c r="O9" s="1"/>
      <c r="Q9" s="23" t="s">
        <v>320</v>
      </c>
      <c r="AF9" t="s">
        <v>502</v>
      </c>
    </row>
    <row r="10" spans="1:33">
      <c r="M10" s="1"/>
      <c r="O10" s="1"/>
      <c r="Q10" s="23" t="s">
        <v>135</v>
      </c>
      <c r="AF10" t="s">
        <v>503</v>
      </c>
      <c r="AG10" t="s">
        <v>504</v>
      </c>
    </row>
    <row r="11" spans="1:33">
      <c r="M11" s="1"/>
      <c r="O11" s="1"/>
      <c r="Q11" s="23" t="s">
        <v>322</v>
      </c>
      <c r="AF11" t="s">
        <v>505</v>
      </c>
    </row>
    <row r="12" spans="1:33">
      <c r="M12" s="1"/>
      <c r="O12" s="1"/>
      <c r="Q12" s="23" t="s">
        <v>323</v>
      </c>
    </row>
    <row r="13" spans="1:33">
      <c r="M13" s="1"/>
      <c r="O13" s="1"/>
      <c r="Q13" s="23" t="s">
        <v>324</v>
      </c>
    </row>
    <row r="14" spans="1:33">
      <c r="M14" s="1"/>
      <c r="O14" s="1"/>
      <c r="Q14" s="23" t="s">
        <v>325</v>
      </c>
    </row>
    <row r="15" spans="1:33">
      <c r="M15" s="1"/>
      <c r="O15" s="1"/>
      <c r="Q15" s="23" t="s">
        <v>326</v>
      </c>
    </row>
    <row r="16" spans="1:33">
      <c r="M16" s="1"/>
      <c r="O16" s="1"/>
      <c r="Q16" s="23" t="s">
        <v>327</v>
      </c>
    </row>
    <row r="17" spans="13:33">
      <c r="M17" s="1"/>
      <c r="O17" s="1"/>
      <c r="Q17" s="23" t="s">
        <v>328</v>
      </c>
      <c r="AF17" t="s">
        <v>506</v>
      </c>
    </row>
    <row r="18" spans="13:33" ht="43.15">
      <c r="M18" s="1"/>
      <c r="O18" s="1"/>
      <c r="Q18" s="23" t="s">
        <v>329</v>
      </c>
      <c r="AF18" s="24" t="s">
        <v>492</v>
      </c>
      <c r="AG18" s="24" t="s">
        <v>368</v>
      </c>
    </row>
    <row r="19" spans="13:33">
      <c r="M19" s="1"/>
      <c r="O19" s="1"/>
      <c r="Q19" s="23" t="s">
        <v>330</v>
      </c>
      <c r="AF19" t="s">
        <v>507</v>
      </c>
      <c r="AG19" t="s">
        <v>47</v>
      </c>
    </row>
    <row r="20" spans="13:33">
      <c r="M20" s="1"/>
      <c r="O20" s="1"/>
      <c r="Q20" s="23" t="s">
        <v>331</v>
      </c>
      <c r="AF20" t="s">
        <v>508</v>
      </c>
      <c r="AG20" t="s">
        <v>137</v>
      </c>
    </row>
    <row r="21" spans="13:33">
      <c r="M21" s="1"/>
      <c r="O21" s="1"/>
      <c r="Q21" s="23" t="s">
        <v>332</v>
      </c>
      <c r="AG21" t="s">
        <v>509</v>
      </c>
    </row>
    <row r="22" spans="13:33">
      <c r="M22" s="1"/>
      <c r="O22" s="1"/>
      <c r="Q22" s="23" t="s">
        <v>333</v>
      </c>
    </row>
    <row r="23" spans="13:33">
      <c r="M23" s="1"/>
      <c r="O23" s="1"/>
      <c r="Q23" s="23" t="s">
        <v>118</v>
      </c>
    </row>
    <row r="24" spans="13:33">
      <c r="M24" s="1"/>
      <c r="O24" s="1"/>
      <c r="Q24" s="23" t="s">
        <v>269</v>
      </c>
    </row>
    <row r="25" spans="13:33">
      <c r="M25" s="1"/>
      <c r="O25" s="1"/>
      <c r="Q25" s="23" t="s">
        <v>334</v>
      </c>
    </row>
    <row r="26" spans="13:33">
      <c r="M26" s="1"/>
      <c r="O26" s="1"/>
      <c r="Q26" s="23" t="s">
        <v>335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DDEE90B0-5810-4985-9892-603D6D77939D}"/>
</file>

<file path=customXml/itemProps3.xml><?xml version="1.0" encoding="utf-8"?>
<ds:datastoreItem xmlns:ds="http://schemas.openxmlformats.org/officeDocument/2006/customXml" ds:itemID="{7C7276F3-723F-45C7-96FF-74194C59BEA3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2026-06-18T11:27:48Z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