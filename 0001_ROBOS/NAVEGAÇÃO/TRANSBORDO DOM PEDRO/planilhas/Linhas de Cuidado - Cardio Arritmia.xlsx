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24" documentId="8_{934DE081-6835-42C8-A318-5D83D1296085}" xr6:coauthVersionLast="47" xr6:coauthVersionMax="47" xr10:uidLastSave="{91818B62-0751-4DE5-9E3D-15BB403A3A9A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Consolidado!$A$1:$AU$240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0" i="32" l="1"/>
  <c r="AN130" i="32"/>
  <c r="AO130" i="32"/>
  <c r="AP130" i="32"/>
  <c r="AU130" i="32"/>
  <c r="AM129" i="32"/>
  <c r="AN129" i="32"/>
  <c r="AO129" i="32"/>
  <c r="AP129" i="32"/>
  <c r="AU129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S196" i="32" s="1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123" i="32"/>
  <c r="AN123" i="32"/>
  <c r="AO123" i="32"/>
  <c r="AP123" i="32"/>
  <c r="AM124" i="32"/>
  <c r="AN124" i="32"/>
  <c r="AO124" i="32"/>
  <c r="AP124" i="32"/>
  <c r="AQ130" i="32" l="1"/>
  <c r="AR130" i="32"/>
  <c r="AS130" i="32"/>
  <c r="AT130" i="32"/>
  <c r="AQ129" i="32"/>
  <c r="AR129" i="32"/>
  <c r="AS129" i="32"/>
  <c r="AT129" i="32"/>
  <c r="AQ125" i="32"/>
  <c r="AS125" i="32"/>
  <c r="AT125" i="32"/>
  <c r="AR125" i="32"/>
  <c r="AT126" i="32"/>
  <c r="AS126" i="32"/>
  <c r="AR126" i="32"/>
  <c r="AQ126" i="32"/>
  <c r="AQ127" i="32"/>
  <c r="AR127" i="32"/>
  <c r="AS127" i="32"/>
  <c r="AT127" i="32"/>
  <c r="AT128" i="32"/>
  <c r="AS128" i="32"/>
  <c r="AR128" i="32"/>
  <c r="AQ128" i="32"/>
  <c r="AT131" i="32"/>
  <c r="AS131" i="32"/>
  <c r="AR131" i="32"/>
  <c r="AQ131" i="32"/>
  <c r="AQ132" i="32"/>
  <c r="AR132" i="32"/>
  <c r="AT132" i="32"/>
  <c r="AS132" i="32"/>
  <c r="AT133" i="32"/>
  <c r="AS133" i="32"/>
  <c r="AQ133" i="32"/>
  <c r="AR133" i="32"/>
  <c r="AR134" i="32"/>
  <c r="AS134" i="32"/>
  <c r="AT134" i="32"/>
  <c r="AQ134" i="32"/>
  <c r="AR135" i="32"/>
  <c r="AS135" i="32"/>
  <c r="AT135" i="32"/>
  <c r="AQ135" i="32"/>
  <c r="AT136" i="32"/>
  <c r="AS136" i="32"/>
  <c r="AR136" i="32"/>
  <c r="AQ136" i="32"/>
  <c r="AQ137" i="32"/>
  <c r="AS137" i="32"/>
  <c r="AT137" i="32"/>
  <c r="AR137" i="32"/>
  <c r="AS138" i="32"/>
  <c r="AR138" i="32"/>
  <c r="AT138" i="32"/>
  <c r="AQ138" i="32"/>
  <c r="AQ139" i="32"/>
  <c r="AR139" i="32"/>
  <c r="AS139" i="32"/>
  <c r="AT139" i="32"/>
  <c r="AS140" i="32"/>
  <c r="AQ140" i="32"/>
  <c r="AT140" i="32"/>
  <c r="AR140" i="32"/>
  <c r="AT141" i="32"/>
  <c r="AS141" i="32"/>
  <c r="AR141" i="32"/>
  <c r="AQ141" i="32"/>
  <c r="AS142" i="32"/>
  <c r="AR142" i="32"/>
  <c r="AQ142" i="32"/>
  <c r="AT142" i="32"/>
  <c r="AQ143" i="32"/>
  <c r="AS143" i="32"/>
  <c r="AT143" i="32"/>
  <c r="AR143" i="32"/>
  <c r="AQ144" i="32"/>
  <c r="AS144" i="32"/>
  <c r="AR144" i="32"/>
  <c r="AT144" i="32"/>
  <c r="AQ145" i="32"/>
  <c r="AR145" i="32"/>
  <c r="AS145" i="32"/>
  <c r="AT145" i="32"/>
  <c r="AR146" i="32"/>
  <c r="AT146" i="32"/>
  <c r="AS146" i="32"/>
  <c r="AQ146" i="32"/>
  <c r="AT147" i="32"/>
  <c r="AR147" i="32"/>
  <c r="AS147" i="32"/>
  <c r="AQ147" i="32"/>
  <c r="AT148" i="32"/>
  <c r="AQ148" i="32"/>
  <c r="AR148" i="32"/>
  <c r="AS148" i="32"/>
  <c r="AS149" i="32"/>
  <c r="AT149" i="32"/>
  <c r="AQ149" i="32"/>
  <c r="AR149" i="32"/>
  <c r="AQ150" i="32"/>
  <c r="AS150" i="32"/>
  <c r="AT150" i="32"/>
  <c r="AR150" i="32"/>
  <c r="AT151" i="32"/>
  <c r="AS151" i="32"/>
  <c r="AR151" i="32"/>
  <c r="AQ151" i="32"/>
  <c r="AT152" i="32"/>
  <c r="AQ152" i="32"/>
  <c r="AS152" i="32"/>
  <c r="AR152" i="32"/>
  <c r="AS153" i="32"/>
  <c r="AT153" i="32"/>
  <c r="AR153" i="32"/>
  <c r="AQ153" i="32"/>
  <c r="AQ154" i="32"/>
  <c r="AR154" i="32"/>
  <c r="AT154" i="32"/>
  <c r="AS154" i="32"/>
  <c r="AQ155" i="32"/>
  <c r="AT155" i="32"/>
  <c r="AS155" i="32"/>
  <c r="AR155" i="32"/>
  <c r="AR156" i="32"/>
  <c r="AT156" i="32"/>
  <c r="AQ156" i="32"/>
  <c r="AS156" i="32"/>
  <c r="AT157" i="32"/>
  <c r="AS157" i="32"/>
  <c r="AQ157" i="32"/>
  <c r="AR157" i="32"/>
  <c r="AS158" i="32"/>
  <c r="AT158" i="32"/>
  <c r="AR158" i="32"/>
  <c r="AQ158" i="32"/>
  <c r="AT159" i="32"/>
  <c r="AS159" i="32"/>
  <c r="AR159" i="32"/>
  <c r="AQ159" i="32"/>
  <c r="AS160" i="32"/>
  <c r="AR160" i="32"/>
  <c r="AQ160" i="32"/>
  <c r="AT160" i="32"/>
  <c r="AQ161" i="32"/>
  <c r="AR161" i="32"/>
  <c r="AT161" i="32"/>
  <c r="AS161" i="32"/>
  <c r="AT162" i="32"/>
  <c r="AS162" i="32"/>
  <c r="AR162" i="32"/>
  <c r="AQ162" i="32"/>
  <c r="AQ163" i="32"/>
  <c r="AR163" i="32"/>
  <c r="AS163" i="32"/>
  <c r="AT163" i="32"/>
  <c r="AR164" i="32"/>
  <c r="AS164" i="32"/>
  <c r="AQ164" i="32"/>
  <c r="AT164" i="32"/>
  <c r="AQ165" i="32"/>
  <c r="AR165" i="32"/>
  <c r="AS165" i="32"/>
  <c r="AT165" i="32"/>
  <c r="AS166" i="32"/>
  <c r="AT166" i="32"/>
  <c r="AQ166" i="32"/>
  <c r="AR166" i="32"/>
  <c r="AT167" i="32"/>
  <c r="AQ167" i="32"/>
  <c r="AR167" i="32"/>
  <c r="AS167" i="32"/>
  <c r="AT168" i="32"/>
  <c r="AQ168" i="32"/>
  <c r="AS168" i="32"/>
  <c r="AR168" i="32"/>
  <c r="AS169" i="32"/>
  <c r="AT169" i="32"/>
  <c r="AQ169" i="32"/>
  <c r="AR169" i="32"/>
  <c r="AS170" i="32"/>
  <c r="AT170" i="32"/>
  <c r="AR170" i="32"/>
  <c r="AQ170" i="32"/>
  <c r="AS171" i="32"/>
  <c r="AQ171" i="32"/>
  <c r="AR171" i="32"/>
  <c r="AT171" i="32"/>
  <c r="AS172" i="32"/>
  <c r="AT172" i="32"/>
  <c r="AR172" i="32"/>
  <c r="AQ172" i="32"/>
  <c r="AR173" i="32"/>
  <c r="AQ173" i="32"/>
  <c r="AT173" i="32"/>
  <c r="AS173" i="32"/>
  <c r="AT174" i="32"/>
  <c r="AS174" i="32"/>
  <c r="AQ174" i="32"/>
  <c r="AR174" i="32"/>
  <c r="AS175" i="32"/>
  <c r="AQ175" i="32"/>
  <c r="AR175" i="32"/>
  <c r="AT175" i="32"/>
  <c r="AQ176" i="32"/>
  <c r="AR176" i="32"/>
  <c r="AS176" i="32"/>
  <c r="AT176" i="32"/>
  <c r="AR177" i="32"/>
  <c r="AT177" i="32"/>
  <c r="AQ177" i="32"/>
  <c r="AS177" i="32"/>
  <c r="AS178" i="32"/>
  <c r="AT178" i="32"/>
  <c r="AQ178" i="32"/>
  <c r="AR178" i="32"/>
  <c r="AQ179" i="32"/>
  <c r="AR179" i="32"/>
  <c r="AS179" i="32"/>
  <c r="AT179" i="32"/>
  <c r="AS180" i="32"/>
  <c r="AR180" i="32"/>
  <c r="AT180" i="32"/>
  <c r="AQ180" i="32"/>
  <c r="AQ181" i="32"/>
  <c r="AT181" i="32"/>
  <c r="AR181" i="32"/>
  <c r="AS181" i="32"/>
  <c r="AQ182" i="32"/>
  <c r="AS182" i="32"/>
  <c r="AT182" i="32"/>
  <c r="AR182" i="32"/>
  <c r="AT183" i="32"/>
  <c r="AS183" i="32"/>
  <c r="AQ183" i="32"/>
  <c r="AR183" i="32"/>
  <c r="AT184" i="32"/>
  <c r="AR184" i="32"/>
  <c r="AQ184" i="32"/>
  <c r="AS184" i="32"/>
  <c r="AT185" i="32"/>
  <c r="AR185" i="32"/>
  <c r="AQ185" i="32"/>
  <c r="AS185" i="32"/>
  <c r="AS186" i="32"/>
  <c r="AT186" i="32"/>
  <c r="AR186" i="32"/>
  <c r="AQ186" i="32"/>
  <c r="AS187" i="32"/>
  <c r="AT187" i="32"/>
  <c r="AQ187" i="32"/>
  <c r="AR187" i="32"/>
  <c r="AR188" i="32"/>
  <c r="AT188" i="32"/>
  <c r="AQ188" i="32"/>
  <c r="AS188" i="32"/>
  <c r="AR189" i="32"/>
  <c r="AS189" i="32"/>
  <c r="AQ189" i="32"/>
  <c r="AT189" i="32"/>
  <c r="AQ190" i="32"/>
  <c r="AR190" i="32"/>
  <c r="AS190" i="32"/>
  <c r="AT190" i="32"/>
  <c r="AT191" i="32"/>
  <c r="AQ191" i="32"/>
  <c r="AS191" i="32"/>
  <c r="AR191" i="32"/>
  <c r="AT192" i="32"/>
  <c r="AR192" i="32"/>
  <c r="AS192" i="32"/>
  <c r="AQ192" i="32"/>
  <c r="AS193" i="32"/>
  <c r="AR193" i="32"/>
  <c r="AT193" i="32"/>
  <c r="AQ193" i="32"/>
  <c r="AQ194" i="32"/>
  <c r="AT194" i="32"/>
  <c r="AR194" i="32"/>
  <c r="AS194" i="32"/>
  <c r="AT195" i="32"/>
  <c r="AQ195" i="32"/>
  <c r="AR195" i="32"/>
  <c r="AS195" i="32"/>
  <c r="AQ196" i="32"/>
  <c r="AT196" i="32"/>
  <c r="AR196" i="32"/>
  <c r="AS197" i="32"/>
  <c r="AQ197" i="32"/>
  <c r="AR197" i="32"/>
  <c r="AT197" i="32"/>
  <c r="AR198" i="32"/>
  <c r="AT198" i="32"/>
  <c r="AQ198" i="32"/>
  <c r="AS198" i="32"/>
  <c r="AT199" i="32"/>
  <c r="AR199" i="32"/>
  <c r="AS199" i="32"/>
  <c r="AQ199" i="32"/>
  <c r="AR200" i="32"/>
  <c r="AQ200" i="32"/>
  <c r="AS200" i="32"/>
  <c r="AT200" i="32"/>
  <c r="AS201" i="32"/>
  <c r="AQ201" i="32"/>
  <c r="AR201" i="32"/>
  <c r="AT201" i="32"/>
  <c r="AS202" i="32"/>
  <c r="AR202" i="32"/>
  <c r="AQ202" i="32"/>
  <c r="AT202" i="32"/>
  <c r="AT203" i="32"/>
  <c r="AR203" i="32"/>
  <c r="AS203" i="32"/>
  <c r="AQ203" i="32"/>
  <c r="AT204" i="32"/>
  <c r="AR204" i="32"/>
  <c r="AQ204" i="32"/>
  <c r="AS204" i="32"/>
  <c r="AR205" i="32"/>
  <c r="AT205" i="32"/>
  <c r="AQ205" i="32"/>
  <c r="AS205" i="32"/>
  <c r="AT206" i="32"/>
  <c r="AR206" i="32"/>
  <c r="AQ206" i="32"/>
  <c r="AS206" i="32"/>
  <c r="AQ207" i="32"/>
  <c r="AT207" i="32"/>
  <c r="AR207" i="32"/>
  <c r="AS207" i="32"/>
  <c r="AS208" i="32"/>
  <c r="AQ208" i="32"/>
  <c r="AR208" i="32"/>
  <c r="AT208" i="32"/>
  <c r="AS209" i="32"/>
  <c r="AT209" i="32"/>
  <c r="AQ209" i="32"/>
  <c r="AR209" i="32"/>
  <c r="AR210" i="32"/>
  <c r="AT210" i="32"/>
  <c r="AS210" i="32"/>
  <c r="AQ210" i="32"/>
  <c r="AS211" i="32"/>
  <c r="AQ211" i="32"/>
  <c r="AR211" i="32"/>
  <c r="AT211" i="32"/>
  <c r="AT212" i="32"/>
  <c r="AS212" i="32"/>
  <c r="AR212" i="32"/>
  <c r="AQ212" i="32"/>
  <c r="AT213" i="32"/>
  <c r="AR213" i="32"/>
  <c r="AS213" i="32"/>
  <c r="AQ213" i="32"/>
  <c r="AR214" i="32"/>
  <c r="AT214" i="32"/>
  <c r="AS214" i="32"/>
  <c r="AQ214" i="32"/>
  <c r="AT215" i="32"/>
  <c r="AS215" i="32"/>
  <c r="AR215" i="32"/>
  <c r="AQ215" i="32"/>
  <c r="AT216" i="32"/>
  <c r="AQ216" i="32"/>
  <c r="AS216" i="32"/>
  <c r="AR216" i="32"/>
  <c r="AT217" i="32"/>
  <c r="AS217" i="32"/>
  <c r="AR217" i="32"/>
  <c r="AQ217" i="32"/>
  <c r="AR218" i="32"/>
  <c r="AT218" i="32"/>
  <c r="AS218" i="32"/>
  <c r="AQ218" i="32"/>
  <c r="AT219" i="32"/>
  <c r="AQ219" i="32"/>
  <c r="AR219" i="32"/>
  <c r="AS219" i="32"/>
  <c r="AT220" i="32"/>
  <c r="AQ220" i="32"/>
  <c r="AR220" i="32"/>
  <c r="AS220" i="32"/>
  <c r="AR221" i="32"/>
  <c r="AT221" i="32"/>
  <c r="AQ221" i="32"/>
  <c r="AS221" i="32"/>
  <c r="AQ222" i="32"/>
  <c r="AT222" i="32"/>
  <c r="AS222" i="32"/>
  <c r="AR222" i="32"/>
  <c r="AQ223" i="32"/>
  <c r="AT223" i="32"/>
  <c r="AS223" i="32"/>
  <c r="AR223" i="32"/>
  <c r="AS224" i="32"/>
  <c r="AT224" i="32"/>
  <c r="AQ224" i="32"/>
  <c r="AR224" i="32"/>
  <c r="AR225" i="32"/>
  <c r="AQ225" i="32"/>
  <c r="AS225" i="32"/>
  <c r="AT225" i="32"/>
  <c r="AQ226" i="32"/>
  <c r="AR226" i="32"/>
  <c r="AS226" i="32"/>
  <c r="AT226" i="32"/>
  <c r="AQ227" i="32"/>
  <c r="AR227" i="32"/>
  <c r="AS227" i="32"/>
  <c r="AT227" i="32"/>
  <c r="AQ228" i="32"/>
  <c r="AR228" i="32"/>
  <c r="AS228" i="32"/>
  <c r="AT228" i="32"/>
  <c r="AQ229" i="32"/>
  <c r="AR229" i="32"/>
  <c r="AS229" i="32"/>
  <c r="AT229" i="32"/>
  <c r="AQ230" i="32"/>
  <c r="AR230" i="32"/>
  <c r="AS230" i="32"/>
  <c r="AT230" i="32"/>
  <c r="AR231" i="32"/>
  <c r="AS231" i="32"/>
  <c r="AT231" i="32"/>
  <c r="AQ231" i="32"/>
  <c r="AR232" i="32"/>
  <c r="AS232" i="32"/>
  <c r="AT232" i="32"/>
  <c r="AQ232" i="32"/>
  <c r="AQ233" i="32"/>
  <c r="AR233" i="32"/>
  <c r="AS233" i="32"/>
  <c r="AT233" i="32"/>
  <c r="AQ234" i="32"/>
  <c r="AR234" i="32"/>
  <c r="AS234" i="32"/>
  <c r="AT234" i="32"/>
  <c r="AQ235" i="32"/>
  <c r="AS235" i="32"/>
  <c r="AT235" i="32"/>
  <c r="AR235" i="32"/>
  <c r="AQ236" i="32"/>
  <c r="AR236" i="32"/>
  <c r="AS236" i="32"/>
  <c r="AT236" i="32"/>
  <c r="AQ237" i="32"/>
  <c r="AR237" i="32"/>
  <c r="AS237" i="32"/>
  <c r="AT237" i="32"/>
  <c r="AS238" i="32"/>
  <c r="AR238" i="32"/>
  <c r="AT238" i="32"/>
  <c r="AQ238" i="32"/>
  <c r="AT239" i="32"/>
  <c r="AS239" i="32"/>
  <c r="AR239" i="32"/>
  <c r="AQ239" i="32"/>
  <c r="AT240" i="32"/>
  <c r="AS240" i="32"/>
  <c r="AR240" i="32"/>
  <c r="AQ240" i="32"/>
  <c r="AM122" i="32"/>
  <c r="AN122" i="32"/>
  <c r="AO122" i="32"/>
  <c r="AP122" i="32"/>
  <c r="AP121" i="32" l="1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109" i="32"/>
  <c r="AO109" i="32"/>
  <c r="AN109" i="32"/>
  <c r="AM109" i="32"/>
  <c r="AP108" i="32"/>
  <c r="AO108" i="32"/>
  <c r="AN108" i="32"/>
  <c r="AM108" i="32"/>
  <c r="AP107" i="32"/>
  <c r="AO107" i="32"/>
  <c r="AN107" i="32"/>
  <c r="AM107" i="32"/>
  <c r="AP106" i="32"/>
  <c r="AO106" i="32"/>
  <c r="AN106" i="32"/>
  <c r="AM106" i="32"/>
  <c r="AP105" i="32"/>
  <c r="AO105" i="32"/>
  <c r="AN105" i="32"/>
  <c r="AM105" i="32"/>
  <c r="AP104" i="32"/>
  <c r="AO104" i="32"/>
  <c r="AN104" i="32"/>
  <c r="AM104" i="32"/>
  <c r="AP103" i="32"/>
  <c r="AO103" i="32"/>
  <c r="AN103" i="32"/>
  <c r="AM103" i="32"/>
  <c r="AP102" i="32"/>
  <c r="AO102" i="32"/>
  <c r="AN102" i="32"/>
  <c r="AM102" i="32"/>
  <c r="AP101" i="32"/>
  <c r="AO101" i="32"/>
  <c r="AN101" i="32"/>
  <c r="AM101" i="32"/>
  <c r="AP100" i="32"/>
  <c r="AO100" i="32"/>
  <c r="AN100" i="32"/>
  <c r="AM100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 l="1"/>
  <c r="AO2" i="32"/>
  <c r="G75" i="54"/>
  <c r="F75" i="54"/>
  <c r="E75" i="54"/>
  <c r="D75" i="54"/>
  <c r="C75" i="54"/>
  <c r="G73" i="54"/>
  <c r="E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3" i="54"/>
  <c r="G97" i="54"/>
  <c r="F97" i="54"/>
  <c r="E97" i="54"/>
  <c r="D97" i="54"/>
  <c r="C97" i="54"/>
  <c r="G96" i="54"/>
  <c r="F96" i="54"/>
  <c r="E96" i="54"/>
  <c r="C96" i="54"/>
  <c r="G95" i="54"/>
  <c r="E95" i="54"/>
  <c r="C95" i="54"/>
  <c r="G94" i="54"/>
  <c r="F94" i="54"/>
  <c r="E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5" i="54"/>
  <c r="C73" i="54"/>
  <c r="L58" i="54"/>
  <c r="L57" i="54"/>
  <c r="L56" i="54"/>
  <c r="G61" i="54"/>
  <c r="F61" i="54"/>
  <c r="E61" i="54"/>
  <c r="C61" i="54"/>
  <c r="G60" i="54"/>
  <c r="F60" i="54"/>
  <c r="E60" i="54"/>
  <c r="C60" i="54"/>
  <c r="G59" i="54"/>
  <c r="F59" i="54"/>
  <c r="E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5" i="54"/>
  <c r="T34" i="54"/>
  <c r="T33" i="54"/>
  <c r="T32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U123" i="32" l="1"/>
  <c r="AU124" i="32"/>
  <c r="L106" i="54" s="1"/>
  <c r="AU122" i="32"/>
  <c r="AU2" i="32"/>
  <c r="AU121" i="32"/>
  <c r="AU116" i="32"/>
  <c r="AU111" i="32"/>
  <c r="AU118" i="32"/>
  <c r="AU113" i="32"/>
  <c r="AU120" i="32"/>
  <c r="AU115" i="32"/>
  <c r="AU110" i="32"/>
  <c r="AU117" i="32"/>
  <c r="AU112" i="32"/>
  <c r="AU119" i="32"/>
  <c r="AU114" i="32"/>
  <c r="AU102" i="32"/>
  <c r="AU90" i="32"/>
  <c r="AU78" i="32"/>
  <c r="AU66" i="32"/>
  <c r="AU54" i="32"/>
  <c r="AU42" i="32"/>
  <c r="AU30" i="32"/>
  <c r="AU18" i="32"/>
  <c r="AU6" i="32"/>
  <c r="AU109" i="32"/>
  <c r="AU97" i="32"/>
  <c r="AU85" i="32"/>
  <c r="AU73" i="32"/>
  <c r="AU61" i="32"/>
  <c r="AU49" i="32"/>
  <c r="AU37" i="32"/>
  <c r="AU25" i="32"/>
  <c r="AU13" i="32"/>
  <c r="AU104" i="32"/>
  <c r="AU92" i="32"/>
  <c r="AU80" i="32"/>
  <c r="AU68" i="32"/>
  <c r="AU56" i="32"/>
  <c r="AU44" i="32"/>
  <c r="AU32" i="32"/>
  <c r="AU20" i="32"/>
  <c r="AU8" i="32"/>
  <c r="AU99" i="32"/>
  <c r="AU87" i="32"/>
  <c r="AU75" i="32"/>
  <c r="AU63" i="32"/>
  <c r="AU51" i="32"/>
  <c r="AU39" i="32"/>
  <c r="AU27" i="32"/>
  <c r="AU15" i="32"/>
  <c r="AU3" i="32"/>
  <c r="AU106" i="32"/>
  <c r="AU94" i="32"/>
  <c r="AU82" i="32"/>
  <c r="AU70" i="32"/>
  <c r="AU58" i="32"/>
  <c r="AU46" i="32"/>
  <c r="AU34" i="32"/>
  <c r="AU22" i="32"/>
  <c r="AU10" i="32"/>
  <c r="AU101" i="32"/>
  <c r="AU89" i="32"/>
  <c r="AU77" i="32"/>
  <c r="AU65" i="32"/>
  <c r="AU53" i="32"/>
  <c r="AU41" i="32"/>
  <c r="AU29" i="32"/>
  <c r="AU17" i="32"/>
  <c r="AU5" i="32"/>
  <c r="AU108" i="32"/>
  <c r="AU96" i="32"/>
  <c r="AU84" i="32"/>
  <c r="AU72" i="32"/>
  <c r="AU60" i="32"/>
  <c r="AU48" i="32"/>
  <c r="AU36" i="32"/>
  <c r="AU24" i="32"/>
  <c r="AU12" i="32"/>
  <c r="AU103" i="32"/>
  <c r="AU91" i="32"/>
  <c r="AU79" i="32"/>
  <c r="AU67" i="32"/>
  <c r="AU55" i="32"/>
  <c r="AU43" i="32"/>
  <c r="AU31" i="32"/>
  <c r="AU19" i="32"/>
  <c r="AU7" i="32"/>
  <c r="AU98" i="32"/>
  <c r="AU86" i="32"/>
  <c r="AU74" i="32"/>
  <c r="AU62" i="32"/>
  <c r="AU50" i="32"/>
  <c r="AU38" i="32"/>
  <c r="AU26" i="32"/>
  <c r="AU14" i="32"/>
  <c r="AU105" i="32"/>
  <c r="AU93" i="32"/>
  <c r="AU81" i="32"/>
  <c r="AU69" i="32"/>
  <c r="AU83" i="32"/>
  <c r="AU100" i="32"/>
  <c r="AU57" i="32"/>
  <c r="AU40" i="32"/>
  <c r="AU23" i="32"/>
  <c r="AU9" i="32"/>
  <c r="AU71" i="32"/>
  <c r="AU88" i="32"/>
  <c r="AU59" i="32"/>
  <c r="AU45" i="32"/>
  <c r="AU28" i="32"/>
  <c r="AU11" i="32"/>
  <c r="AU76" i="32"/>
  <c r="AU64" i="32"/>
  <c r="AU47" i="32"/>
  <c r="AU33" i="32"/>
  <c r="AU16" i="32"/>
  <c r="AU107" i="32"/>
  <c r="AU95" i="32"/>
  <c r="AU52" i="32"/>
  <c r="AU35" i="32"/>
  <c r="AU21" i="32"/>
  <c r="AU4" i="32"/>
  <c r="C47" i="54"/>
  <c r="D47" i="54"/>
  <c r="F68" i="54"/>
  <c r="G66" i="54"/>
  <c r="C67" i="54"/>
  <c r="E68" i="54"/>
  <c r="G68" i="54"/>
  <c r="G67" i="54"/>
  <c r="E67" i="54"/>
  <c r="F67" i="54"/>
  <c r="C66" i="54"/>
  <c r="C68" i="54"/>
  <c r="E66" i="54"/>
  <c r="F66" i="54"/>
  <c r="H110" i="54"/>
  <c r="H109" i="54"/>
  <c r="K2" i="49" a="1"/>
  <c r="AM2" i="32"/>
  <c r="AN2" i="32"/>
  <c r="F2" i="49" a="1"/>
  <c r="F95" i="54" l="1"/>
  <c r="X24" i="54"/>
  <c r="G92" i="54"/>
  <c r="C92" i="54"/>
  <c r="E92" i="54"/>
  <c r="G74" i="54"/>
  <c r="F74" i="54"/>
  <c r="E74" i="54"/>
  <c r="C74" i="54"/>
  <c r="AR2" i="32"/>
  <c r="F73" i="54"/>
  <c r="F92" i="54"/>
  <c r="G86" i="54"/>
  <c r="F86" i="54"/>
  <c r="C86" i="54"/>
  <c r="E86" i="54"/>
  <c r="G47" i="54"/>
  <c r="X23" i="54"/>
  <c r="AQ122" i="32"/>
  <c r="AS122" i="32"/>
  <c r="AT122" i="32"/>
  <c r="AR122" i="32"/>
  <c r="AQ124" i="32"/>
  <c r="AS124" i="32"/>
  <c r="AT124" i="32"/>
  <c r="AR124" i="32"/>
  <c r="G106" i="54"/>
  <c r="H106" i="54" s="1"/>
  <c r="AQ123" i="32"/>
  <c r="AT123" i="32"/>
  <c r="AS123" i="32"/>
  <c r="AR123" i="32"/>
  <c r="L96" i="54"/>
  <c r="D96" i="54"/>
  <c r="AT2" i="32"/>
  <c r="T36" i="54"/>
  <c r="D94" i="54"/>
  <c r="L94" i="54"/>
  <c r="T31" i="54"/>
  <c r="T37" i="54"/>
  <c r="AS2" i="32"/>
  <c r="L104" i="54"/>
  <c r="L111" i="54" s="1"/>
  <c r="AR21" i="32"/>
  <c r="L61" i="54"/>
  <c r="AT21" i="32"/>
  <c r="AS21" i="32"/>
  <c r="D61" i="54"/>
  <c r="AQ21" i="32"/>
  <c r="AT93" i="32"/>
  <c r="AQ93" i="32"/>
  <c r="AS93" i="32"/>
  <c r="AR93" i="32"/>
  <c r="AT72" i="32"/>
  <c r="AS72" i="32"/>
  <c r="AQ72" i="32"/>
  <c r="AR72" i="32"/>
  <c r="AS27" i="32"/>
  <c r="AT27" i="32"/>
  <c r="AR27" i="32"/>
  <c r="AQ27" i="32"/>
  <c r="AS68" i="32"/>
  <c r="AT68" i="32"/>
  <c r="AR68" i="32"/>
  <c r="AQ68" i="32"/>
  <c r="AS35" i="32"/>
  <c r="AR35" i="32"/>
  <c r="AQ35" i="32"/>
  <c r="AT35" i="32"/>
  <c r="AT105" i="32"/>
  <c r="AQ105" i="32"/>
  <c r="AS105" i="32"/>
  <c r="AR105" i="32"/>
  <c r="AS84" i="32"/>
  <c r="AR84" i="32"/>
  <c r="AT84" i="32"/>
  <c r="AQ84" i="32"/>
  <c r="AQ39" i="32"/>
  <c r="AT39" i="32"/>
  <c r="AR39" i="32"/>
  <c r="AS39" i="32"/>
  <c r="AT6" i="32"/>
  <c r="D73" i="54"/>
  <c r="AQ6" i="32"/>
  <c r="AS6" i="32"/>
  <c r="AR6" i="32"/>
  <c r="L73" i="54"/>
  <c r="AT55" i="32"/>
  <c r="AS55" i="32"/>
  <c r="AQ55" i="32"/>
  <c r="AR55" i="32"/>
  <c r="AT71" i="32"/>
  <c r="AQ71" i="32"/>
  <c r="AR71" i="32"/>
  <c r="AS71" i="32"/>
  <c r="AT16" i="32"/>
  <c r="AS16" i="32"/>
  <c r="AR16" i="32"/>
  <c r="AQ16" i="32"/>
  <c r="AT33" i="32"/>
  <c r="AR33" i="32"/>
  <c r="AS33" i="32"/>
  <c r="AQ33" i="32"/>
  <c r="AT62" i="32"/>
  <c r="AQ62" i="32"/>
  <c r="AS62" i="32"/>
  <c r="AR62" i="32"/>
  <c r="AR29" i="32"/>
  <c r="AQ29" i="32"/>
  <c r="AT29" i="32"/>
  <c r="AS29" i="32"/>
  <c r="AS99" i="32"/>
  <c r="AQ99" i="32"/>
  <c r="AT99" i="32"/>
  <c r="AR99" i="32"/>
  <c r="AR66" i="32"/>
  <c r="AS66" i="32"/>
  <c r="AT66" i="32"/>
  <c r="AQ66" i="32"/>
  <c r="AR74" i="32"/>
  <c r="AT74" i="32"/>
  <c r="AS74" i="32"/>
  <c r="AQ74" i="32"/>
  <c r="AR82" i="32"/>
  <c r="AS82" i="32"/>
  <c r="AT82" i="32"/>
  <c r="L60" i="54"/>
  <c r="D60" i="54"/>
  <c r="AQ82" i="32"/>
  <c r="AT78" i="32"/>
  <c r="AQ78" i="32"/>
  <c r="AS78" i="32"/>
  <c r="AR78" i="32"/>
  <c r="AS116" i="32"/>
  <c r="AT116" i="32"/>
  <c r="AQ116" i="32"/>
  <c r="AR116" i="32"/>
  <c r="AS11" i="32"/>
  <c r="AQ11" i="32"/>
  <c r="AR11" i="32"/>
  <c r="AT11" i="32"/>
  <c r="AR69" i="32"/>
  <c r="AT69" i="32"/>
  <c r="AS69" i="32"/>
  <c r="AQ69" i="32"/>
  <c r="AS7" i="32"/>
  <c r="AR7" i="32"/>
  <c r="AT7" i="32"/>
  <c r="AQ7" i="32"/>
  <c r="AT48" i="32"/>
  <c r="AS48" i="32"/>
  <c r="AQ48" i="32"/>
  <c r="AR48" i="32"/>
  <c r="AR77" i="32"/>
  <c r="AQ77" i="32"/>
  <c r="AT77" i="32"/>
  <c r="AS77" i="32"/>
  <c r="AR3" i="32"/>
  <c r="T15" i="54"/>
  <c r="AQ3" i="32"/>
  <c r="AS3" i="32"/>
  <c r="C50" i="54"/>
  <c r="L86" i="54"/>
  <c r="D86" i="54"/>
  <c r="AT3" i="32"/>
  <c r="AS44" i="32"/>
  <c r="AR44" i="32"/>
  <c r="AQ44" i="32"/>
  <c r="AT44" i="32"/>
  <c r="AR85" i="32"/>
  <c r="AT85" i="32"/>
  <c r="AS85" i="32"/>
  <c r="AQ85" i="32"/>
  <c r="AR114" i="32"/>
  <c r="AT114" i="32"/>
  <c r="AS114" i="32"/>
  <c r="AQ114" i="32"/>
  <c r="AQ2" i="32"/>
  <c r="AS4" i="32"/>
  <c r="AQ4" i="32"/>
  <c r="AR4" i="32"/>
  <c r="AT4" i="32"/>
  <c r="AS28" i="32"/>
  <c r="AT28" i="32"/>
  <c r="AQ28" i="32"/>
  <c r="AR28" i="32"/>
  <c r="AT81" i="32"/>
  <c r="AR81" i="32"/>
  <c r="AQ81" i="32"/>
  <c r="AS81" i="32"/>
  <c r="AS19" i="32"/>
  <c r="AT19" i="32"/>
  <c r="AR19" i="32"/>
  <c r="AQ19" i="32"/>
  <c r="AS60" i="32"/>
  <c r="AT60" i="32"/>
  <c r="AQ60" i="32"/>
  <c r="AR60" i="32"/>
  <c r="AT89" i="32"/>
  <c r="AR89" i="32"/>
  <c r="AQ89" i="32"/>
  <c r="AS89" i="32"/>
  <c r="AT15" i="32"/>
  <c r="T28" i="54"/>
  <c r="AR15" i="32"/>
  <c r="AQ15" i="32"/>
  <c r="AS15" i="32"/>
  <c r="AT56" i="32"/>
  <c r="AR56" i="32"/>
  <c r="AS56" i="32"/>
  <c r="AQ56" i="32"/>
  <c r="AT97" i="32"/>
  <c r="AQ97" i="32"/>
  <c r="AS97" i="32"/>
  <c r="AR97" i="32"/>
  <c r="AT119" i="32"/>
  <c r="AS119" i="32"/>
  <c r="AQ119" i="32"/>
  <c r="AR119" i="32"/>
  <c r="AT112" i="32"/>
  <c r="AQ112" i="32"/>
  <c r="AR112" i="32"/>
  <c r="AS112" i="32"/>
  <c r="AR45" i="32"/>
  <c r="AS45" i="32"/>
  <c r="AQ45" i="32"/>
  <c r="AT45" i="32"/>
  <c r="AT31" i="32"/>
  <c r="AR31" i="32"/>
  <c r="D95" i="54"/>
  <c r="AS31" i="32"/>
  <c r="L95" i="54"/>
  <c r="AQ31" i="32"/>
  <c r="AS101" i="32"/>
  <c r="AR101" i="32"/>
  <c r="AT101" i="32"/>
  <c r="AQ101" i="32"/>
  <c r="AS109" i="32"/>
  <c r="AT109" i="32"/>
  <c r="AQ109" i="32"/>
  <c r="AR109" i="32"/>
  <c r="AS59" i="32"/>
  <c r="AR59" i="32"/>
  <c r="AQ59" i="32"/>
  <c r="AT59" i="32"/>
  <c r="AS43" i="32"/>
  <c r="AQ43" i="32"/>
  <c r="AT43" i="32"/>
  <c r="AR43" i="32"/>
  <c r="AQ10" i="32"/>
  <c r="AT10" i="32"/>
  <c r="AS10" i="32"/>
  <c r="AR10" i="32"/>
  <c r="AT80" i="32"/>
  <c r="AS80" i="32"/>
  <c r="AQ80" i="32"/>
  <c r="AR80" i="32"/>
  <c r="AS117" i="32"/>
  <c r="AT117" i="32"/>
  <c r="AR117" i="32"/>
  <c r="AQ117" i="32"/>
  <c r="AS52" i="32"/>
  <c r="AR52" i="32"/>
  <c r="AT52" i="32"/>
  <c r="AQ52" i="32"/>
  <c r="AT88" i="32"/>
  <c r="AS88" i="32"/>
  <c r="AQ88" i="32"/>
  <c r="AR88" i="32"/>
  <c r="AT14" i="32"/>
  <c r="AQ14" i="32"/>
  <c r="AS14" i="32"/>
  <c r="AR14" i="32"/>
  <c r="AT96" i="32"/>
  <c r="AS96" i="32"/>
  <c r="AR96" i="32"/>
  <c r="AQ96" i="32"/>
  <c r="AT22" i="32"/>
  <c r="AR22" i="32"/>
  <c r="AQ22" i="32"/>
  <c r="AS22" i="32"/>
  <c r="AS51" i="32"/>
  <c r="AR51" i="32"/>
  <c r="AQ51" i="32"/>
  <c r="AT51" i="32"/>
  <c r="AS92" i="32"/>
  <c r="AR92" i="32"/>
  <c r="AQ92" i="32"/>
  <c r="AT92" i="32"/>
  <c r="AS18" i="32"/>
  <c r="AR18" i="32"/>
  <c r="AQ18" i="32"/>
  <c r="AT18" i="32"/>
  <c r="AT110" i="32"/>
  <c r="AS110" i="32"/>
  <c r="AQ110" i="32"/>
  <c r="AR110" i="32"/>
  <c r="AS95" i="32"/>
  <c r="AQ95" i="32"/>
  <c r="L59" i="54"/>
  <c r="D59" i="54"/>
  <c r="AR95" i="32"/>
  <c r="AT95" i="32"/>
  <c r="AR26" i="32"/>
  <c r="AS26" i="32"/>
  <c r="AQ26" i="32"/>
  <c r="AT26" i="32"/>
  <c r="AS67" i="32"/>
  <c r="AT67" i="32"/>
  <c r="AR67" i="32"/>
  <c r="AQ67" i="32"/>
  <c r="AS108" i="32"/>
  <c r="AQ108" i="32"/>
  <c r="AR108" i="32"/>
  <c r="AT108" i="32"/>
  <c r="AT34" i="32"/>
  <c r="AS34" i="32"/>
  <c r="AQ34" i="32"/>
  <c r="AR34" i="32"/>
  <c r="AT63" i="32"/>
  <c r="AR63" i="32"/>
  <c r="AS63" i="32"/>
  <c r="AQ63" i="32"/>
  <c r="AT104" i="32"/>
  <c r="AR104" i="32"/>
  <c r="AQ104" i="32"/>
  <c r="AS104" i="32"/>
  <c r="AT30" i="32"/>
  <c r="AR30" i="32"/>
  <c r="AQ30" i="32"/>
  <c r="AS30" i="32"/>
  <c r="AS115" i="32"/>
  <c r="AT115" i="32"/>
  <c r="AR115" i="32"/>
  <c r="AQ115" i="32"/>
  <c r="AS107" i="32"/>
  <c r="AQ107" i="32"/>
  <c r="AR107" i="32"/>
  <c r="AT107" i="32"/>
  <c r="AS9" i="32"/>
  <c r="AT9" i="32"/>
  <c r="AR9" i="32"/>
  <c r="AQ9" i="32"/>
  <c r="AT38" i="32"/>
  <c r="AS38" i="32"/>
  <c r="AR38" i="32"/>
  <c r="AQ38" i="32"/>
  <c r="AT79" i="32"/>
  <c r="AR79" i="32"/>
  <c r="AQ79" i="32"/>
  <c r="AS79" i="32"/>
  <c r="AR5" i="32"/>
  <c r="AS5" i="32"/>
  <c r="L74" i="54"/>
  <c r="D92" i="54"/>
  <c r="L92" i="54"/>
  <c r="D74" i="54"/>
  <c r="AT5" i="32"/>
  <c r="AQ5" i="32"/>
  <c r="AT46" i="32"/>
  <c r="AS46" i="32"/>
  <c r="AQ46" i="32"/>
  <c r="AR46" i="32"/>
  <c r="AS75" i="32"/>
  <c r="AT75" i="32"/>
  <c r="AR75" i="32"/>
  <c r="AQ75" i="32"/>
  <c r="AR13" i="32"/>
  <c r="AQ13" i="32"/>
  <c r="AT13" i="32"/>
  <c r="AS13" i="32"/>
  <c r="AT42" i="32"/>
  <c r="AQ42" i="32"/>
  <c r="AR42" i="32"/>
  <c r="AS42" i="32"/>
  <c r="AT120" i="32"/>
  <c r="AS120" i="32"/>
  <c r="AQ120" i="32"/>
  <c r="AR120" i="32"/>
  <c r="F47" i="54"/>
  <c r="AS23" i="32"/>
  <c r="AT23" i="32"/>
  <c r="AQ23" i="32"/>
  <c r="AR23" i="32"/>
  <c r="AR50" i="32"/>
  <c r="AQ50" i="32"/>
  <c r="AS50" i="32"/>
  <c r="AT50" i="32"/>
  <c r="AS91" i="32"/>
  <c r="AQ91" i="32"/>
  <c r="AT91" i="32"/>
  <c r="AR91" i="32"/>
  <c r="AT17" i="32"/>
  <c r="AQ17" i="32"/>
  <c r="AS17" i="32"/>
  <c r="AR17" i="32"/>
  <c r="AR58" i="32"/>
  <c r="AQ58" i="32"/>
  <c r="AS58" i="32"/>
  <c r="AT58" i="32"/>
  <c r="AS87" i="32"/>
  <c r="AR87" i="32"/>
  <c r="AQ87" i="32"/>
  <c r="AT87" i="32"/>
  <c r="AT25" i="32"/>
  <c r="AR25" i="32"/>
  <c r="AQ25" i="32"/>
  <c r="AS25" i="32"/>
  <c r="AT54" i="32"/>
  <c r="AR54" i="32"/>
  <c r="AQ54" i="32"/>
  <c r="AS54" i="32"/>
  <c r="AT113" i="32"/>
  <c r="AQ113" i="32"/>
  <c r="AS113" i="32"/>
  <c r="AR113" i="32"/>
  <c r="E47" i="54"/>
  <c r="AT40" i="32"/>
  <c r="AS40" i="32"/>
  <c r="AQ40" i="32"/>
  <c r="AR40" i="32"/>
  <c r="AQ103" i="32"/>
  <c r="AR103" i="32"/>
  <c r="AT103" i="32"/>
  <c r="AS103" i="32"/>
  <c r="AT70" i="32"/>
  <c r="AQ70" i="32"/>
  <c r="AS70" i="32"/>
  <c r="AR70" i="32"/>
  <c r="AR37" i="32"/>
  <c r="AS37" i="32"/>
  <c r="AQ37" i="32"/>
  <c r="AT37" i="32"/>
  <c r="AT118" i="32"/>
  <c r="AQ118" i="32"/>
  <c r="AS118" i="32"/>
  <c r="AR118" i="32"/>
  <c r="AT47" i="32"/>
  <c r="AS47" i="32"/>
  <c r="AQ47" i="32"/>
  <c r="AR47" i="32"/>
  <c r="AT57" i="32"/>
  <c r="AQ57" i="32"/>
  <c r="AS57" i="32"/>
  <c r="AR57" i="32"/>
  <c r="AS12" i="32"/>
  <c r="AR12" i="32"/>
  <c r="AT12" i="32"/>
  <c r="AQ12" i="32"/>
  <c r="AT41" i="32"/>
  <c r="AQ41" i="32"/>
  <c r="AS41" i="32"/>
  <c r="AR41" i="32"/>
  <c r="AT8" i="32"/>
  <c r="AQ8" i="32"/>
  <c r="AR8" i="32"/>
  <c r="AS8" i="32"/>
  <c r="AT49" i="32"/>
  <c r="AQ49" i="32"/>
  <c r="AS49" i="32"/>
  <c r="AR49" i="32"/>
  <c r="AT111" i="32"/>
  <c r="T38" i="54"/>
  <c r="AS111" i="32"/>
  <c r="AQ111" i="32"/>
  <c r="AR111" i="32"/>
  <c r="AT64" i="32"/>
  <c r="AQ64" i="32"/>
  <c r="AR64" i="32"/>
  <c r="AS64" i="32"/>
  <c r="AS100" i="32"/>
  <c r="AR100" i="32"/>
  <c r="AT100" i="32"/>
  <c r="AQ100" i="32"/>
  <c r="AT86" i="32"/>
  <c r="AR86" i="32"/>
  <c r="AQ86" i="32"/>
  <c r="AS86" i="32"/>
  <c r="AT24" i="32"/>
  <c r="AQ24" i="32"/>
  <c r="AR24" i="32"/>
  <c r="AS24" i="32"/>
  <c r="AR53" i="32"/>
  <c r="AT53" i="32"/>
  <c r="AS53" i="32"/>
  <c r="AQ53" i="32"/>
  <c r="AT94" i="32"/>
  <c r="AR94" i="32"/>
  <c r="AS94" i="32"/>
  <c r="AQ94" i="32"/>
  <c r="AS20" i="32"/>
  <c r="AT20" i="32"/>
  <c r="AQ20" i="32"/>
  <c r="AR20" i="32"/>
  <c r="AR61" i="32"/>
  <c r="AQ61" i="32"/>
  <c r="AT61" i="32"/>
  <c r="AS61" i="32"/>
  <c r="AR90" i="32"/>
  <c r="AQ90" i="32"/>
  <c r="AS90" i="32"/>
  <c r="AT90" i="32"/>
  <c r="AS76" i="32"/>
  <c r="AQ76" i="32"/>
  <c r="AT76" i="32"/>
  <c r="AR76" i="32"/>
  <c r="AS83" i="32"/>
  <c r="AT83" i="32"/>
  <c r="AQ83" i="32"/>
  <c r="AR83" i="32"/>
  <c r="AR98" i="32"/>
  <c r="AS98" i="32"/>
  <c r="AT98" i="32"/>
  <c r="AQ98" i="32"/>
  <c r="AS36" i="32"/>
  <c r="AQ36" i="32"/>
  <c r="AT36" i="32"/>
  <c r="AR36" i="32"/>
  <c r="AT65" i="32"/>
  <c r="AS65" i="32"/>
  <c r="AR65" i="32"/>
  <c r="AQ65" i="32"/>
  <c r="AR106" i="32"/>
  <c r="AT106" i="32"/>
  <c r="AS106" i="32"/>
  <c r="AQ106" i="32"/>
  <c r="AT32" i="32"/>
  <c r="AS32" i="32"/>
  <c r="AR32" i="32"/>
  <c r="AQ32" i="32"/>
  <c r="AT73" i="32"/>
  <c r="AR73" i="32"/>
  <c r="AQ73" i="32"/>
  <c r="AS73" i="32"/>
  <c r="AT102" i="32"/>
  <c r="AR102" i="32"/>
  <c r="AQ102" i="32"/>
  <c r="AS102" i="32"/>
  <c r="AT121" i="32"/>
  <c r="AR121" i="32"/>
  <c r="AS121" i="32"/>
  <c r="AQ121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N26" i="54"/>
  <c r="L26" i="54"/>
  <c r="N21" i="54"/>
  <c r="L20" i="54"/>
  <c r="L21" i="54"/>
  <c r="N20" i="54"/>
  <c r="P26" i="54" l="1"/>
  <c r="P20" i="54"/>
  <c r="P21" i="54"/>
  <c r="H47" i="54"/>
  <c r="Q21" i="54"/>
  <c r="O26" i="54"/>
  <c r="Q20" i="54"/>
  <c r="O21" i="54"/>
  <c r="Y18" i="54"/>
  <c r="Y19" i="54"/>
  <c r="Y16" i="54"/>
  <c r="M26" i="54"/>
  <c r="M21" i="54"/>
  <c r="O20" i="54"/>
  <c r="D68" i="54"/>
  <c r="D67" i="54"/>
  <c r="D66" i="54"/>
  <c r="Y17" i="54"/>
  <c r="M20" i="54"/>
  <c r="L67" i="54"/>
  <c r="L66" i="54"/>
  <c r="L68" i="54"/>
  <c r="Q26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<sst xmlns="http://schemas.openxmlformats.org/spreadsheetml/2006/main" count="3660" uniqueCount="679">
  <si>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</si>
  <si>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</si>
  <si>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</si>
  <si>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</si>
  <si>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</si>
  <si>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</si>
  <si>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</si>
  <si>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</si>
  <si>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</si>
  <si>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</si>
  <si>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</si>
  <si>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</si>
  <si>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</si>
  <si>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</si>
  <si>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</si>
  <si>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</si>
  <si>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</si>
  <si>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</si>
  <si>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</si>
  <si>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</si>
  <si>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</si>
  <si>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</si>
  <si>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</si>
  <si>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</si>
  <si>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</si>
  <si>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</si>
  <si>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</si>
  <si>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</si>
  <si>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</si>
  <si>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</si>
  <si>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</si>
  <si>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</si>
  <si>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</si>
  <si>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</si>
  <si>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</si>
  <si>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</si>
  <si>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</si>
  <si>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</si>
  <si>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</si>
  <si>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</si>
  <si>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</si>
  <si>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</si>
  <si>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</si>
  <si>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</si>
  <si>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</si>
  <si>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</si>
  <si>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</si>
  <si>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</si>
  <si>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</si>
  <si>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</si>
  <si>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ADAO BUENO DO ROSARIO</t>
  </si>
  <si>
    <t>SP</t>
  </si>
  <si>
    <t>SAO PAULO</t>
  </si>
  <si>
    <t>NÍVEL 60</t>
  </si>
  <si>
    <t>11-947877554</t>
  </si>
  <si>
    <t>Equipe cmdp</t>
  </si>
  <si>
    <t>1. Aceitou o programa</t>
  </si>
  <si>
    <t>Contato Com Sucesso</t>
  </si>
  <si>
    <t>Ativo</t>
  </si>
  <si>
    <t>Agendada</t>
  </si>
  <si>
    <t>Realizada</t>
  </si>
  <si>
    <t xml:space="preserve">Baixa </t>
  </si>
  <si>
    <t>Amil - Unidade Avançada Vitoria </t>
  </si>
  <si>
    <t>Amil - Unidade Avançada Luz Joao Dias </t>
  </si>
  <si>
    <t>Confirmado</t>
  </si>
  <si>
    <t xml:space="preserve">Sim </t>
  </si>
  <si>
    <t>Sim</t>
  </si>
  <si>
    <t>Arritmias</t>
  </si>
  <si>
    <t>ADEMIR FAUSTINO DA SILVA</t>
  </si>
  <si>
    <t>11-967970028</t>
  </si>
  <si>
    <t>ALESSANDRA CRISTINA SILVA</t>
  </si>
  <si>
    <t>11-996798746</t>
  </si>
  <si>
    <t>27/05/2026 15:20</t>
  </si>
  <si>
    <t>Amil - Unidade Avançada Luz Butantã </t>
  </si>
  <si>
    <t>ALEXSANDRO TAVARES FARIAS</t>
  </si>
  <si>
    <t>NAO INFORMADO</t>
  </si>
  <si>
    <t>11-95057-3270</t>
  </si>
  <si>
    <t>25//05/2026</t>
  </si>
  <si>
    <t xml:space="preserve">Média </t>
  </si>
  <si>
    <t>ALINE DA SILVA OLIVEIRA SENJI</t>
  </si>
  <si>
    <t>11-986663689</t>
  </si>
  <si>
    <t>Não se aplica</t>
  </si>
  <si>
    <t>Amil - Hospital Metropolitano - Centro Médico </t>
  </si>
  <si>
    <t>Em Investigação</t>
  </si>
  <si>
    <t>ALLISON JASON BATISTA DA SILVA</t>
  </si>
  <si>
    <t>RJ</t>
  </si>
  <si>
    <t>DUQUE DE CAXIAS</t>
  </si>
  <si>
    <t>21-976056828</t>
  </si>
  <si>
    <t xml:space="preserve">Não realizada - Falta </t>
  </si>
  <si>
    <t>ANA PAULA APRIGIO ASSIS</t>
  </si>
  <si>
    <t>NÍVEL 500</t>
  </si>
  <si>
    <t>11-958749902</t>
  </si>
  <si>
    <t>ANA PAULA SANTOS DA SILVA SOUZA</t>
  </si>
  <si>
    <t>11-961327175</t>
  </si>
  <si>
    <t>25/05/2026 09:40</t>
  </si>
  <si>
    <t>ANDERSON FERNANDES DOS SANTOS</t>
  </si>
  <si>
    <t>RIO DE JANEIRO</t>
  </si>
  <si>
    <t>NÍVEL 80</t>
  </si>
  <si>
    <t>21-987430780</t>
  </si>
  <si>
    <t>19/05/2026 15:40</t>
  </si>
  <si>
    <t>ANDRE DA ROCHA SANTOS</t>
  </si>
  <si>
    <t>NÍVEL 75</t>
  </si>
  <si>
    <t>21-976678422</t>
  </si>
  <si>
    <t>18/05/2026 10:40</t>
  </si>
  <si>
    <t>Amil Espaço Saúde - Tijuca </t>
  </si>
  <si>
    <t>ANDREA MELLO DINIZ</t>
  </si>
  <si>
    <t>NÍVEL 600</t>
  </si>
  <si>
    <t>11-976867864</t>
  </si>
  <si>
    <t>ANGELINA SIMOES DA SILVA</t>
  </si>
  <si>
    <t>NÍVEL 50</t>
  </si>
  <si>
    <t>21-999443073</t>
  </si>
  <si>
    <t>ANTONIO COSTA DA SILVA</t>
  </si>
  <si>
    <t>NÍVEL 400</t>
  </si>
  <si>
    <t>21-991705757</t>
  </si>
  <si>
    <t>26/05/2026 11:40</t>
  </si>
  <si>
    <t>ANTONIO MARQUES DE OLIVEIRA JUNIOR</t>
  </si>
  <si>
    <t>NÍVEL 40</t>
  </si>
  <si>
    <t>11-986518634</t>
  </si>
  <si>
    <t>5. Alta por inelegibilidade</t>
  </si>
  <si>
    <t>Fora da Linha</t>
  </si>
  <si>
    <t>nega diagnostico</t>
  </si>
  <si>
    <t>Desflagado</t>
  </si>
  <si>
    <t>APARECIDA ALEXANDRINA CARVALHO DA SILVA</t>
  </si>
  <si>
    <t>NÍVEL 380</t>
  </si>
  <si>
    <t>11-982194461</t>
  </si>
  <si>
    <t>20/05/2026 14:20</t>
  </si>
  <si>
    <t>Amil Espaço Saúde - Tatuapé</t>
  </si>
  <si>
    <t>CELINA DE ALMEIDA SANTOS</t>
  </si>
  <si>
    <t>NÍVEL 110</t>
  </si>
  <si>
    <t>11-973554294</t>
  </si>
  <si>
    <t>22/05/2026 16:00</t>
  </si>
  <si>
    <t>Amil Espaço Saúde - Guarulhos </t>
  </si>
  <si>
    <t>CINTIA MIDORI TABA NICOLETI</t>
  </si>
  <si>
    <t>NÍVEL 300</t>
  </si>
  <si>
    <t>11-932964666</t>
  </si>
  <si>
    <t>18/05/2026 16:00</t>
  </si>
  <si>
    <t>CIRO MARTINS DOS SANTOS</t>
  </si>
  <si>
    <t>11-932287930</t>
  </si>
  <si>
    <t>18/05/2026 14:20</t>
  </si>
  <si>
    <t>CLAUDIO NUNES DOS SANTOS</t>
  </si>
  <si>
    <t>11-969476785</t>
  </si>
  <si>
    <t>DANIELA DA SILVA NEVES</t>
  </si>
  <si>
    <t>11-976023553</t>
  </si>
  <si>
    <t>Não Informou</t>
  </si>
  <si>
    <t>Outros</t>
  </si>
  <si>
    <t>DANIELLE TECLA DA SILVA</t>
  </si>
  <si>
    <t>NÍVEL 450</t>
  </si>
  <si>
    <t>21-968631545</t>
  </si>
  <si>
    <t>DARCY PIRES</t>
  </si>
  <si>
    <t>11-970526161</t>
  </si>
  <si>
    <t>19/05/2026 16:40</t>
  </si>
  <si>
    <t>DIEGO SILVA DOS SANTOS</t>
  </si>
  <si>
    <t>11-951709570</t>
  </si>
  <si>
    <t>Amil - Unidade Avançada Carlos Chagas </t>
  </si>
  <si>
    <t>DULCIMAR ARAUJO DE SANTANA</t>
  </si>
  <si>
    <t>21-980965126</t>
  </si>
  <si>
    <t>19/05/2026 10:20</t>
  </si>
  <si>
    <t>EDILENE DE BRITO SANTANA</t>
  </si>
  <si>
    <t>11-983647312</t>
  </si>
  <si>
    <t>18/05/2026 12:20</t>
  </si>
  <si>
    <t>Amil Espaço Saúde - Ana Rosa </t>
  </si>
  <si>
    <t>Externo - Geral</t>
  </si>
  <si>
    <t>EDILEUSA CELESTINO DE ALMEIDA</t>
  </si>
  <si>
    <t>11-986210368</t>
  </si>
  <si>
    <t>EDUARDO DAMIAO DE SOUZA</t>
  </si>
  <si>
    <t>GUARULHOS</t>
  </si>
  <si>
    <t>11-968898247</t>
  </si>
  <si>
    <t>EDVALDO MARCOS DE JESUS</t>
  </si>
  <si>
    <t>11-992092626</t>
  </si>
  <si>
    <t>Recusa</t>
  </si>
  <si>
    <t>EDY IOLANDA PALERMO DE MENEZES GUERRA</t>
  </si>
  <si>
    <t>21-980299407</t>
  </si>
  <si>
    <t>5. Alta a pedido - perda de interesse</t>
  </si>
  <si>
    <t>Não realizada - Desistência</t>
  </si>
  <si>
    <t>ELIANE TAVARES DA SILVA ALVES</t>
  </si>
  <si>
    <t>21-964073716</t>
  </si>
  <si>
    <t>21/05/2026 12:40</t>
  </si>
  <si>
    <t>ELISABETH DO NASCIMENTO</t>
  </si>
  <si>
    <t>11-53553121</t>
  </si>
  <si>
    <t>ELVECIO GAMA DA CUNHA</t>
  </si>
  <si>
    <t>CARAPICUIBA</t>
  </si>
  <si>
    <t>11-998016374</t>
  </si>
  <si>
    <t>26/05/2026 14:20</t>
  </si>
  <si>
    <t>FABIANA BUENO DE SOUZA LOBO</t>
  </si>
  <si>
    <t>11-983437168</t>
  </si>
  <si>
    <t>27/05/2026 12:40</t>
  </si>
  <si>
    <t>FABIO FERREIRA LEITE</t>
  </si>
  <si>
    <t>11-970979100</t>
  </si>
  <si>
    <t>FABIO RAMOS</t>
  </si>
  <si>
    <t>NÍVEL 700</t>
  </si>
  <si>
    <t>11-995385734</t>
  </si>
  <si>
    <t>FABIO ROCHA</t>
  </si>
  <si>
    <t>11-998466756</t>
  </si>
  <si>
    <t>Inativo</t>
  </si>
  <si>
    <t>FLAVIA LUNARDELLI ZUCHELLI</t>
  </si>
  <si>
    <t>11-976840437</t>
  </si>
  <si>
    <t>19/05/2026 15:20</t>
  </si>
  <si>
    <t>GABRIEL BIANCO ROSA SALGADO</t>
  </si>
  <si>
    <t>11-933836105</t>
  </si>
  <si>
    <t>GERALDO MARCIO PERES MAINENTI</t>
  </si>
  <si>
    <t>21-981755000</t>
  </si>
  <si>
    <t>ILIANY MARIA SALGADO GOMES</t>
  </si>
  <si>
    <t>21-999797958</t>
  </si>
  <si>
    <t>25/05/2026 10:20</t>
  </si>
  <si>
    <t>ISABELA SANCHEZ</t>
  </si>
  <si>
    <t>11-980293309</t>
  </si>
  <si>
    <t>JACIRA DE SOUSA</t>
  </si>
  <si>
    <t>11-995790218</t>
  </si>
  <si>
    <t>20/05/2026 12:20</t>
  </si>
  <si>
    <t>JACQUELINE DA SILVA MOREIRA DIAS</t>
  </si>
  <si>
    <t>21-987162479</t>
  </si>
  <si>
    <t>JESSICA FERREIRA DE OLIVEIRA SANTOS</t>
  </si>
  <si>
    <t>11-983375802</t>
  </si>
  <si>
    <t>25/05/2026 11:00</t>
  </si>
  <si>
    <t>JOSE FERNANDO OLIVEIRA DE MATTOS MOURA</t>
  </si>
  <si>
    <t>11-999313809</t>
  </si>
  <si>
    <t>26/05/2026 14:00</t>
  </si>
  <si>
    <t>JOSE ROBERTO CUNHA</t>
  </si>
  <si>
    <t>11-993092886</t>
  </si>
  <si>
    <t>25/05/2026 14:00</t>
  </si>
  <si>
    <t>JOSE ROBERTO MARTINI</t>
  </si>
  <si>
    <t>NÍVEL 100</t>
  </si>
  <si>
    <t>11-970231005</t>
  </si>
  <si>
    <t>JULIANA MAURICIO DA SILVA</t>
  </si>
  <si>
    <t>11-973151725</t>
  </si>
  <si>
    <t>27/05/2026 09:40</t>
  </si>
  <si>
    <t>KARLA DO CARMO TEIXEIRA</t>
  </si>
  <si>
    <t>11-982166818</t>
  </si>
  <si>
    <t>Amil Espaço Saúde - Santo Amaro</t>
  </si>
  <si>
    <t>KAUA PEREIRA FONSECA</t>
  </si>
  <si>
    <t>11-957191794</t>
  </si>
  <si>
    <t>LEONICE DA CONCEICAO AMENOR</t>
  </si>
  <si>
    <t>21-987871874</t>
  </si>
  <si>
    <t>LUCIA HELENA BOVO CALZADO</t>
  </si>
  <si>
    <t>11-998187475</t>
  </si>
  <si>
    <t>LUCIA HELENA MOREIRA DA SILVA</t>
  </si>
  <si>
    <t>21-965280309</t>
  </si>
  <si>
    <t>22/05/2026 15:20</t>
  </si>
  <si>
    <t>LUCIANE BARBOZA DE SOUZA</t>
  </si>
  <si>
    <t>21-997124844</t>
  </si>
  <si>
    <t>22/05/2026 16:40</t>
  </si>
  <si>
    <t>LUCIANO VITOR DE ALMEIDA</t>
  </si>
  <si>
    <t>11-947158946</t>
  </si>
  <si>
    <t>LUCIO FRANCISCO DE FARIAS</t>
  </si>
  <si>
    <t>11-949878885</t>
  </si>
  <si>
    <t>22/05/2026 15:00</t>
  </si>
  <si>
    <t>LUIS CARLOS FERNANDES</t>
  </si>
  <si>
    <t>11-967935617</t>
  </si>
  <si>
    <t>20/05/2026 14:40</t>
  </si>
  <si>
    <t>LUIZ IVAM SALES DOS REIS</t>
  </si>
  <si>
    <t>21-982588810</t>
  </si>
  <si>
    <t>LUIZ JOSE DE OLIVEIRA FILHO</t>
  </si>
  <si>
    <t>SAO GONÇALO</t>
  </si>
  <si>
    <t>21-998689754</t>
  </si>
  <si>
    <t>18/05/2026 10:00</t>
  </si>
  <si>
    <t>MARCO ESPOSITO</t>
  </si>
  <si>
    <t>11-981275221</t>
  </si>
  <si>
    <t>MARCOS CASTILHOS GARCIA</t>
  </si>
  <si>
    <t>11-994057364</t>
  </si>
  <si>
    <t>21/05/2026 11:00</t>
  </si>
  <si>
    <t>MARCOS CEZAR BARBOSA REIS</t>
  </si>
  <si>
    <t>11-965478937</t>
  </si>
  <si>
    <t>19/05/2026 14:40</t>
  </si>
  <si>
    <t>MARGARIDA DA CONCEICAO CARDOSO</t>
  </si>
  <si>
    <t>11-971477718</t>
  </si>
  <si>
    <t>MARIA AUGUSTA DO VAL MAZZINI BRANCACCIO</t>
  </si>
  <si>
    <t>11-984708488</t>
  </si>
  <si>
    <t>MARIA CECILIA BORBA DE MORAES</t>
  </si>
  <si>
    <t>NÍVEL 200</t>
  </si>
  <si>
    <t>11-996216497</t>
  </si>
  <si>
    <t>MARIA CLEUSA DA SILVA</t>
  </si>
  <si>
    <t>11-970380158</t>
  </si>
  <si>
    <t>20/05/2026 10:00</t>
  </si>
  <si>
    <t>MARIA DA PENHA PINTO DE CARVALHO</t>
  </si>
  <si>
    <t>11-977954205</t>
  </si>
  <si>
    <t>MARIA DE FATIMA BATISTA PENTEADO</t>
  </si>
  <si>
    <t>11-962994452</t>
  </si>
  <si>
    <t>19/05/2026 11:20</t>
  </si>
  <si>
    <t>MARIA DO CARMO ALMEIDA</t>
  </si>
  <si>
    <t>11-98076-1590</t>
  </si>
  <si>
    <t>MARIA DO CARMO LEANDRO DA SILVA</t>
  </si>
  <si>
    <t>OSASCO</t>
  </si>
  <si>
    <t>11-954051033</t>
  </si>
  <si>
    <t>MARIA MARTA DA SILVA</t>
  </si>
  <si>
    <t>11-986424794</t>
  </si>
  <si>
    <t>22/05/2026 14:00</t>
  </si>
  <si>
    <t>MARIA VERONICA DA SILVA MATIAS</t>
  </si>
  <si>
    <t>11-951176195</t>
  </si>
  <si>
    <t>MARILEA RAMOS DE OLIVEIRA</t>
  </si>
  <si>
    <t>11-983989505</t>
  </si>
  <si>
    <t>MARIO TADEU DE CAMPOS PENTEADO</t>
  </si>
  <si>
    <t>11-995959238</t>
  </si>
  <si>
    <t>MELISSA DA SILVA ROSSI</t>
  </si>
  <si>
    <t>11-994876155</t>
  </si>
  <si>
    <t>MICHELE ROBERTA GOMES</t>
  </si>
  <si>
    <t>11-947222676</t>
  </si>
  <si>
    <t>26/05/2026 10:20</t>
  </si>
  <si>
    <t>MOISES ALKMIN FILHO</t>
  </si>
  <si>
    <t>11-996680285</t>
  </si>
  <si>
    <t>25/05/2026 16:40</t>
  </si>
  <si>
    <t>MONICA MARTINS DE SOUZA</t>
  </si>
  <si>
    <t>11-962635092</t>
  </si>
  <si>
    <t>Amil Espaço Saúde - Santana </t>
  </si>
  <si>
    <t>NADIA RAUCCI</t>
  </si>
  <si>
    <t>11-994644644</t>
  </si>
  <si>
    <t>ORLANDO MARCONDES MACHADO JR</t>
  </si>
  <si>
    <t>11-999415467</t>
  </si>
  <si>
    <t xml:space="preserve">Alta </t>
  </si>
  <si>
    <t>PEDRO JOSE LUIZ COELHO</t>
  </si>
  <si>
    <t>SAO BERNARDO DO CAMPO</t>
  </si>
  <si>
    <t>13-997620609</t>
  </si>
  <si>
    <t>PEDRO PAULO THOMAZ PESSUTTO</t>
  </si>
  <si>
    <t>11-999369197</t>
  </si>
  <si>
    <t>PRISCILA CASTRO DO NASCIMENTO</t>
  </si>
  <si>
    <t>SANTO ANDRE</t>
  </si>
  <si>
    <t>11-985698449</t>
  </si>
  <si>
    <t>RAIMUNDA ALVES NERI SANTOS</t>
  </si>
  <si>
    <t>11-997741522</t>
  </si>
  <si>
    <t>18/05/2026 14:00</t>
  </si>
  <si>
    <t>RAQUEL FERNANDES ROSA</t>
  </si>
  <si>
    <t>11-996277936</t>
  </si>
  <si>
    <t>20/05/2026 15:00</t>
  </si>
  <si>
    <t>RENATA DAMASCENO TEIXEIRA</t>
  </si>
  <si>
    <t>11-975763047</t>
  </si>
  <si>
    <t>20/05/2026 12:00</t>
  </si>
  <si>
    <t>RINAUDA MARTA NOMURA</t>
  </si>
  <si>
    <t>11-930601966</t>
  </si>
  <si>
    <t>Amil - Ud Cubatão Sp - Hospital Da Luz </t>
  </si>
  <si>
    <t>ROBERTO ANTONIO VASCONCELLOS</t>
  </si>
  <si>
    <t>21-981080849</t>
  </si>
  <si>
    <t>ROBERTO BLAGIN</t>
  </si>
  <si>
    <t>11-991796737</t>
  </si>
  <si>
    <t>RUBENS LUIS AMANCIO</t>
  </si>
  <si>
    <t>NI-NI</t>
  </si>
  <si>
    <t>RUY LOPES VIANA</t>
  </si>
  <si>
    <t>11-976415342</t>
  </si>
  <si>
    <t>SANDRA DE SOUZA</t>
  </si>
  <si>
    <t>21-981906340</t>
  </si>
  <si>
    <t>18/05/2026 09:40</t>
  </si>
  <si>
    <t>SANDRA LABA PEREIRA</t>
  </si>
  <si>
    <t>11-983353526</t>
  </si>
  <si>
    <t>SANDRA LUCIA ROSAS</t>
  </si>
  <si>
    <t>11-999529006</t>
  </si>
  <si>
    <t>21/05/2026 14:40</t>
  </si>
  <si>
    <t>Interno - Amil Geral</t>
  </si>
  <si>
    <t>SILVANA DE JESUS CONCEICAO</t>
  </si>
  <si>
    <t>11-974484222</t>
  </si>
  <si>
    <t>SILVIA CRISTHINE LAZARO REQUER</t>
  </si>
  <si>
    <t>11-993892431</t>
  </si>
  <si>
    <t>SILVIA DA CRUZ FERREIRA SOBRAL</t>
  </si>
  <si>
    <t>21-994669542</t>
  </si>
  <si>
    <t>19/05/2026 11:00</t>
  </si>
  <si>
    <t>Amil Espaço Saúde - Botafogo </t>
  </si>
  <si>
    <t>SILVIA ROBERTA DE OLIVEIRA</t>
  </si>
  <si>
    <t>11-22112746</t>
  </si>
  <si>
    <t>SONIA MARIA WADT</t>
  </si>
  <si>
    <t>11-999983148</t>
  </si>
  <si>
    <t>SONIA REGINA PICERNI GIAMARUSTI</t>
  </si>
  <si>
    <t>11-991127199</t>
  </si>
  <si>
    <t>SUELI APARECIDA MARQUES DOMINGOS</t>
  </si>
  <si>
    <t>11-999427031</t>
  </si>
  <si>
    <t>SULAMITA SCOLLETA</t>
  </si>
  <si>
    <t>11-985055112</t>
  </si>
  <si>
    <t>20/05/2026 10:20</t>
  </si>
  <si>
    <t>VANESSA FACIOLI SOARES DA SILVA</t>
  </si>
  <si>
    <t>11-977073593</t>
  </si>
  <si>
    <t>18/05/2026 15:40</t>
  </si>
  <si>
    <t>VANESSA MARIA DA SILVA</t>
  </si>
  <si>
    <t>11-954708363</t>
  </si>
  <si>
    <t>26/05/2026 16:00</t>
  </si>
  <si>
    <t>VERA LUCIA AGUIAR DA SILVA</t>
  </si>
  <si>
    <t>11-972561046</t>
  </si>
  <si>
    <t>22/05/2026 14:20</t>
  </si>
  <si>
    <t>VITORIA REGIA BATISTA DUARTE DA SILVA</t>
  </si>
  <si>
    <t>TABOAO DA SERRA</t>
  </si>
  <si>
    <t>11-954914976</t>
  </si>
  <si>
    <t>WAGNER MOLINA MARQUES</t>
  </si>
  <si>
    <t>11-973776200</t>
  </si>
  <si>
    <t>21/05/2026 11:20</t>
  </si>
  <si>
    <t>YLRAM BATISTA DE SOUZA</t>
  </si>
  <si>
    <t>11-970722724</t>
  </si>
  <si>
    <t>ZENILDA FERREIRA DA SILVA MAIA</t>
  </si>
  <si>
    <t>21-971137584</t>
  </si>
  <si>
    <t xml:space="preserve">Navegação </t>
  </si>
  <si>
    <t>074054751</t>
  </si>
  <si>
    <t>OLIVIO LUCCAS FILHO</t>
  </si>
  <si>
    <t>M</t>
  </si>
  <si>
    <t>VILA DEODORO</t>
  </si>
  <si>
    <t>11982244079 11999355801</t>
  </si>
  <si>
    <t>095588324</t>
  </si>
  <si>
    <t>TATIANA PIMENTA DE CARVALHO OLIVEIRA</t>
  </si>
  <si>
    <t>F</t>
  </si>
  <si>
    <t>JARDIM AIDA</t>
  </si>
  <si>
    <t>11947633649 11947633649 11947633649</t>
  </si>
  <si>
    <t>096355000</t>
  </si>
  <si>
    <t>PAULO SILVA DO CARMO</t>
  </si>
  <si>
    <t>ALTO DA MOOCA</t>
  </si>
  <si>
    <t>800263782</t>
  </si>
  <si>
    <t>MEIRE GUILHERME SANTOS PAES</t>
  </si>
  <si>
    <t>FREGUESIA DO O</t>
  </si>
  <si>
    <t>7. Em fase de captação</t>
  </si>
  <si>
    <t>Contato Sem Sucesso</t>
  </si>
  <si>
    <t>078978487</t>
  </si>
  <si>
    <t>MARIA TERESA BIZERRA DA SILVA</t>
  </si>
  <si>
    <t>827.784.857-91</t>
  </si>
  <si>
    <t>f</t>
  </si>
  <si>
    <t xml:space="preserve">SAO FRANCISCO XAVIER </t>
  </si>
  <si>
    <t>089668480</t>
  </si>
  <si>
    <t>HIROSHI SUZUKI</t>
  </si>
  <si>
    <t>JARDIM SANTA HELENA</t>
  </si>
  <si>
    <t>1197314-5688 11973145688</t>
  </si>
  <si>
    <t>086421782</t>
  </si>
  <si>
    <t>ANDREA CASTOR NOGUEIRA</t>
  </si>
  <si>
    <t>JARDIM PAULISTA</t>
  </si>
  <si>
    <t>11994680202 1155760959</t>
  </si>
  <si>
    <t>453776191</t>
  </si>
  <si>
    <t>EDVALDO ALVES DE FREITAS</t>
  </si>
  <si>
    <t xml:space="preserve">São Paulo </t>
  </si>
  <si>
    <t xml:space="preserve">ALTO DA RIVIERA </t>
  </si>
  <si>
    <t>779800346</t>
  </si>
  <si>
    <t>RENATA DIAS MONTEIRO</t>
  </si>
  <si>
    <t>VILA IMPERIO</t>
  </si>
  <si>
    <t>450051609</t>
  </si>
  <si>
    <t>JOSE CARLOS BAPTISTA</t>
  </si>
  <si>
    <t>SAO CAETANO DO SUL</t>
  </si>
  <si>
    <t>BOA VISTA</t>
  </si>
  <si>
    <t>450081621</t>
  </si>
  <si>
    <t>MARIA DE FATIMA SILVA SANTOS</t>
  </si>
  <si>
    <t>170.942.008-11</t>
  </si>
  <si>
    <t>VILA SUZANA</t>
  </si>
  <si>
    <t>JOSUE FAGUNDES DE OLIVEIRA</t>
  </si>
  <si>
    <t>ITAQUAQUECETUBA</t>
  </si>
  <si>
    <t>PEQUENO CORAÇAO</t>
  </si>
  <si>
    <t>ADELMA GONCALVES SANTOS GARCIA</t>
  </si>
  <si>
    <t>JARDIM PRESIDENTE DUTRA</t>
  </si>
  <si>
    <t>Forms Total Care</t>
  </si>
  <si>
    <t>MARIA JOSE FERNANDES DA SILVA</t>
  </si>
  <si>
    <t>459.370.797-87</t>
  </si>
  <si>
    <t>rio de janeiro</t>
  </si>
  <si>
    <t>COPACABANA</t>
  </si>
  <si>
    <t>Navegação</t>
  </si>
  <si>
    <t>AIDA ALVES CORDEIRO</t>
  </si>
  <si>
    <t>CONTINENTAL</t>
  </si>
  <si>
    <t>11998329334 1137680620 1198329334</t>
  </si>
  <si>
    <t>DANIELE JERONYMO PEREIRA DA SILVA MIRANDA</t>
  </si>
  <si>
    <t>VICENTE DE CARVALHO</t>
  </si>
  <si>
    <t>21972882680 2138136686 2197278268 21972882680</t>
  </si>
  <si>
    <t>Forms</t>
  </si>
  <si>
    <t>ELISATEBES CARLINI</t>
  </si>
  <si>
    <t>130.154.908-85</t>
  </si>
  <si>
    <t>Feminino</t>
  </si>
  <si>
    <t>sao paulo</t>
  </si>
  <si>
    <t>SAUDE</t>
  </si>
  <si>
    <t>RICARDO DA SILVA ANIBAL JUNIOR</t>
  </si>
  <si>
    <t>035.617.217-10</t>
  </si>
  <si>
    <t>Masculino</t>
  </si>
  <si>
    <t>VILA LEOPOLDINA</t>
  </si>
  <si>
    <t>21-981085009</t>
  </si>
  <si>
    <t>BRUNO COELHO MELO</t>
  </si>
  <si>
    <t>CACHAMBI</t>
  </si>
  <si>
    <t>FUMIE KURAHAYASHI BRUNO</t>
  </si>
  <si>
    <t>TATUAPE</t>
  </si>
  <si>
    <t>1120928332 11991298718</t>
  </si>
  <si>
    <t>ALEX RALF SANDER DE MELLO</t>
  </si>
  <si>
    <t>CENTRO</t>
  </si>
  <si>
    <t>21982934414 21982934414</t>
  </si>
  <si>
    <t>RAFAEL OLIVEIRA DE LIMA</t>
  </si>
  <si>
    <t>099.644.327-47</t>
  </si>
  <si>
    <t>OLAVO BILAC</t>
  </si>
  <si>
    <t>21-990143863</t>
  </si>
  <si>
    <t>THAIS REGINA KOSHIYAMA</t>
  </si>
  <si>
    <t>VILA ARRIETE</t>
  </si>
  <si>
    <t>11996334228 11996334228</t>
  </si>
  <si>
    <t>CINTIA RODRIGUES TESSAROTTO</t>
  </si>
  <si>
    <t>ALVARENGA</t>
  </si>
  <si>
    <t>MARCIO PEREIRA DOS SANTOS</t>
  </si>
  <si>
    <t>QUARTA PARADA</t>
  </si>
  <si>
    <t>LEANDRO DE JESUS NERES</t>
  </si>
  <si>
    <t>077.098.277-80</t>
  </si>
  <si>
    <t>TINGUAZINHO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</si>
  <si>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</si>
  <si>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</si>
  <si>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</si>
  <si>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</si>
  <si>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</si>
  <si>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</si>
  <si>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</si>
  <si>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</si>
  <si>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</si>
  <si>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</si>
  <si>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</si>
  <si>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</si>
  <si>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</si>
  <si>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</si>
  <si>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</si>
  <si>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</si>
  <si>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</si>
  <si>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</si>
  <si>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</si>
  <si>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</si>
  <si>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</si>
  <si>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</si>
  <si>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</si>
  <si>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</si>
  <si>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</si>
  <si>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</si>
  <si>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</si>
  <si>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</si>
  <si>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</si>
  <si>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</si>
  <si>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</si>
  <si>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mudança de região</t>
  </si>
  <si>
    <t>5. Alta por exclusão do plano</t>
  </si>
  <si>
    <t>5. Alta por outros motivos</t>
  </si>
  <si>
    <t>5. Alta a pedido da operadora</t>
  </si>
  <si>
    <t>6. Contato sem sucesso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</si>
  <si>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</si>
  <si>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</si>
  <si>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</si>
  <si>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</si>
  <si>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</si>
  <si>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</si>
  <si>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</si>
  <si>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</si>
  <si>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</si>
  <si>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</si>
  <si>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</si>
  <si>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</si>
  <si>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</si>
  <si>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Negativo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</si>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</sst>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36FBE92-8544-4BA3-BFB9-F496014D9228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7"/>
  <sheetViews>
    <sheetView showGridLines="0" tabSelected="1" zoomScale="89" zoomScaleNormal="130" workbookViewId="0">
      <pane xSplit="6" topLeftCell="AD1" activePane="topRight" state="frozen"/>
      <selection pane="topRight" activeCell="AK2" sqref="AK2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8.6640625" style="29" customWidth="1"/>
    <col min="4" max="4" width="9.5546875" style="29" customWidth="1"/>
    <col min="5" max="5" width="11.6640625" style="28" bestFit="1" customWidth="1"/>
    <col min="6" max="6" width="23.33203125" style="223" customWidth="1"/>
    <col min="7" max="7" width="12" style="30" bestFit="1" customWidth="1"/>
    <col min="8" max="8" width="19.109375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10.6640625" style="29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8.6640625" style="31" bestFit="1" customWidth="1"/>
    <col min="18" max="18" width="16.33203125" style="27" bestFit="1" customWidth="1"/>
    <col min="19" max="19" width="28.88671875" style="27" bestFit="1" customWidth="1"/>
    <col min="20" max="20" width="17.33203125" style="27" bestFit="1" customWidth="1"/>
    <col min="21" max="21" width="23.554687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2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bestFit="1" customWidth="1"/>
    <col min="39" max="39" width="9.44140625" style="197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46147</v>
      </c>
      <c r="C2" s="89" t="s">
        <v>48</v>
      </c>
      <c r="D2" s="89" t="s">
        <v>49</v>
      </c>
      <c r="E2" s="90">
        <v>81253073</v>
      </c>
      <c r="F2" s="221" t="s">
        <v>50</v>
      </c>
      <c r="G2" s="92">
        <v>735830819</v>
      </c>
      <c r="H2" s="93">
        <v>22051</v>
      </c>
      <c r="I2" s="89">
        <v>66</v>
      </c>
      <c r="J2" s="89"/>
      <c r="K2" s="89" t="s">
        <v>51</v>
      </c>
      <c r="L2" s="89" t="s">
        <v>52</v>
      </c>
      <c r="M2" s="89"/>
      <c r="N2" s="89" t="s">
        <v>53</v>
      </c>
      <c r="O2" s="94" t="s">
        <v>54</v>
      </c>
      <c r="P2" s="95" t="s">
        <v>55</v>
      </c>
      <c r="Q2" s="145" t="s">
        <v>56</v>
      </c>
      <c r="R2" s="96">
        <v>46171</v>
      </c>
      <c r="S2" s="97"/>
      <c r="T2" s="97" t="s">
        <v>57</v>
      </c>
      <c r="U2" s="97" t="s">
        <v>58</v>
      </c>
      <c r="V2" s="93">
        <v>46153</v>
      </c>
      <c r="W2" s="93">
        <v>46154</v>
      </c>
      <c r="X2" s="93">
        <v>46164</v>
      </c>
      <c r="Y2" s="98"/>
      <c r="Z2" s="89" t="s">
        <v>59</v>
      </c>
      <c r="AA2" s="97">
        <v>46181</v>
      </c>
      <c r="AB2" s="89" t="s">
        <v>60</v>
      </c>
      <c r="AC2" s="120"/>
      <c r="AD2" s="89" t="s">
        <v>61</v>
      </c>
      <c r="AE2" s="89">
        <v>54</v>
      </c>
      <c r="AF2" s="99" t="s">
        <v>62</v>
      </c>
      <c r="AG2" s="99" t="s">
        <v>63</v>
      </c>
      <c r="AH2" s="99" t="s">
        <v>64</v>
      </c>
      <c r="AI2" s="100" t="s">
        <v>65</v>
      </c>
      <c r="AJ2" s="100" t="s">
        <v>66</v>
      </c>
      <c r="AK2" s="100" t="s">
        <v>65</v>
      </c>
      <c r="AL2" s="45" t="s">
        <v>67</v>
      </c>
      <c r="AM2" s="199" t="str">
        <f t="shared" ref="AM2:AM65" si="0">MONTH(B2)&amp;"/"&amp;YEAR(B2)</f>
        <v>5/2026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24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5.5</v>
      </c>
      <c r="AT2" s="45">
        <f t="shared" ref="AT2:AT65" si="7">IF(AU2="S",IF(AND(Q2="1. Aceitou o programa",AB2="Realizada"),IFERROR(IF(AA2="",0,AA2-R2),0),0),0)</f>
        <v>10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46147</v>
      </c>
      <c r="C3" s="89" t="s">
        <v>48</v>
      </c>
      <c r="D3" s="89" t="s">
        <v>49</v>
      </c>
      <c r="E3" s="90">
        <v>85024488</v>
      </c>
      <c r="F3" s="221" t="s">
        <v>68</v>
      </c>
      <c r="G3" s="92">
        <v>8786345842</v>
      </c>
      <c r="H3" s="93">
        <v>24016</v>
      </c>
      <c r="I3" s="89">
        <v>60</v>
      </c>
      <c r="J3" s="89"/>
      <c r="K3" s="89" t="s">
        <v>51</v>
      </c>
      <c r="L3" s="89" t="s">
        <v>52</v>
      </c>
      <c r="M3" s="89"/>
      <c r="N3" s="89" t="s">
        <v>53</v>
      </c>
      <c r="O3" s="94" t="s">
        <v>69</v>
      </c>
      <c r="P3" s="95" t="s">
        <v>55</v>
      </c>
      <c r="Q3" s="145" t="s">
        <v>56</v>
      </c>
      <c r="R3" s="96">
        <v>46164</v>
      </c>
      <c r="S3" s="97"/>
      <c r="T3" s="97" t="s">
        <v>57</v>
      </c>
      <c r="U3" s="97" t="s">
        <v>58</v>
      </c>
      <c r="V3" s="93">
        <v>46153</v>
      </c>
      <c r="W3" s="93">
        <v>46154</v>
      </c>
      <c r="X3" s="93">
        <v>46164</v>
      </c>
      <c r="Y3" s="98"/>
      <c r="Z3" s="89" t="s">
        <v>59</v>
      </c>
      <c r="AA3" s="97">
        <v>46174</v>
      </c>
      <c r="AB3" s="89" t="s">
        <v>60</v>
      </c>
      <c r="AC3" s="120"/>
      <c r="AD3" s="89" t="s">
        <v>61</v>
      </c>
      <c r="AE3" s="89"/>
      <c r="AF3" s="99"/>
      <c r="AG3" s="99"/>
      <c r="AH3" s="99" t="s">
        <v>64</v>
      </c>
      <c r="AI3" s="100" t="s">
        <v>65</v>
      </c>
      <c r="AJ3" s="100" t="s">
        <v>66</v>
      </c>
      <c r="AK3" s="100" t="s">
        <v>65</v>
      </c>
      <c r="AL3" s="45" t="s">
        <v>67</v>
      </c>
      <c r="AM3" s="199" t="str">
        <f t="shared" si="0"/>
        <v>5/2026</v>
      </c>
      <c r="AN3" s="45">
        <f t="shared" si="1"/>
        <v>2</v>
      </c>
      <c r="AO3" s="45" t="str">
        <f t="shared" si="2"/>
        <v>5/2026</v>
      </c>
      <c r="AP3" s="45">
        <f t="shared" si="3"/>
        <v>4</v>
      </c>
      <c r="AQ3" s="45">
        <f t="shared" si="4"/>
        <v>17</v>
      </c>
      <c r="AR3" s="45">
        <f t="shared" si="5"/>
        <v>0</v>
      </c>
      <c r="AS3" s="45">
        <f t="shared" si="6"/>
        <v>5.5</v>
      </c>
      <c r="AT3" s="45">
        <f t="shared" si="7"/>
        <v>10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46147</v>
      </c>
      <c r="C4" s="89" t="s">
        <v>48</v>
      </c>
      <c r="D4" s="89" t="s">
        <v>49</v>
      </c>
      <c r="E4" s="90">
        <v>95356881</v>
      </c>
      <c r="F4" s="221" t="s">
        <v>70</v>
      </c>
      <c r="G4" s="92">
        <v>15177628809</v>
      </c>
      <c r="H4" s="93">
        <v>25789</v>
      </c>
      <c r="I4" s="89">
        <v>55</v>
      </c>
      <c r="J4" s="89"/>
      <c r="K4" s="89" t="s">
        <v>51</v>
      </c>
      <c r="L4" s="89" t="s">
        <v>52</v>
      </c>
      <c r="M4" s="89"/>
      <c r="N4" s="89" t="s">
        <v>53</v>
      </c>
      <c r="O4" s="94" t="s">
        <v>71</v>
      </c>
      <c r="P4" s="95" t="s">
        <v>55</v>
      </c>
      <c r="Q4" s="145" t="s">
        <v>56</v>
      </c>
      <c r="R4" s="96">
        <v>46163</v>
      </c>
      <c r="S4" s="97"/>
      <c r="T4" s="97" t="s">
        <v>57</v>
      </c>
      <c r="U4" s="97" t="s">
        <v>58</v>
      </c>
      <c r="V4" s="93">
        <v>46153</v>
      </c>
      <c r="W4" s="93">
        <v>46154</v>
      </c>
      <c r="X4" s="93">
        <v>46164</v>
      </c>
      <c r="Y4" s="98"/>
      <c r="Z4" s="89" t="s">
        <v>59</v>
      </c>
      <c r="AA4" s="97" t="s">
        <v>72</v>
      </c>
      <c r="AB4" s="89" t="s">
        <v>60</v>
      </c>
      <c r="AC4" s="120"/>
      <c r="AD4" s="89" t="s">
        <v>61</v>
      </c>
      <c r="AE4" s="89"/>
      <c r="AF4" s="99" t="s">
        <v>73</v>
      </c>
      <c r="AG4" s="99" t="s">
        <v>73</v>
      </c>
      <c r="AH4" s="99" t="s">
        <v>64</v>
      </c>
      <c r="AI4" s="100" t="s">
        <v>65</v>
      </c>
      <c r="AJ4" s="100" t="s">
        <v>66</v>
      </c>
      <c r="AK4" s="100" t="s">
        <v>65</v>
      </c>
      <c r="AL4" s="45" t="s">
        <v>67</v>
      </c>
      <c r="AM4" s="199" t="str">
        <f t="shared" si="0"/>
        <v>5/2026</v>
      </c>
      <c r="AN4" s="45">
        <f t="shared" si="1"/>
        <v>2</v>
      </c>
      <c r="AO4" s="45" t="str">
        <f t="shared" si="2"/>
        <v>5/2026</v>
      </c>
      <c r="AP4" s="45">
        <f t="shared" si="3"/>
        <v>4</v>
      </c>
      <c r="AQ4" s="45">
        <f t="shared" si="4"/>
        <v>16</v>
      </c>
      <c r="AR4" s="45">
        <f t="shared" si="5"/>
        <v>0</v>
      </c>
      <c r="AS4" s="45">
        <f t="shared" si="6"/>
        <v>5.5</v>
      </c>
      <c r="AT4" s="45">
        <f t="shared" si="7"/>
        <v>6.6388888888905058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46147</v>
      </c>
      <c r="C5" s="89" t="s">
        <v>48</v>
      </c>
      <c r="D5" s="89" t="s">
        <v>49</v>
      </c>
      <c r="E5" s="90">
        <v>799809101</v>
      </c>
      <c r="F5" s="221" t="s">
        <v>74</v>
      </c>
      <c r="G5" s="92">
        <v>14364291889</v>
      </c>
      <c r="H5" s="93">
        <v>27160</v>
      </c>
      <c r="I5" s="89">
        <v>52</v>
      </c>
      <c r="J5" s="89"/>
      <c r="K5" s="89" t="s">
        <v>51</v>
      </c>
      <c r="L5" s="89" t="s">
        <v>52</v>
      </c>
      <c r="M5" s="89"/>
      <c r="N5" s="89" t="s">
        <v>75</v>
      </c>
      <c r="O5" s="94" t="s">
        <v>76</v>
      </c>
      <c r="P5" s="95" t="s">
        <v>55</v>
      </c>
      <c r="Q5" s="145" t="s">
        <v>56</v>
      </c>
      <c r="R5" s="96">
        <v>46163</v>
      </c>
      <c r="S5" s="97"/>
      <c r="T5" s="97" t="s">
        <v>57</v>
      </c>
      <c r="U5" s="97" t="s">
        <v>58</v>
      </c>
      <c r="V5" s="93">
        <v>46153</v>
      </c>
      <c r="W5" s="93">
        <v>46154</v>
      </c>
      <c r="X5" s="93">
        <v>46164</v>
      </c>
      <c r="Y5" s="98"/>
      <c r="Z5" s="89" t="s">
        <v>59</v>
      </c>
      <c r="AA5" s="97" t="s">
        <v>77</v>
      </c>
      <c r="AB5" s="89" t="s">
        <v>60</v>
      </c>
      <c r="AC5" s="120"/>
      <c r="AD5" s="89" t="s">
        <v>78</v>
      </c>
      <c r="AE5" s="89">
        <v>43</v>
      </c>
      <c r="AF5" s="99" t="s">
        <v>73</v>
      </c>
      <c r="AG5" s="99" t="s">
        <v>73</v>
      </c>
      <c r="AH5" s="99" t="s">
        <v>64</v>
      </c>
      <c r="AI5" s="100" t="s">
        <v>65</v>
      </c>
      <c r="AJ5" s="100" t="s">
        <v>66</v>
      </c>
      <c r="AK5" s="100" t="s">
        <v>65</v>
      </c>
      <c r="AL5" s="45" t="s">
        <v>67</v>
      </c>
      <c r="AM5" s="199" t="str">
        <f t="shared" si="0"/>
        <v>5/2026</v>
      </c>
      <c r="AN5" s="45">
        <f t="shared" si="1"/>
        <v>2</v>
      </c>
      <c r="AO5" s="45" t="str">
        <f t="shared" si="2"/>
        <v>5/2026</v>
      </c>
      <c r="AP5" s="45">
        <f t="shared" si="3"/>
        <v>4</v>
      </c>
      <c r="AQ5" s="45">
        <f t="shared" si="4"/>
        <v>16</v>
      </c>
      <c r="AR5" s="45">
        <f t="shared" si="5"/>
        <v>0</v>
      </c>
      <c r="AS5" s="45">
        <f t="shared" si="6"/>
        <v>5.5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46147</v>
      </c>
      <c r="C6" s="89" t="s">
        <v>48</v>
      </c>
      <c r="D6" s="89" t="s">
        <v>49</v>
      </c>
      <c r="E6" s="90">
        <v>95958231</v>
      </c>
      <c r="F6" s="221" t="s">
        <v>79</v>
      </c>
      <c r="G6" s="92">
        <v>30637777816</v>
      </c>
      <c r="H6" s="93">
        <v>30098</v>
      </c>
      <c r="I6" s="89">
        <v>43</v>
      </c>
      <c r="J6" s="89"/>
      <c r="K6" s="89" t="s">
        <v>51</v>
      </c>
      <c r="L6" s="89" t="s">
        <v>52</v>
      </c>
      <c r="M6" s="89"/>
      <c r="N6" s="89" t="s">
        <v>53</v>
      </c>
      <c r="O6" s="94" t="s">
        <v>80</v>
      </c>
      <c r="P6" s="95" t="s">
        <v>55</v>
      </c>
      <c r="Q6" s="145" t="s">
        <v>56</v>
      </c>
      <c r="R6" s="96">
        <v>46153</v>
      </c>
      <c r="S6" s="97"/>
      <c r="T6" s="97" t="s">
        <v>57</v>
      </c>
      <c r="U6" s="97" t="s">
        <v>58</v>
      </c>
      <c r="V6" s="93">
        <v>46153</v>
      </c>
      <c r="W6" s="93" t="s">
        <v>81</v>
      </c>
      <c r="X6" s="93" t="s">
        <v>81</v>
      </c>
      <c r="Y6" s="98"/>
      <c r="Z6" s="89" t="s">
        <v>59</v>
      </c>
      <c r="AA6" s="97">
        <v>46161</v>
      </c>
      <c r="AB6" s="89" t="s">
        <v>60</v>
      </c>
      <c r="AC6" s="120"/>
      <c r="AD6" s="89" t="s">
        <v>61</v>
      </c>
      <c r="AE6" s="89"/>
      <c r="AF6" s="99" t="s">
        <v>82</v>
      </c>
      <c r="AG6" s="99" t="s">
        <v>82</v>
      </c>
      <c r="AH6" s="99" t="s">
        <v>83</v>
      </c>
      <c r="AI6" s="100" t="s">
        <v>65</v>
      </c>
      <c r="AJ6" s="100" t="s">
        <v>66</v>
      </c>
      <c r="AK6" s="100" t="s">
        <v>65</v>
      </c>
      <c r="AL6" s="45" t="s">
        <v>67</v>
      </c>
      <c r="AM6" s="199" t="str">
        <f t="shared" si="0"/>
        <v>5/2026</v>
      </c>
      <c r="AN6" s="45">
        <f t="shared" si="1"/>
        <v>2</v>
      </c>
      <c r="AO6" s="45" t="str">
        <f t="shared" si="2"/>
        <v>5/2026</v>
      </c>
      <c r="AP6" s="45">
        <f t="shared" si="3"/>
        <v>3</v>
      </c>
      <c r="AQ6" s="45">
        <f t="shared" si="4"/>
        <v>6</v>
      </c>
      <c r="AR6" s="45">
        <f t="shared" si="5"/>
        <v>0</v>
      </c>
      <c r="AS6" s="45">
        <f t="shared" si="6"/>
        <v>0</v>
      </c>
      <c r="AT6" s="45">
        <f t="shared" si="7"/>
        <v>8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46147</v>
      </c>
      <c r="C7" s="89" t="s">
        <v>48</v>
      </c>
      <c r="D7" s="89" t="s">
        <v>49</v>
      </c>
      <c r="E7" s="90">
        <v>95481382</v>
      </c>
      <c r="F7" s="221" t="s">
        <v>84</v>
      </c>
      <c r="G7" s="92">
        <v>16932062771</v>
      </c>
      <c r="H7" s="93">
        <v>35962</v>
      </c>
      <c r="I7" s="89">
        <v>27</v>
      </c>
      <c r="J7" s="89"/>
      <c r="K7" s="89" t="s">
        <v>85</v>
      </c>
      <c r="L7" s="89" t="s">
        <v>86</v>
      </c>
      <c r="M7" s="89"/>
      <c r="N7" s="89" t="s">
        <v>53</v>
      </c>
      <c r="O7" s="94" t="s">
        <v>87</v>
      </c>
      <c r="P7" s="95" t="s">
        <v>55</v>
      </c>
      <c r="Q7" s="145" t="s">
        <v>56</v>
      </c>
      <c r="R7" s="96">
        <v>46153</v>
      </c>
      <c r="S7" s="97"/>
      <c r="T7" s="97" t="s">
        <v>57</v>
      </c>
      <c r="U7" s="97" t="s">
        <v>58</v>
      </c>
      <c r="V7" s="93">
        <v>46153</v>
      </c>
      <c r="W7" s="93" t="s">
        <v>81</v>
      </c>
      <c r="X7" s="93" t="s">
        <v>81</v>
      </c>
      <c r="Y7" s="98"/>
      <c r="Z7" s="89" t="s">
        <v>59</v>
      </c>
      <c r="AA7" s="97">
        <v>46160</v>
      </c>
      <c r="AB7" s="89" t="s">
        <v>88</v>
      </c>
      <c r="AC7" s="120"/>
      <c r="AD7" s="89"/>
      <c r="AE7" s="89"/>
      <c r="AF7" s="99"/>
      <c r="AG7" s="99"/>
      <c r="AH7" s="99"/>
      <c r="AI7" s="100" t="s">
        <v>65</v>
      </c>
      <c r="AJ7" s="100" t="s">
        <v>66</v>
      </c>
      <c r="AK7" s="100" t="s">
        <v>65</v>
      </c>
      <c r="AL7" s="45" t="s">
        <v>67</v>
      </c>
      <c r="AM7" s="199" t="str">
        <f t="shared" si="0"/>
        <v>5/2026</v>
      </c>
      <c r="AN7" s="45">
        <f t="shared" si="1"/>
        <v>2</v>
      </c>
      <c r="AO7" s="45" t="str">
        <f t="shared" si="2"/>
        <v>5/2026</v>
      </c>
      <c r="AP7" s="45">
        <f t="shared" si="3"/>
        <v>3</v>
      </c>
      <c r="AQ7" s="45">
        <f t="shared" si="4"/>
        <v>6</v>
      </c>
      <c r="AR7" s="45">
        <f t="shared" si="5"/>
        <v>0</v>
      </c>
      <c r="AS7" s="45">
        <f t="shared" si="6"/>
        <v>0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46147</v>
      </c>
      <c r="C8" s="89" t="s">
        <v>48</v>
      </c>
      <c r="D8" s="89" t="s">
        <v>49</v>
      </c>
      <c r="E8" s="90">
        <v>72918159</v>
      </c>
      <c r="F8" s="221" t="s">
        <v>89</v>
      </c>
      <c r="G8" s="92">
        <v>33960898800</v>
      </c>
      <c r="H8" s="93">
        <v>31209</v>
      </c>
      <c r="I8" s="89">
        <v>40</v>
      </c>
      <c r="J8" s="89"/>
      <c r="K8" s="89" t="s">
        <v>51</v>
      </c>
      <c r="L8" s="89" t="s">
        <v>52</v>
      </c>
      <c r="M8" s="89"/>
      <c r="N8" s="89" t="s">
        <v>90</v>
      </c>
      <c r="O8" s="94" t="s">
        <v>91</v>
      </c>
      <c r="P8" s="95" t="s">
        <v>55</v>
      </c>
      <c r="Q8" s="145" t="s">
        <v>56</v>
      </c>
      <c r="R8" s="96">
        <v>46153</v>
      </c>
      <c r="S8" s="97"/>
      <c r="T8" s="97" t="s">
        <v>57</v>
      </c>
      <c r="U8" s="97" t="s">
        <v>58</v>
      </c>
      <c r="V8" s="93">
        <v>46153</v>
      </c>
      <c r="W8" s="93" t="s">
        <v>81</v>
      </c>
      <c r="X8" s="93" t="s">
        <v>81</v>
      </c>
      <c r="Y8" s="98"/>
      <c r="Z8" s="89" t="s">
        <v>59</v>
      </c>
      <c r="AA8" s="97" t="s">
        <v>72</v>
      </c>
      <c r="AB8" s="89" t="s">
        <v>88</v>
      </c>
      <c r="AC8" s="120"/>
      <c r="AD8" s="89"/>
      <c r="AE8" s="89"/>
      <c r="AF8" s="99"/>
      <c r="AG8" s="99"/>
      <c r="AH8" s="99"/>
      <c r="AI8" s="100" t="s">
        <v>65</v>
      </c>
      <c r="AJ8" s="100" t="s">
        <v>66</v>
      </c>
      <c r="AK8" s="100" t="s">
        <v>65</v>
      </c>
      <c r="AL8" s="45" t="s">
        <v>67</v>
      </c>
      <c r="AM8" s="199" t="str">
        <f t="shared" si="0"/>
        <v>5/2026</v>
      </c>
      <c r="AN8" s="45">
        <f t="shared" si="1"/>
        <v>2</v>
      </c>
      <c r="AO8" s="45" t="str">
        <f t="shared" si="2"/>
        <v>5/2026</v>
      </c>
      <c r="AP8" s="45">
        <f t="shared" si="3"/>
        <v>3</v>
      </c>
      <c r="AQ8" s="45">
        <f t="shared" si="4"/>
        <v>6</v>
      </c>
      <c r="AR8" s="45">
        <f t="shared" si="5"/>
        <v>0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46147</v>
      </c>
      <c r="C9" s="89" t="s">
        <v>48</v>
      </c>
      <c r="D9" s="89" t="s">
        <v>49</v>
      </c>
      <c r="E9" s="90">
        <v>88892032</v>
      </c>
      <c r="F9" s="221" t="s">
        <v>92</v>
      </c>
      <c r="G9" s="92">
        <v>33700002882</v>
      </c>
      <c r="H9" s="93">
        <v>31161</v>
      </c>
      <c r="I9" s="89">
        <v>41</v>
      </c>
      <c r="J9" s="89"/>
      <c r="K9" s="89" t="s">
        <v>51</v>
      </c>
      <c r="L9" s="89" t="s">
        <v>52</v>
      </c>
      <c r="M9" s="89"/>
      <c r="N9" s="89" t="s">
        <v>53</v>
      </c>
      <c r="O9" s="94" t="s">
        <v>93</v>
      </c>
      <c r="P9" s="95" t="s">
        <v>55</v>
      </c>
      <c r="Q9" s="145" t="s">
        <v>56</v>
      </c>
      <c r="R9" s="96">
        <v>46153</v>
      </c>
      <c r="S9" s="97"/>
      <c r="T9" s="97" t="s">
        <v>57</v>
      </c>
      <c r="U9" s="97" t="s">
        <v>58</v>
      </c>
      <c r="V9" s="93">
        <v>46153</v>
      </c>
      <c r="W9" s="93" t="s">
        <v>81</v>
      </c>
      <c r="X9" s="93" t="s">
        <v>81</v>
      </c>
      <c r="Y9" s="98"/>
      <c r="Z9" s="89" t="s">
        <v>59</v>
      </c>
      <c r="AA9" s="97" t="s">
        <v>94</v>
      </c>
      <c r="AB9" s="89" t="s">
        <v>88</v>
      </c>
      <c r="AC9" s="120"/>
      <c r="AD9" s="89"/>
      <c r="AE9" s="89"/>
      <c r="AF9" s="99"/>
      <c r="AG9" s="99"/>
      <c r="AH9" s="99"/>
      <c r="AI9" s="100" t="s">
        <v>65</v>
      </c>
      <c r="AJ9" s="100" t="s">
        <v>66</v>
      </c>
      <c r="AK9" s="100" t="s">
        <v>65</v>
      </c>
      <c r="AL9" s="45" t="s">
        <v>67</v>
      </c>
      <c r="AM9" s="199" t="str">
        <f t="shared" si="0"/>
        <v>5/2026</v>
      </c>
      <c r="AN9" s="45">
        <f t="shared" si="1"/>
        <v>2</v>
      </c>
      <c r="AO9" s="45" t="str">
        <f t="shared" si="2"/>
        <v>5/2026</v>
      </c>
      <c r="AP9" s="45">
        <f t="shared" si="3"/>
        <v>3</v>
      </c>
      <c r="AQ9" s="45">
        <f t="shared" si="4"/>
        <v>6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46147</v>
      </c>
      <c r="C10" s="89" t="s">
        <v>48</v>
      </c>
      <c r="D10" s="89" t="s">
        <v>49</v>
      </c>
      <c r="E10" s="90">
        <v>87595231</v>
      </c>
      <c r="F10" s="221" t="s">
        <v>95</v>
      </c>
      <c r="G10" s="92">
        <v>7656156739</v>
      </c>
      <c r="H10" s="93">
        <v>28934</v>
      </c>
      <c r="I10" s="89">
        <v>47</v>
      </c>
      <c r="J10" s="89"/>
      <c r="K10" s="89" t="s">
        <v>85</v>
      </c>
      <c r="L10" s="89" t="s">
        <v>96</v>
      </c>
      <c r="M10" s="89"/>
      <c r="N10" s="89" t="s">
        <v>97</v>
      </c>
      <c r="O10" s="94" t="s">
        <v>98</v>
      </c>
      <c r="P10" s="95" t="s">
        <v>55</v>
      </c>
      <c r="Q10" s="145" t="s">
        <v>56</v>
      </c>
      <c r="R10" s="96">
        <v>46153</v>
      </c>
      <c r="S10" s="97"/>
      <c r="T10" s="97" t="s">
        <v>57</v>
      </c>
      <c r="U10" s="97" t="s">
        <v>58</v>
      </c>
      <c r="V10" s="93">
        <v>46153</v>
      </c>
      <c r="W10" s="93" t="s">
        <v>81</v>
      </c>
      <c r="X10" s="93" t="s">
        <v>81</v>
      </c>
      <c r="Y10" s="98"/>
      <c r="Z10" s="89" t="s">
        <v>59</v>
      </c>
      <c r="AA10" s="97" t="s">
        <v>99</v>
      </c>
      <c r="AB10" s="89" t="s">
        <v>88</v>
      </c>
      <c r="AC10" s="120">
        <v>46178</v>
      </c>
      <c r="AD10" s="89"/>
      <c r="AE10" s="89"/>
      <c r="AF10" s="99"/>
      <c r="AG10" s="99"/>
      <c r="AH10" s="99"/>
      <c r="AI10" s="100" t="s">
        <v>65</v>
      </c>
      <c r="AJ10" s="100" t="s">
        <v>66</v>
      </c>
      <c r="AK10" s="100" t="s">
        <v>65</v>
      </c>
      <c r="AL10" s="45" t="s">
        <v>67</v>
      </c>
      <c r="AM10" s="199" t="str">
        <f t="shared" si="0"/>
        <v>5/2026</v>
      </c>
      <c r="AN10" s="45">
        <f t="shared" si="1"/>
        <v>2</v>
      </c>
      <c r="AO10" s="45" t="str">
        <f t="shared" si="2"/>
        <v>5/2026</v>
      </c>
      <c r="AP10" s="45">
        <f t="shared" si="3"/>
        <v>3</v>
      </c>
      <c r="AQ10" s="45">
        <f t="shared" si="4"/>
        <v>6</v>
      </c>
      <c r="AR10" s="45">
        <f t="shared" si="5"/>
        <v>0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46147</v>
      </c>
      <c r="C11" s="89" t="s">
        <v>48</v>
      </c>
      <c r="D11" s="89" t="s">
        <v>49</v>
      </c>
      <c r="E11" s="90">
        <v>93850949</v>
      </c>
      <c r="F11" s="221" t="s">
        <v>100</v>
      </c>
      <c r="G11" s="92">
        <v>3552084746</v>
      </c>
      <c r="H11" s="93">
        <v>27348</v>
      </c>
      <c r="I11" s="89">
        <v>51</v>
      </c>
      <c r="J11" s="89"/>
      <c r="K11" s="89" t="s">
        <v>85</v>
      </c>
      <c r="L11" s="89" t="s">
        <v>96</v>
      </c>
      <c r="M11" s="89"/>
      <c r="N11" s="89" t="s">
        <v>101</v>
      </c>
      <c r="O11" s="94" t="s">
        <v>102</v>
      </c>
      <c r="P11" s="95" t="s">
        <v>55</v>
      </c>
      <c r="Q11" s="145" t="s">
        <v>56</v>
      </c>
      <c r="R11" s="96">
        <v>46153</v>
      </c>
      <c r="S11" s="97"/>
      <c r="T11" s="97" t="s">
        <v>57</v>
      </c>
      <c r="U11" s="97" t="s">
        <v>58</v>
      </c>
      <c r="V11" s="93">
        <v>46153</v>
      </c>
      <c r="W11" s="93" t="s">
        <v>81</v>
      </c>
      <c r="X11" s="93" t="s">
        <v>81</v>
      </c>
      <c r="Y11" s="98"/>
      <c r="Z11" s="89" t="s">
        <v>59</v>
      </c>
      <c r="AA11" s="97" t="s">
        <v>103</v>
      </c>
      <c r="AB11" s="89" t="s">
        <v>60</v>
      </c>
      <c r="AC11" s="120"/>
      <c r="AD11" s="89" t="s">
        <v>61</v>
      </c>
      <c r="AE11" s="89"/>
      <c r="AF11" s="99" t="s">
        <v>104</v>
      </c>
      <c r="AG11" s="99" t="s">
        <v>104</v>
      </c>
      <c r="AH11" s="99" t="s">
        <v>64</v>
      </c>
      <c r="AI11" s="100" t="s">
        <v>65</v>
      </c>
      <c r="AJ11" s="100" t="s">
        <v>66</v>
      </c>
      <c r="AK11" s="100" t="s">
        <v>65</v>
      </c>
      <c r="AL11" s="45" t="s">
        <v>67</v>
      </c>
      <c r="AM11" s="199" t="str">
        <f t="shared" si="0"/>
        <v>5/2026</v>
      </c>
      <c r="AN11" s="45">
        <f t="shared" si="1"/>
        <v>2</v>
      </c>
      <c r="AO11" s="45" t="str">
        <f t="shared" si="2"/>
        <v>5/2026</v>
      </c>
      <c r="AP11" s="45">
        <f t="shared" si="3"/>
        <v>3</v>
      </c>
      <c r="AQ11" s="45">
        <f t="shared" si="4"/>
        <v>6</v>
      </c>
      <c r="AR11" s="45">
        <f t="shared" si="5"/>
        <v>0</v>
      </c>
      <c r="AS11" s="45">
        <f t="shared" si="6"/>
        <v>0</v>
      </c>
      <c r="AT11" s="45">
        <f t="shared" si="7"/>
        <v>7.4444444444452529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46147</v>
      </c>
      <c r="C12" s="89" t="s">
        <v>48</v>
      </c>
      <c r="D12" s="89" t="s">
        <v>49</v>
      </c>
      <c r="E12" s="90">
        <v>301012105</v>
      </c>
      <c r="F12" s="221" t="s">
        <v>105</v>
      </c>
      <c r="G12" s="92">
        <v>28127613851</v>
      </c>
      <c r="H12" s="93">
        <v>27288</v>
      </c>
      <c r="I12" s="89">
        <v>51</v>
      </c>
      <c r="J12" s="89"/>
      <c r="K12" s="89" t="s">
        <v>51</v>
      </c>
      <c r="L12" s="89" t="s">
        <v>52</v>
      </c>
      <c r="M12" s="89"/>
      <c r="N12" s="89" t="s">
        <v>106</v>
      </c>
      <c r="O12" s="94" t="s">
        <v>107</v>
      </c>
      <c r="P12" s="95" t="s">
        <v>55</v>
      </c>
      <c r="Q12" s="145" t="s">
        <v>56</v>
      </c>
      <c r="R12" s="96">
        <v>46153</v>
      </c>
      <c r="S12" s="97"/>
      <c r="T12" s="97" t="s">
        <v>57</v>
      </c>
      <c r="U12" s="97" t="s">
        <v>58</v>
      </c>
      <c r="V12" s="93">
        <v>46153</v>
      </c>
      <c r="W12" s="93" t="s">
        <v>81</v>
      </c>
      <c r="X12" s="93" t="s">
        <v>81</v>
      </c>
      <c r="Y12" s="98"/>
      <c r="Z12" s="89" t="s">
        <v>59</v>
      </c>
      <c r="AA12" s="97">
        <v>46171</v>
      </c>
      <c r="AB12" s="89" t="s">
        <v>88</v>
      </c>
      <c r="AC12" s="120">
        <v>46178</v>
      </c>
      <c r="AD12" s="89"/>
      <c r="AE12" s="89"/>
      <c r="AF12" s="99"/>
      <c r="AG12" s="99"/>
      <c r="AH12" s="99"/>
      <c r="AI12" s="100" t="s">
        <v>65</v>
      </c>
      <c r="AJ12" s="100" t="s">
        <v>66</v>
      </c>
      <c r="AK12" s="100" t="s">
        <v>65</v>
      </c>
      <c r="AL12" s="45" t="s">
        <v>67</v>
      </c>
      <c r="AM12" s="199" t="str">
        <f t="shared" si="0"/>
        <v>5/2026</v>
      </c>
      <c r="AN12" s="45">
        <f t="shared" si="1"/>
        <v>2</v>
      </c>
      <c r="AO12" s="45" t="str">
        <f t="shared" si="2"/>
        <v>5/2026</v>
      </c>
      <c r="AP12" s="45">
        <f t="shared" si="3"/>
        <v>3</v>
      </c>
      <c r="AQ12" s="45">
        <f t="shared" si="4"/>
        <v>6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46147</v>
      </c>
      <c r="C13" s="89" t="s">
        <v>48</v>
      </c>
      <c r="D13" s="89" t="s">
        <v>49</v>
      </c>
      <c r="E13" s="90">
        <v>76109815</v>
      </c>
      <c r="F13" s="221" t="s">
        <v>108</v>
      </c>
      <c r="G13" s="92">
        <v>64612635787</v>
      </c>
      <c r="H13" s="93">
        <v>17986</v>
      </c>
      <c r="I13" s="89">
        <v>77</v>
      </c>
      <c r="J13" s="89"/>
      <c r="K13" s="89" t="s">
        <v>85</v>
      </c>
      <c r="L13" s="89" t="s">
        <v>86</v>
      </c>
      <c r="M13" s="89"/>
      <c r="N13" s="89" t="s">
        <v>109</v>
      </c>
      <c r="O13" s="94" t="s">
        <v>110</v>
      </c>
      <c r="P13" s="95" t="s">
        <v>55</v>
      </c>
      <c r="Q13" s="145" t="s">
        <v>56</v>
      </c>
      <c r="R13" s="96">
        <v>46153</v>
      </c>
      <c r="S13" s="97"/>
      <c r="T13" s="97" t="s">
        <v>57</v>
      </c>
      <c r="U13" s="97" t="s">
        <v>58</v>
      </c>
      <c r="V13" s="93">
        <v>46153</v>
      </c>
      <c r="W13" s="93" t="s">
        <v>81</v>
      </c>
      <c r="X13" s="93" t="s">
        <v>81</v>
      </c>
      <c r="Y13" s="98"/>
      <c r="Z13" s="89" t="s">
        <v>59</v>
      </c>
      <c r="AA13" s="97">
        <v>46171</v>
      </c>
      <c r="AB13" s="89" t="s">
        <v>88</v>
      </c>
      <c r="AC13" s="120"/>
      <c r="AD13" s="89"/>
      <c r="AE13" s="89"/>
      <c r="AF13" s="99"/>
      <c r="AG13" s="99"/>
      <c r="AH13" s="99"/>
      <c r="AI13" s="100" t="s">
        <v>65</v>
      </c>
      <c r="AJ13" s="100" t="s">
        <v>66</v>
      </c>
      <c r="AK13" s="100" t="s">
        <v>65</v>
      </c>
      <c r="AL13" s="45" t="s">
        <v>67</v>
      </c>
      <c r="AM13" s="199" t="str">
        <f t="shared" si="0"/>
        <v>5/2026</v>
      </c>
      <c r="AN13" s="45">
        <f t="shared" si="1"/>
        <v>2</v>
      </c>
      <c r="AO13" s="45" t="str">
        <f t="shared" si="2"/>
        <v>5/2026</v>
      </c>
      <c r="AP13" s="45">
        <f t="shared" si="3"/>
        <v>3</v>
      </c>
      <c r="AQ13" s="45">
        <f t="shared" si="4"/>
        <v>6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46147</v>
      </c>
      <c r="C14" s="89" t="s">
        <v>48</v>
      </c>
      <c r="D14" s="89" t="s">
        <v>49</v>
      </c>
      <c r="E14" s="90">
        <v>11136359</v>
      </c>
      <c r="F14" s="221" t="s">
        <v>111</v>
      </c>
      <c r="G14" s="92">
        <v>43197221753</v>
      </c>
      <c r="H14" s="93">
        <v>15989</v>
      </c>
      <c r="I14" s="89">
        <v>82</v>
      </c>
      <c r="J14" s="89"/>
      <c r="K14" s="89" t="s">
        <v>85</v>
      </c>
      <c r="L14" s="89" t="s">
        <v>96</v>
      </c>
      <c r="M14" s="89"/>
      <c r="N14" s="89" t="s">
        <v>112</v>
      </c>
      <c r="O14" s="94" t="s">
        <v>113</v>
      </c>
      <c r="P14" s="95" t="s">
        <v>55</v>
      </c>
      <c r="Q14" s="145" t="s">
        <v>56</v>
      </c>
      <c r="R14" s="96">
        <v>46153</v>
      </c>
      <c r="S14" s="97"/>
      <c r="T14" s="97" t="s">
        <v>57</v>
      </c>
      <c r="U14" s="97" t="s">
        <v>58</v>
      </c>
      <c r="V14" s="93">
        <v>46153</v>
      </c>
      <c r="W14" s="93" t="s">
        <v>81</v>
      </c>
      <c r="X14" s="93" t="s">
        <v>81</v>
      </c>
      <c r="Y14" s="98"/>
      <c r="Z14" s="89" t="s">
        <v>59</v>
      </c>
      <c r="AA14" s="97" t="s">
        <v>114</v>
      </c>
      <c r="AB14" s="89" t="s">
        <v>88</v>
      </c>
      <c r="AC14" s="120"/>
      <c r="AD14" s="89"/>
      <c r="AE14" s="89"/>
      <c r="AF14" s="99"/>
      <c r="AG14" s="99"/>
      <c r="AH14" s="99"/>
      <c r="AI14" s="100" t="s">
        <v>65</v>
      </c>
      <c r="AJ14" s="100" t="s">
        <v>66</v>
      </c>
      <c r="AK14" s="100" t="s">
        <v>65</v>
      </c>
      <c r="AL14" s="45" t="s">
        <v>67</v>
      </c>
      <c r="AM14" s="199" t="str">
        <f t="shared" si="0"/>
        <v>5/2026</v>
      </c>
      <c r="AN14" s="45">
        <f t="shared" si="1"/>
        <v>2</v>
      </c>
      <c r="AO14" s="45" t="str">
        <f t="shared" si="2"/>
        <v>5/2026</v>
      </c>
      <c r="AP14" s="45">
        <f t="shared" si="3"/>
        <v>3</v>
      </c>
      <c r="AQ14" s="45">
        <f t="shared" si="4"/>
        <v>6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46147</v>
      </c>
      <c r="C15" s="89" t="s">
        <v>48</v>
      </c>
      <c r="D15" s="89" t="s">
        <v>49</v>
      </c>
      <c r="E15" s="90">
        <v>81384759</v>
      </c>
      <c r="F15" s="221" t="s">
        <v>115</v>
      </c>
      <c r="G15" s="92">
        <v>13210635803</v>
      </c>
      <c r="H15" s="93">
        <v>27018</v>
      </c>
      <c r="I15" s="89">
        <v>52</v>
      </c>
      <c r="J15" s="89"/>
      <c r="K15" s="89" t="s">
        <v>51</v>
      </c>
      <c r="L15" s="89" t="s">
        <v>52</v>
      </c>
      <c r="M15" s="89"/>
      <c r="N15" s="89" t="s">
        <v>116</v>
      </c>
      <c r="O15" s="94" t="s">
        <v>117</v>
      </c>
      <c r="P15" s="95" t="s">
        <v>55</v>
      </c>
      <c r="Q15" s="145" t="s">
        <v>118</v>
      </c>
      <c r="R15" s="96">
        <v>46153</v>
      </c>
      <c r="S15" s="97">
        <v>46160</v>
      </c>
      <c r="T15" s="97" t="s">
        <v>57</v>
      </c>
      <c r="U15" s="97" t="s">
        <v>119</v>
      </c>
      <c r="V15" s="93">
        <v>46153</v>
      </c>
      <c r="W15" s="93" t="s">
        <v>81</v>
      </c>
      <c r="X15" s="93" t="s">
        <v>81</v>
      </c>
      <c r="Y15" s="98" t="s">
        <v>120</v>
      </c>
      <c r="Z15" s="89" t="s">
        <v>59</v>
      </c>
      <c r="AA15" s="97">
        <v>46160</v>
      </c>
      <c r="AB15" s="89" t="s">
        <v>60</v>
      </c>
      <c r="AC15" s="120"/>
      <c r="AD15" s="89"/>
      <c r="AE15" s="89"/>
      <c r="AF15" s="99"/>
      <c r="AG15" s="99"/>
      <c r="AH15" s="99"/>
      <c r="AI15" s="100" t="s">
        <v>65</v>
      </c>
      <c r="AJ15" s="100" t="s">
        <v>121</v>
      </c>
      <c r="AK15" s="100" t="s">
        <v>65</v>
      </c>
      <c r="AL15" s="45" t="s">
        <v>67</v>
      </c>
      <c r="AM15" s="199" t="str">
        <f t="shared" si="0"/>
        <v>5/2026</v>
      </c>
      <c r="AN15" s="45">
        <f t="shared" si="1"/>
        <v>2</v>
      </c>
      <c r="AO15" s="45" t="str">
        <f t="shared" si="2"/>
        <v>5/2026</v>
      </c>
      <c r="AP15" s="45">
        <f t="shared" si="3"/>
        <v>3</v>
      </c>
      <c r="AQ15" s="45">
        <f t="shared" si="4"/>
        <v>0</v>
      </c>
      <c r="AR15" s="45">
        <f t="shared" si="5"/>
        <v>7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46147</v>
      </c>
      <c r="C16" s="89" t="s">
        <v>48</v>
      </c>
      <c r="D16" s="89" t="s">
        <v>49</v>
      </c>
      <c r="E16" s="90">
        <v>86421864</v>
      </c>
      <c r="F16" s="221" t="s">
        <v>122</v>
      </c>
      <c r="G16" s="92">
        <v>8642475838</v>
      </c>
      <c r="H16" s="93">
        <v>22479</v>
      </c>
      <c r="I16" s="89">
        <v>64</v>
      </c>
      <c r="J16" s="89"/>
      <c r="K16" s="89" t="s">
        <v>51</v>
      </c>
      <c r="L16" s="89" t="s">
        <v>52</v>
      </c>
      <c r="M16" s="89"/>
      <c r="N16" s="89" t="s">
        <v>123</v>
      </c>
      <c r="O16" s="94" t="s">
        <v>124</v>
      </c>
      <c r="P16" s="95" t="s">
        <v>55</v>
      </c>
      <c r="Q16" s="145" t="s">
        <v>56</v>
      </c>
      <c r="R16" s="96">
        <v>46153</v>
      </c>
      <c r="S16" s="97"/>
      <c r="T16" s="97" t="s">
        <v>57</v>
      </c>
      <c r="U16" s="97" t="s">
        <v>58</v>
      </c>
      <c r="V16" s="93">
        <v>46153</v>
      </c>
      <c r="W16" s="93" t="s">
        <v>81</v>
      </c>
      <c r="X16" s="93" t="s">
        <v>81</v>
      </c>
      <c r="Y16" s="98"/>
      <c r="Z16" s="89" t="s">
        <v>59</v>
      </c>
      <c r="AA16" s="97" t="s">
        <v>125</v>
      </c>
      <c r="AB16" s="89" t="s">
        <v>60</v>
      </c>
      <c r="AC16" s="120"/>
      <c r="AD16" s="89" t="s">
        <v>78</v>
      </c>
      <c r="AE16" s="89"/>
      <c r="AF16" s="99" t="s">
        <v>126</v>
      </c>
      <c r="AG16" s="99" t="s">
        <v>126</v>
      </c>
      <c r="AH16" s="99" t="s">
        <v>64</v>
      </c>
      <c r="AI16" s="100" t="s">
        <v>65</v>
      </c>
      <c r="AJ16" s="100" t="s">
        <v>66</v>
      </c>
      <c r="AK16" s="100" t="s">
        <v>65</v>
      </c>
      <c r="AL16" s="45" t="s">
        <v>67</v>
      </c>
      <c r="AM16" s="199" t="str">
        <f t="shared" si="0"/>
        <v>5/2026</v>
      </c>
      <c r="AN16" s="45">
        <f t="shared" si="1"/>
        <v>2</v>
      </c>
      <c r="AO16" s="45" t="str">
        <f t="shared" si="2"/>
        <v>5/2026</v>
      </c>
      <c r="AP16" s="45">
        <f t="shared" si="3"/>
        <v>3</v>
      </c>
      <c r="AQ16" s="45">
        <f t="shared" si="4"/>
        <v>6</v>
      </c>
      <c r="AR16" s="45">
        <f t="shared" si="5"/>
        <v>0</v>
      </c>
      <c r="AS16" s="45">
        <f t="shared" si="6"/>
        <v>0</v>
      </c>
      <c r="AT16" s="45">
        <f t="shared" si="7"/>
        <v>9.5972222222189885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46147</v>
      </c>
      <c r="C17" s="89" t="s">
        <v>48</v>
      </c>
      <c r="D17" s="89" t="s">
        <v>49</v>
      </c>
      <c r="E17" s="90">
        <v>93437601</v>
      </c>
      <c r="F17" s="221" t="s">
        <v>127</v>
      </c>
      <c r="G17" s="92">
        <v>21392895871</v>
      </c>
      <c r="H17" s="93">
        <v>28669</v>
      </c>
      <c r="I17" s="89">
        <v>47</v>
      </c>
      <c r="J17" s="89"/>
      <c r="K17" s="89" t="s">
        <v>51</v>
      </c>
      <c r="L17" s="89" t="s">
        <v>52</v>
      </c>
      <c r="M17" s="89"/>
      <c r="N17" s="89" t="s">
        <v>128</v>
      </c>
      <c r="O17" s="94" t="s">
        <v>129</v>
      </c>
      <c r="P17" s="95" t="s">
        <v>55</v>
      </c>
      <c r="Q17" s="145" t="s">
        <v>56</v>
      </c>
      <c r="R17" s="96">
        <v>46153</v>
      </c>
      <c r="S17" s="97"/>
      <c r="T17" s="97" t="s">
        <v>57</v>
      </c>
      <c r="U17" s="97" t="s">
        <v>58</v>
      </c>
      <c r="V17" s="93">
        <v>46153</v>
      </c>
      <c r="W17" s="93" t="s">
        <v>81</v>
      </c>
      <c r="X17" s="93" t="s">
        <v>81</v>
      </c>
      <c r="Y17" s="98"/>
      <c r="Z17" s="89" t="s">
        <v>59</v>
      </c>
      <c r="AA17" s="97" t="s">
        <v>130</v>
      </c>
      <c r="AB17" s="89" t="s">
        <v>60</v>
      </c>
      <c r="AC17" s="120"/>
      <c r="AD17" s="89" t="s">
        <v>61</v>
      </c>
      <c r="AE17" s="89"/>
      <c r="AF17" s="99" t="s">
        <v>131</v>
      </c>
      <c r="AG17" s="99" t="s">
        <v>131</v>
      </c>
      <c r="AH17" s="99" t="s">
        <v>83</v>
      </c>
      <c r="AI17" s="100" t="s">
        <v>65</v>
      </c>
      <c r="AJ17" s="100" t="s">
        <v>66</v>
      </c>
      <c r="AK17" s="100" t="s">
        <v>65</v>
      </c>
      <c r="AL17" s="45" t="s">
        <v>67</v>
      </c>
      <c r="AM17" s="199" t="str">
        <f t="shared" si="0"/>
        <v>5/2026</v>
      </c>
      <c r="AN17" s="45">
        <f t="shared" si="1"/>
        <v>2</v>
      </c>
      <c r="AO17" s="45" t="str">
        <f t="shared" si="2"/>
        <v>5/2026</v>
      </c>
      <c r="AP17" s="45">
        <f t="shared" si="3"/>
        <v>3</v>
      </c>
      <c r="AQ17" s="45">
        <f t="shared" si="4"/>
        <v>6</v>
      </c>
      <c r="AR17" s="45">
        <f t="shared" si="5"/>
        <v>0</v>
      </c>
      <c r="AS17" s="45">
        <f t="shared" si="6"/>
        <v>0</v>
      </c>
      <c r="AT17" s="45">
        <f t="shared" si="7"/>
        <v>11.666666666664241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46147</v>
      </c>
      <c r="C18" s="89" t="s">
        <v>48</v>
      </c>
      <c r="D18" s="89" t="s">
        <v>49</v>
      </c>
      <c r="E18" s="90">
        <v>776761463</v>
      </c>
      <c r="F18" s="221" t="s">
        <v>132</v>
      </c>
      <c r="G18" s="92">
        <v>26455827880</v>
      </c>
      <c r="H18" s="93">
        <v>28449</v>
      </c>
      <c r="I18" s="89">
        <v>48</v>
      </c>
      <c r="J18" s="89"/>
      <c r="K18" s="89" t="s">
        <v>51</v>
      </c>
      <c r="L18" s="89" t="s">
        <v>52</v>
      </c>
      <c r="M18" s="89"/>
      <c r="N18" s="89" t="s">
        <v>133</v>
      </c>
      <c r="O18" s="94" t="s">
        <v>134</v>
      </c>
      <c r="P18" s="95" t="s">
        <v>55</v>
      </c>
      <c r="Q18" s="145" t="s">
        <v>118</v>
      </c>
      <c r="R18" s="96">
        <v>46153</v>
      </c>
      <c r="S18" s="97">
        <v>46160</v>
      </c>
      <c r="T18" s="97" t="s">
        <v>57</v>
      </c>
      <c r="U18" s="97" t="s">
        <v>119</v>
      </c>
      <c r="V18" s="93">
        <v>46153</v>
      </c>
      <c r="W18" s="93" t="s">
        <v>81</v>
      </c>
      <c r="X18" s="93" t="s">
        <v>81</v>
      </c>
      <c r="Y18" s="98" t="s">
        <v>120</v>
      </c>
      <c r="Z18" s="89" t="s">
        <v>59</v>
      </c>
      <c r="AA18" s="97" t="s">
        <v>135</v>
      </c>
      <c r="AB18" s="89" t="s">
        <v>60</v>
      </c>
      <c r="AC18" s="120"/>
      <c r="AD18" s="89"/>
      <c r="AE18" s="89"/>
      <c r="AF18" s="99"/>
      <c r="AG18" s="99"/>
      <c r="AH18" s="99"/>
      <c r="AI18" s="100" t="s">
        <v>65</v>
      </c>
      <c r="AJ18" s="100" t="s">
        <v>121</v>
      </c>
      <c r="AK18" s="100" t="s">
        <v>65</v>
      </c>
      <c r="AL18" s="45" t="s">
        <v>67</v>
      </c>
      <c r="AM18" s="199" t="str">
        <f t="shared" si="0"/>
        <v>5/2026</v>
      </c>
      <c r="AN18" s="45">
        <f t="shared" si="1"/>
        <v>2</v>
      </c>
      <c r="AO18" s="45" t="str">
        <f t="shared" si="2"/>
        <v>5/2026</v>
      </c>
      <c r="AP18" s="45">
        <f t="shared" si="3"/>
        <v>3</v>
      </c>
      <c r="AQ18" s="45">
        <f t="shared" si="4"/>
        <v>0</v>
      </c>
      <c r="AR18" s="45">
        <f t="shared" si="5"/>
        <v>7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46147</v>
      </c>
      <c r="C19" s="89" t="s">
        <v>48</v>
      </c>
      <c r="D19" s="89" t="s">
        <v>49</v>
      </c>
      <c r="E19" s="90">
        <v>81315735</v>
      </c>
      <c r="F19" s="221" t="s">
        <v>136</v>
      </c>
      <c r="G19" s="92">
        <v>4164392843</v>
      </c>
      <c r="H19" s="93">
        <v>22957</v>
      </c>
      <c r="I19" s="89">
        <v>63</v>
      </c>
      <c r="J19" s="89"/>
      <c r="K19" s="89" t="s">
        <v>51</v>
      </c>
      <c r="L19" s="89" t="s">
        <v>52</v>
      </c>
      <c r="M19" s="89"/>
      <c r="N19" s="89" t="s">
        <v>53</v>
      </c>
      <c r="O19" s="94" t="s">
        <v>137</v>
      </c>
      <c r="P19" s="95" t="s">
        <v>55</v>
      </c>
      <c r="Q19" s="145" t="s">
        <v>56</v>
      </c>
      <c r="R19" s="96">
        <v>46153</v>
      </c>
      <c r="S19" s="97"/>
      <c r="T19" s="97" t="s">
        <v>57</v>
      </c>
      <c r="U19" s="97" t="s">
        <v>58</v>
      </c>
      <c r="V19" s="93">
        <v>46153</v>
      </c>
      <c r="W19" s="93" t="s">
        <v>81</v>
      </c>
      <c r="X19" s="93" t="s">
        <v>81</v>
      </c>
      <c r="Y19" s="98"/>
      <c r="Z19" s="89" t="s">
        <v>59</v>
      </c>
      <c r="AA19" s="97" t="s">
        <v>138</v>
      </c>
      <c r="AB19" s="89" t="s">
        <v>88</v>
      </c>
      <c r="AC19" s="120"/>
      <c r="AD19" s="89"/>
      <c r="AE19" s="89"/>
      <c r="AF19" s="99"/>
      <c r="AG19" s="99"/>
      <c r="AH19" s="99"/>
      <c r="AI19" s="100" t="s">
        <v>65</v>
      </c>
      <c r="AJ19" s="100" t="s">
        <v>66</v>
      </c>
      <c r="AK19" s="100" t="s">
        <v>65</v>
      </c>
      <c r="AL19" s="45" t="s">
        <v>67</v>
      </c>
      <c r="AM19" s="199" t="str">
        <f t="shared" si="0"/>
        <v>5/2026</v>
      </c>
      <c r="AN19" s="45">
        <f t="shared" si="1"/>
        <v>2</v>
      </c>
      <c r="AO19" s="45" t="str">
        <f t="shared" si="2"/>
        <v>5/2026</v>
      </c>
      <c r="AP19" s="45">
        <f t="shared" si="3"/>
        <v>3</v>
      </c>
      <c r="AQ19" s="45">
        <f t="shared" si="4"/>
        <v>6</v>
      </c>
      <c r="AR19" s="45">
        <f t="shared" si="5"/>
        <v>0</v>
      </c>
      <c r="AS19" s="45">
        <f t="shared" si="6"/>
        <v>0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46147</v>
      </c>
      <c r="C20" s="89" t="s">
        <v>48</v>
      </c>
      <c r="D20" s="89" t="s">
        <v>49</v>
      </c>
      <c r="E20" s="90">
        <v>71571362</v>
      </c>
      <c r="F20" s="221" t="s">
        <v>139</v>
      </c>
      <c r="G20" s="92">
        <v>30447830899</v>
      </c>
      <c r="H20" s="93">
        <v>27933</v>
      </c>
      <c r="I20" s="89">
        <v>49</v>
      </c>
      <c r="J20" s="89"/>
      <c r="K20" s="89" t="s">
        <v>51</v>
      </c>
      <c r="L20" s="89" t="s">
        <v>52</v>
      </c>
      <c r="M20" s="89"/>
      <c r="N20" s="89" t="s">
        <v>109</v>
      </c>
      <c r="O20" s="94" t="s">
        <v>140</v>
      </c>
      <c r="P20" s="95" t="s">
        <v>55</v>
      </c>
      <c r="Q20" s="145" t="s">
        <v>56</v>
      </c>
      <c r="R20" s="96">
        <v>46153</v>
      </c>
      <c r="S20" s="97"/>
      <c r="T20" s="97" t="s">
        <v>57</v>
      </c>
      <c r="U20" s="97" t="s">
        <v>58</v>
      </c>
      <c r="V20" s="93">
        <v>46153</v>
      </c>
      <c r="W20" s="93" t="s">
        <v>81</v>
      </c>
      <c r="X20" s="93" t="s">
        <v>81</v>
      </c>
      <c r="Y20" s="98"/>
      <c r="Z20" s="89" t="s">
        <v>59</v>
      </c>
      <c r="AA20" s="97" t="s">
        <v>125</v>
      </c>
      <c r="AB20" s="89" t="s">
        <v>88</v>
      </c>
      <c r="AC20" s="120"/>
      <c r="AD20" s="89"/>
      <c r="AE20" s="89"/>
      <c r="AF20" s="99"/>
      <c r="AG20" s="99"/>
      <c r="AH20" s="99"/>
      <c r="AI20" s="100" t="s">
        <v>65</v>
      </c>
      <c r="AJ20" s="100" t="s">
        <v>66</v>
      </c>
      <c r="AK20" s="100" t="s">
        <v>65</v>
      </c>
      <c r="AL20" s="45" t="s">
        <v>67</v>
      </c>
      <c r="AM20" s="199" t="str">
        <f t="shared" si="0"/>
        <v>5/2026</v>
      </c>
      <c r="AN20" s="45">
        <f t="shared" si="1"/>
        <v>2</v>
      </c>
      <c r="AO20" s="45" t="str">
        <f t="shared" si="2"/>
        <v>5/2026</v>
      </c>
      <c r="AP20" s="45">
        <f t="shared" si="3"/>
        <v>3</v>
      </c>
      <c r="AQ20" s="45">
        <f t="shared" si="4"/>
        <v>6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46147</v>
      </c>
      <c r="C21" s="89" t="s">
        <v>48</v>
      </c>
      <c r="D21" s="89" t="s">
        <v>49</v>
      </c>
      <c r="E21" s="90">
        <v>86163098</v>
      </c>
      <c r="F21" s="221" t="s">
        <v>141</v>
      </c>
      <c r="G21" s="92">
        <v>36582636871</v>
      </c>
      <c r="H21" s="93">
        <v>32490</v>
      </c>
      <c r="I21" s="89">
        <v>37</v>
      </c>
      <c r="J21" s="89"/>
      <c r="K21" s="89" t="s">
        <v>51</v>
      </c>
      <c r="L21" s="89" t="s">
        <v>52</v>
      </c>
      <c r="M21" s="89"/>
      <c r="N21" s="89" t="s">
        <v>123</v>
      </c>
      <c r="O21" s="94" t="s">
        <v>142</v>
      </c>
      <c r="P21" s="95" t="s">
        <v>55</v>
      </c>
      <c r="Q21" s="145" t="s">
        <v>56</v>
      </c>
      <c r="R21" s="96">
        <v>46153</v>
      </c>
      <c r="S21" s="97"/>
      <c r="T21" s="97" t="s">
        <v>57</v>
      </c>
      <c r="U21" s="97" t="s">
        <v>58</v>
      </c>
      <c r="V21" s="93">
        <v>46153</v>
      </c>
      <c r="W21" s="93" t="s">
        <v>81</v>
      </c>
      <c r="X21" s="93" t="s">
        <v>81</v>
      </c>
      <c r="Y21" s="98"/>
      <c r="Z21" s="89" t="s">
        <v>59</v>
      </c>
      <c r="AA21" s="97">
        <v>46161</v>
      </c>
      <c r="AB21" s="89" t="s">
        <v>60</v>
      </c>
      <c r="AC21" s="120"/>
      <c r="AD21" s="89" t="s">
        <v>61</v>
      </c>
      <c r="AE21" s="89"/>
      <c r="AF21" s="99" t="s">
        <v>143</v>
      </c>
      <c r="AG21" s="99" t="s">
        <v>144</v>
      </c>
      <c r="AH21" s="99" t="s">
        <v>64</v>
      </c>
      <c r="AI21" s="100" t="s">
        <v>65</v>
      </c>
      <c r="AJ21" s="100" t="s">
        <v>66</v>
      </c>
      <c r="AK21" s="100" t="s">
        <v>65</v>
      </c>
      <c r="AL21" s="45" t="s">
        <v>67</v>
      </c>
      <c r="AM21" s="199" t="str">
        <f t="shared" si="0"/>
        <v>5/2026</v>
      </c>
      <c r="AN21" s="45">
        <f t="shared" si="1"/>
        <v>2</v>
      </c>
      <c r="AO21" s="45" t="str">
        <f t="shared" si="2"/>
        <v>5/2026</v>
      </c>
      <c r="AP21" s="45">
        <f t="shared" si="3"/>
        <v>3</v>
      </c>
      <c r="AQ21" s="45">
        <f t="shared" si="4"/>
        <v>6</v>
      </c>
      <c r="AR21" s="45">
        <f t="shared" si="5"/>
        <v>0</v>
      </c>
      <c r="AS21" s="45">
        <f t="shared" si="6"/>
        <v>0</v>
      </c>
      <c r="AT21" s="45">
        <f t="shared" si="7"/>
        <v>8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46147</v>
      </c>
      <c r="C22" s="89" t="s">
        <v>48</v>
      </c>
      <c r="D22" s="89" t="s">
        <v>49</v>
      </c>
      <c r="E22" s="90">
        <v>93165572</v>
      </c>
      <c r="F22" s="221" t="s">
        <v>145</v>
      </c>
      <c r="G22" s="92">
        <v>10644168706</v>
      </c>
      <c r="H22" s="93">
        <v>31372</v>
      </c>
      <c r="I22" s="89">
        <v>40</v>
      </c>
      <c r="J22" s="89"/>
      <c r="K22" s="89" t="s">
        <v>85</v>
      </c>
      <c r="L22" s="89" t="s">
        <v>96</v>
      </c>
      <c r="M22" s="89"/>
      <c r="N22" s="89" t="s">
        <v>146</v>
      </c>
      <c r="O22" s="94" t="s">
        <v>147</v>
      </c>
      <c r="P22" s="95" t="s">
        <v>55</v>
      </c>
      <c r="Q22" s="145" t="s">
        <v>56</v>
      </c>
      <c r="R22" s="96">
        <v>46153</v>
      </c>
      <c r="S22" s="97"/>
      <c r="T22" s="97" t="s">
        <v>57</v>
      </c>
      <c r="U22" s="97" t="s">
        <v>58</v>
      </c>
      <c r="V22" s="93">
        <v>46153</v>
      </c>
      <c r="W22" s="93" t="s">
        <v>81</v>
      </c>
      <c r="X22" s="93" t="s">
        <v>81</v>
      </c>
      <c r="Y22" s="98"/>
      <c r="Z22" s="89" t="s">
        <v>59</v>
      </c>
      <c r="AA22" s="97" t="s">
        <v>135</v>
      </c>
      <c r="AB22" s="89" t="s">
        <v>88</v>
      </c>
      <c r="AC22" s="120"/>
      <c r="AD22" s="89"/>
      <c r="AE22" s="89"/>
      <c r="AF22" s="99"/>
      <c r="AG22" s="99"/>
      <c r="AH22" s="99"/>
      <c r="AI22" s="100" t="s">
        <v>65</v>
      </c>
      <c r="AJ22" s="100" t="s">
        <v>66</v>
      </c>
      <c r="AK22" s="100" t="s">
        <v>65</v>
      </c>
      <c r="AL22" s="45" t="s">
        <v>67</v>
      </c>
      <c r="AM22" s="199" t="str">
        <f t="shared" si="0"/>
        <v>5/2026</v>
      </c>
      <c r="AN22" s="45">
        <f t="shared" si="1"/>
        <v>2</v>
      </c>
      <c r="AO22" s="45" t="str">
        <f t="shared" si="2"/>
        <v>5/2026</v>
      </c>
      <c r="AP22" s="45">
        <f t="shared" si="3"/>
        <v>3</v>
      </c>
      <c r="AQ22" s="45">
        <f t="shared" si="4"/>
        <v>6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46147</v>
      </c>
      <c r="C23" s="89" t="s">
        <v>48</v>
      </c>
      <c r="D23" s="89" t="s">
        <v>49</v>
      </c>
      <c r="E23" s="90">
        <v>87156066</v>
      </c>
      <c r="F23" s="221" t="s">
        <v>148</v>
      </c>
      <c r="G23" s="92">
        <v>3380040843</v>
      </c>
      <c r="H23" s="93">
        <v>24274</v>
      </c>
      <c r="I23" s="89">
        <v>59</v>
      </c>
      <c r="J23" s="89"/>
      <c r="K23" s="89" t="s">
        <v>51</v>
      </c>
      <c r="L23" s="89" t="s">
        <v>52</v>
      </c>
      <c r="M23" s="89"/>
      <c r="N23" s="89" t="s">
        <v>128</v>
      </c>
      <c r="O23" s="94" t="s">
        <v>149</v>
      </c>
      <c r="P23" s="95" t="s">
        <v>55</v>
      </c>
      <c r="Q23" s="145" t="s">
        <v>56</v>
      </c>
      <c r="R23" s="96">
        <v>46153</v>
      </c>
      <c r="S23" s="97"/>
      <c r="T23" s="97" t="s">
        <v>57</v>
      </c>
      <c r="U23" s="97" t="s">
        <v>58</v>
      </c>
      <c r="V23" s="93">
        <v>46153</v>
      </c>
      <c r="W23" s="93" t="s">
        <v>81</v>
      </c>
      <c r="X23" s="93" t="s">
        <v>81</v>
      </c>
      <c r="Y23" s="98"/>
      <c r="Z23" s="89" t="s">
        <v>59</v>
      </c>
      <c r="AA23" s="97" t="s">
        <v>150</v>
      </c>
      <c r="AB23" s="89" t="s">
        <v>60</v>
      </c>
      <c r="AC23" s="120"/>
      <c r="AD23" s="89" t="s">
        <v>78</v>
      </c>
      <c r="AE23" s="89"/>
      <c r="AF23" s="99" t="s">
        <v>126</v>
      </c>
      <c r="AG23" s="99" t="s">
        <v>126</v>
      </c>
      <c r="AH23" s="99" t="s">
        <v>64</v>
      </c>
      <c r="AI23" s="100" t="s">
        <v>65</v>
      </c>
      <c r="AJ23" s="100" t="s">
        <v>66</v>
      </c>
      <c r="AK23" s="100" t="s">
        <v>65</v>
      </c>
      <c r="AL23" s="45" t="s">
        <v>67</v>
      </c>
      <c r="AM23" s="199" t="str">
        <f t="shared" si="0"/>
        <v>5/2026</v>
      </c>
      <c r="AN23" s="45">
        <f t="shared" si="1"/>
        <v>2</v>
      </c>
      <c r="AO23" s="45" t="str">
        <f t="shared" si="2"/>
        <v>5/2026</v>
      </c>
      <c r="AP23" s="45">
        <f t="shared" si="3"/>
        <v>3</v>
      </c>
      <c r="AQ23" s="45">
        <f t="shared" si="4"/>
        <v>6</v>
      </c>
      <c r="AR23" s="45">
        <f t="shared" si="5"/>
        <v>0</v>
      </c>
      <c r="AS23" s="45">
        <f t="shared" si="6"/>
        <v>0</v>
      </c>
      <c r="AT23" s="45">
        <f t="shared" si="7"/>
        <v>8.6944444444452529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46147</v>
      </c>
      <c r="C24" s="89" t="s">
        <v>48</v>
      </c>
      <c r="D24" s="89" t="s">
        <v>49</v>
      </c>
      <c r="E24" s="90">
        <v>86820887</v>
      </c>
      <c r="F24" s="221" t="s">
        <v>151</v>
      </c>
      <c r="G24" s="92">
        <v>40137919867</v>
      </c>
      <c r="H24" s="93">
        <v>33890</v>
      </c>
      <c r="I24" s="89">
        <v>33</v>
      </c>
      <c r="J24" s="89"/>
      <c r="K24" s="89" t="s">
        <v>51</v>
      </c>
      <c r="L24" s="89" t="s">
        <v>52</v>
      </c>
      <c r="M24" s="89"/>
      <c r="N24" s="89" t="s">
        <v>53</v>
      </c>
      <c r="O24" s="94" t="s">
        <v>152</v>
      </c>
      <c r="P24" s="95" t="s">
        <v>55</v>
      </c>
      <c r="Q24" s="145" t="s">
        <v>56</v>
      </c>
      <c r="R24" s="96">
        <v>46153</v>
      </c>
      <c r="S24" s="97"/>
      <c r="T24" s="97" t="s">
        <v>57</v>
      </c>
      <c r="U24" s="97" t="s">
        <v>58</v>
      </c>
      <c r="V24" s="93">
        <v>46153</v>
      </c>
      <c r="W24" s="93" t="s">
        <v>81</v>
      </c>
      <c r="X24" s="93" t="s">
        <v>81</v>
      </c>
      <c r="Y24" s="98"/>
      <c r="Z24" s="89" t="s">
        <v>59</v>
      </c>
      <c r="AA24" s="97">
        <v>46171</v>
      </c>
      <c r="AB24" s="89" t="s">
        <v>60</v>
      </c>
      <c r="AC24" s="120"/>
      <c r="AD24" s="89" t="s">
        <v>61</v>
      </c>
      <c r="AE24" s="89"/>
      <c r="AF24" s="99" t="s">
        <v>153</v>
      </c>
      <c r="AG24" s="99" t="s">
        <v>153</v>
      </c>
      <c r="AH24" s="99" t="s">
        <v>64</v>
      </c>
      <c r="AI24" s="100" t="s">
        <v>65</v>
      </c>
      <c r="AJ24" s="100" t="s">
        <v>66</v>
      </c>
      <c r="AK24" s="100" t="s">
        <v>65</v>
      </c>
      <c r="AL24" s="45" t="s">
        <v>67</v>
      </c>
      <c r="AM24" s="199" t="str">
        <f t="shared" si="0"/>
        <v>5/2026</v>
      </c>
      <c r="AN24" s="45">
        <f t="shared" si="1"/>
        <v>2</v>
      </c>
      <c r="AO24" s="45" t="str">
        <f t="shared" si="2"/>
        <v>5/2026</v>
      </c>
      <c r="AP24" s="45">
        <f t="shared" si="3"/>
        <v>3</v>
      </c>
      <c r="AQ24" s="45">
        <f t="shared" si="4"/>
        <v>6</v>
      </c>
      <c r="AR24" s="45">
        <f t="shared" si="5"/>
        <v>0</v>
      </c>
      <c r="AS24" s="45">
        <f t="shared" si="6"/>
        <v>0</v>
      </c>
      <c r="AT24" s="45">
        <f t="shared" si="7"/>
        <v>18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46147</v>
      </c>
      <c r="C25" s="89" t="s">
        <v>48</v>
      </c>
      <c r="D25" s="89" t="s">
        <v>49</v>
      </c>
      <c r="E25" s="90">
        <v>84879612</v>
      </c>
      <c r="F25" s="221" t="s">
        <v>154</v>
      </c>
      <c r="G25" s="92">
        <v>5618192705</v>
      </c>
      <c r="H25" s="93">
        <v>22127</v>
      </c>
      <c r="I25" s="89">
        <v>65</v>
      </c>
      <c r="J25" s="89"/>
      <c r="K25" s="89" t="s">
        <v>85</v>
      </c>
      <c r="L25" s="89" t="s">
        <v>86</v>
      </c>
      <c r="M25" s="89"/>
      <c r="N25" s="89" t="s">
        <v>123</v>
      </c>
      <c r="O25" s="94" t="s">
        <v>155</v>
      </c>
      <c r="P25" s="95" t="s">
        <v>55</v>
      </c>
      <c r="Q25" s="145" t="s">
        <v>56</v>
      </c>
      <c r="R25" s="96">
        <v>46153</v>
      </c>
      <c r="S25" s="97"/>
      <c r="T25" s="97" t="s">
        <v>57</v>
      </c>
      <c r="U25" s="97" t="s">
        <v>58</v>
      </c>
      <c r="V25" s="93">
        <v>46153</v>
      </c>
      <c r="W25" s="93" t="s">
        <v>81</v>
      </c>
      <c r="X25" s="93" t="s">
        <v>81</v>
      </c>
      <c r="Y25" s="98"/>
      <c r="Z25" s="89" t="s">
        <v>59</v>
      </c>
      <c r="AA25" s="97" t="s">
        <v>156</v>
      </c>
      <c r="AB25" s="89" t="s">
        <v>88</v>
      </c>
      <c r="AC25" s="120"/>
      <c r="AD25" s="89"/>
      <c r="AE25" s="89"/>
      <c r="AF25" s="99"/>
      <c r="AG25" s="99"/>
      <c r="AH25" s="99"/>
      <c r="AI25" s="100" t="s">
        <v>65</v>
      </c>
      <c r="AJ25" s="100" t="s">
        <v>66</v>
      </c>
      <c r="AK25" s="100" t="s">
        <v>65</v>
      </c>
      <c r="AL25" s="45" t="s">
        <v>67</v>
      </c>
      <c r="AM25" s="199" t="str">
        <f t="shared" si="0"/>
        <v>5/2026</v>
      </c>
      <c r="AN25" s="45">
        <f t="shared" si="1"/>
        <v>2</v>
      </c>
      <c r="AO25" s="45" t="str">
        <f t="shared" si="2"/>
        <v>5/2026</v>
      </c>
      <c r="AP25" s="45">
        <f t="shared" si="3"/>
        <v>3</v>
      </c>
      <c r="AQ25" s="45">
        <f t="shared" si="4"/>
        <v>6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46147</v>
      </c>
      <c r="C26" s="89" t="s">
        <v>48</v>
      </c>
      <c r="D26" s="89" t="s">
        <v>49</v>
      </c>
      <c r="E26" s="90">
        <v>75190495</v>
      </c>
      <c r="F26" s="221" t="s">
        <v>157</v>
      </c>
      <c r="G26" s="92">
        <v>22483863892</v>
      </c>
      <c r="H26" s="93">
        <v>28455</v>
      </c>
      <c r="I26" s="89">
        <v>48</v>
      </c>
      <c r="J26" s="89"/>
      <c r="K26" s="89" t="s">
        <v>51</v>
      </c>
      <c r="L26" s="89" t="s">
        <v>52</v>
      </c>
      <c r="M26" s="89"/>
      <c r="N26" s="89" t="s">
        <v>109</v>
      </c>
      <c r="O26" s="94" t="s">
        <v>158</v>
      </c>
      <c r="P26" s="95" t="s">
        <v>55</v>
      </c>
      <c r="Q26" s="145" t="s">
        <v>56</v>
      </c>
      <c r="R26" s="96">
        <v>46153</v>
      </c>
      <c r="S26" s="97"/>
      <c r="T26" s="97" t="s">
        <v>57</v>
      </c>
      <c r="U26" s="97" t="s">
        <v>58</v>
      </c>
      <c r="V26" s="93">
        <v>46153</v>
      </c>
      <c r="W26" s="93" t="s">
        <v>81</v>
      </c>
      <c r="X26" s="93" t="s">
        <v>81</v>
      </c>
      <c r="Y26" s="98"/>
      <c r="Z26" s="89" t="s">
        <v>59</v>
      </c>
      <c r="AA26" s="97" t="s">
        <v>159</v>
      </c>
      <c r="AB26" s="89" t="s">
        <v>60</v>
      </c>
      <c r="AC26" s="120"/>
      <c r="AD26" s="89" t="s">
        <v>78</v>
      </c>
      <c r="AE26" s="89">
        <v>32</v>
      </c>
      <c r="AF26" s="99" t="s">
        <v>160</v>
      </c>
      <c r="AG26" s="99" t="s">
        <v>161</v>
      </c>
      <c r="AH26" s="99" t="s">
        <v>64</v>
      </c>
      <c r="AI26" s="100" t="s">
        <v>65</v>
      </c>
      <c r="AJ26" s="100" t="s">
        <v>66</v>
      </c>
      <c r="AK26" s="100" t="s">
        <v>65</v>
      </c>
      <c r="AL26" s="45" t="s">
        <v>67</v>
      </c>
      <c r="AM26" s="199" t="str">
        <f t="shared" si="0"/>
        <v>5/2026</v>
      </c>
      <c r="AN26" s="45">
        <f t="shared" si="1"/>
        <v>2</v>
      </c>
      <c r="AO26" s="45" t="str">
        <f t="shared" si="2"/>
        <v>5/2026</v>
      </c>
      <c r="AP26" s="45">
        <f t="shared" si="3"/>
        <v>3</v>
      </c>
      <c r="AQ26" s="45">
        <f t="shared" si="4"/>
        <v>6</v>
      </c>
      <c r="AR26" s="45">
        <f t="shared" si="5"/>
        <v>0</v>
      </c>
      <c r="AS26" s="45">
        <f t="shared" si="6"/>
        <v>0</v>
      </c>
      <c r="AT26" s="45">
        <f t="shared" si="7"/>
        <v>7.5138888888905058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46147</v>
      </c>
      <c r="C27" s="89" t="s">
        <v>48</v>
      </c>
      <c r="D27" s="89" t="s">
        <v>49</v>
      </c>
      <c r="E27" s="90">
        <v>452002621</v>
      </c>
      <c r="F27" s="221" t="s">
        <v>162</v>
      </c>
      <c r="G27" s="92">
        <v>4981798695</v>
      </c>
      <c r="H27" s="93">
        <v>26526</v>
      </c>
      <c r="I27" s="89">
        <v>53</v>
      </c>
      <c r="J27" s="89"/>
      <c r="K27" s="89" t="s">
        <v>51</v>
      </c>
      <c r="L27" s="89" t="s">
        <v>52</v>
      </c>
      <c r="M27" s="89"/>
      <c r="N27" s="89" t="s">
        <v>133</v>
      </c>
      <c r="O27" s="94" t="s">
        <v>163</v>
      </c>
      <c r="P27" s="95" t="s">
        <v>55</v>
      </c>
      <c r="Q27" s="145" t="s">
        <v>56</v>
      </c>
      <c r="R27" s="96">
        <v>46153</v>
      </c>
      <c r="S27" s="97"/>
      <c r="T27" s="97" t="s">
        <v>57</v>
      </c>
      <c r="U27" s="97" t="s">
        <v>58</v>
      </c>
      <c r="V27" s="93">
        <v>46153</v>
      </c>
      <c r="W27" s="93" t="s">
        <v>81</v>
      </c>
      <c r="X27" s="93" t="s">
        <v>81</v>
      </c>
      <c r="Y27" s="98"/>
      <c r="Z27" s="89" t="s">
        <v>59</v>
      </c>
      <c r="AA27" s="97" t="s">
        <v>150</v>
      </c>
      <c r="AB27" s="89" t="s">
        <v>88</v>
      </c>
      <c r="AC27" s="120"/>
      <c r="AD27" s="89"/>
      <c r="AE27" s="89"/>
      <c r="AF27" s="99"/>
      <c r="AG27" s="99"/>
      <c r="AH27" s="99"/>
      <c r="AI27" s="100" t="s">
        <v>65</v>
      </c>
      <c r="AJ27" s="100" t="s">
        <v>66</v>
      </c>
      <c r="AK27" s="100" t="s">
        <v>65</v>
      </c>
      <c r="AL27" s="45" t="s">
        <v>67</v>
      </c>
      <c r="AM27" s="199" t="str">
        <f t="shared" si="0"/>
        <v>5/2026</v>
      </c>
      <c r="AN27" s="45">
        <f t="shared" si="1"/>
        <v>2</v>
      </c>
      <c r="AO27" s="45" t="str">
        <f t="shared" si="2"/>
        <v>5/2026</v>
      </c>
      <c r="AP27" s="45">
        <f t="shared" si="3"/>
        <v>3</v>
      </c>
      <c r="AQ27" s="45">
        <f t="shared" si="4"/>
        <v>6</v>
      </c>
      <c r="AR27" s="45">
        <f t="shared" si="5"/>
        <v>0</v>
      </c>
      <c r="AS27" s="45">
        <f t="shared" si="6"/>
        <v>0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46147</v>
      </c>
      <c r="C28" s="89" t="s">
        <v>48</v>
      </c>
      <c r="D28" s="89" t="s">
        <v>49</v>
      </c>
      <c r="E28" s="90">
        <v>85215044</v>
      </c>
      <c r="F28" s="221" t="s">
        <v>164</v>
      </c>
      <c r="G28" s="92">
        <v>7008207794</v>
      </c>
      <c r="H28" s="93">
        <v>27295</v>
      </c>
      <c r="I28" s="89">
        <v>51</v>
      </c>
      <c r="J28" s="89"/>
      <c r="K28" s="89" t="s">
        <v>51</v>
      </c>
      <c r="L28" s="89" t="s">
        <v>165</v>
      </c>
      <c r="M28" s="89"/>
      <c r="N28" s="89" t="s">
        <v>53</v>
      </c>
      <c r="O28" s="94" t="s">
        <v>166</v>
      </c>
      <c r="P28" s="95" t="s">
        <v>55</v>
      </c>
      <c r="Q28" s="145" t="s">
        <v>56</v>
      </c>
      <c r="R28" s="96">
        <v>46153</v>
      </c>
      <c r="S28" s="97"/>
      <c r="T28" s="97" t="s">
        <v>57</v>
      </c>
      <c r="U28" s="97" t="s">
        <v>58</v>
      </c>
      <c r="V28" s="93">
        <v>46153</v>
      </c>
      <c r="W28" s="93" t="s">
        <v>81</v>
      </c>
      <c r="X28" s="93" t="s">
        <v>81</v>
      </c>
      <c r="Y28" s="98"/>
      <c r="Z28" s="89" t="s">
        <v>59</v>
      </c>
      <c r="AA28" s="97">
        <v>46171</v>
      </c>
      <c r="AB28" s="89" t="s">
        <v>60</v>
      </c>
      <c r="AC28" s="120"/>
      <c r="AD28" s="89" t="s">
        <v>61</v>
      </c>
      <c r="AE28" s="89"/>
      <c r="AF28" s="99" t="s">
        <v>126</v>
      </c>
      <c r="AG28" s="99" t="s">
        <v>126</v>
      </c>
      <c r="AH28" s="99" t="s">
        <v>64</v>
      </c>
      <c r="AI28" s="100" t="s">
        <v>65</v>
      </c>
      <c r="AJ28" s="100" t="s">
        <v>66</v>
      </c>
      <c r="AK28" s="100" t="s">
        <v>65</v>
      </c>
      <c r="AL28" s="45" t="s">
        <v>67</v>
      </c>
      <c r="AM28" s="199" t="str">
        <f t="shared" si="0"/>
        <v>5/2026</v>
      </c>
      <c r="AN28" s="45">
        <f t="shared" si="1"/>
        <v>2</v>
      </c>
      <c r="AO28" s="45" t="str">
        <f t="shared" si="2"/>
        <v>5/2026</v>
      </c>
      <c r="AP28" s="45">
        <f t="shared" si="3"/>
        <v>3</v>
      </c>
      <c r="AQ28" s="45">
        <f t="shared" si="4"/>
        <v>6</v>
      </c>
      <c r="AR28" s="45">
        <f t="shared" si="5"/>
        <v>0</v>
      </c>
      <c r="AS28" s="45">
        <f t="shared" si="6"/>
        <v>0</v>
      </c>
      <c r="AT28" s="45">
        <f t="shared" si="7"/>
        <v>18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46147</v>
      </c>
      <c r="C29" s="89" t="s">
        <v>48</v>
      </c>
      <c r="D29" s="89" t="s">
        <v>49</v>
      </c>
      <c r="E29" s="90">
        <v>78610296</v>
      </c>
      <c r="F29" s="221" t="s">
        <v>167</v>
      </c>
      <c r="G29" s="92">
        <v>15194342861</v>
      </c>
      <c r="H29" s="93">
        <v>26053</v>
      </c>
      <c r="I29" s="89">
        <v>55</v>
      </c>
      <c r="J29" s="89"/>
      <c r="K29" s="89" t="s">
        <v>51</v>
      </c>
      <c r="L29" s="89" t="s">
        <v>52</v>
      </c>
      <c r="M29" s="89"/>
      <c r="N29" s="89" t="s">
        <v>53</v>
      </c>
      <c r="O29" s="94" t="s">
        <v>168</v>
      </c>
      <c r="P29" s="95" t="s">
        <v>55</v>
      </c>
      <c r="Q29" s="145" t="s">
        <v>118</v>
      </c>
      <c r="R29" s="96">
        <v>46153</v>
      </c>
      <c r="S29" s="97">
        <v>46171</v>
      </c>
      <c r="T29" s="97" t="s">
        <v>57</v>
      </c>
      <c r="U29" s="97" t="s">
        <v>119</v>
      </c>
      <c r="V29" s="93">
        <v>46153</v>
      </c>
      <c r="W29" s="93" t="s">
        <v>81</v>
      </c>
      <c r="X29" s="93" t="s">
        <v>81</v>
      </c>
      <c r="Y29" s="98"/>
      <c r="Z29" s="89" t="s">
        <v>59</v>
      </c>
      <c r="AA29" s="97">
        <v>46171</v>
      </c>
      <c r="AB29" s="89" t="s">
        <v>169</v>
      </c>
      <c r="AC29" s="120"/>
      <c r="AD29" s="89"/>
      <c r="AE29" s="89"/>
      <c r="AF29" s="99"/>
      <c r="AG29" s="99"/>
      <c r="AH29" s="99"/>
      <c r="AI29" s="100" t="s">
        <v>65</v>
      </c>
      <c r="AJ29" s="100" t="s">
        <v>121</v>
      </c>
      <c r="AK29" s="100" t="s">
        <v>65</v>
      </c>
      <c r="AL29" s="45" t="s">
        <v>67</v>
      </c>
      <c r="AM29" s="199" t="str">
        <f t="shared" si="0"/>
        <v>5/2026</v>
      </c>
      <c r="AN29" s="45">
        <f t="shared" si="1"/>
        <v>2</v>
      </c>
      <c r="AO29" s="45" t="str">
        <f t="shared" si="2"/>
        <v>5/2026</v>
      </c>
      <c r="AP29" s="45">
        <f t="shared" si="3"/>
        <v>3</v>
      </c>
      <c r="AQ29" s="45">
        <f t="shared" si="4"/>
        <v>0</v>
      </c>
      <c r="AR29" s="45">
        <f t="shared" si="5"/>
        <v>18</v>
      </c>
      <c r="AS29" s="45">
        <f t="shared" si="6"/>
        <v>0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46147</v>
      </c>
      <c r="C30" s="89" t="s">
        <v>48</v>
      </c>
      <c r="D30" s="89" t="s">
        <v>49</v>
      </c>
      <c r="E30" s="90">
        <v>87338801</v>
      </c>
      <c r="F30" s="221" t="s">
        <v>170</v>
      </c>
      <c r="G30" s="92">
        <v>2529287767</v>
      </c>
      <c r="H30" s="93">
        <v>17123</v>
      </c>
      <c r="I30" s="89">
        <v>79</v>
      </c>
      <c r="J30" s="89"/>
      <c r="K30" s="89" t="s">
        <v>85</v>
      </c>
      <c r="L30" s="89" t="s">
        <v>96</v>
      </c>
      <c r="M30" s="89"/>
      <c r="N30" s="89" t="s">
        <v>146</v>
      </c>
      <c r="O30" s="94" t="s">
        <v>171</v>
      </c>
      <c r="P30" s="95" t="s">
        <v>55</v>
      </c>
      <c r="Q30" s="145" t="s">
        <v>172</v>
      </c>
      <c r="R30" s="96">
        <v>46153</v>
      </c>
      <c r="S30" s="97">
        <v>46169</v>
      </c>
      <c r="T30" s="97" t="s">
        <v>57</v>
      </c>
      <c r="U30" s="97" t="s">
        <v>119</v>
      </c>
      <c r="V30" s="93">
        <v>46153</v>
      </c>
      <c r="W30" s="93" t="s">
        <v>81</v>
      </c>
      <c r="X30" s="93" t="s">
        <v>81</v>
      </c>
      <c r="Y30" s="98"/>
      <c r="Z30" s="89" t="s">
        <v>59</v>
      </c>
      <c r="AA30" s="97">
        <v>46169</v>
      </c>
      <c r="AB30" s="89" t="s">
        <v>173</v>
      </c>
      <c r="AC30" s="120"/>
      <c r="AD30" s="89"/>
      <c r="AE30" s="89"/>
      <c r="AF30" s="99"/>
      <c r="AG30" s="99"/>
      <c r="AH30" s="99"/>
      <c r="AI30" s="100" t="s">
        <v>65</v>
      </c>
      <c r="AJ30" s="100" t="s">
        <v>121</v>
      </c>
      <c r="AK30" s="100" t="s">
        <v>65</v>
      </c>
      <c r="AL30" s="45" t="s">
        <v>67</v>
      </c>
      <c r="AM30" s="199" t="str">
        <f t="shared" si="0"/>
        <v>5/2026</v>
      </c>
      <c r="AN30" s="45">
        <f t="shared" si="1"/>
        <v>2</v>
      </c>
      <c r="AO30" s="45" t="str">
        <f t="shared" si="2"/>
        <v>5/2026</v>
      </c>
      <c r="AP30" s="45">
        <f t="shared" si="3"/>
        <v>3</v>
      </c>
      <c r="AQ30" s="45">
        <f t="shared" si="4"/>
        <v>0</v>
      </c>
      <c r="AR30" s="45">
        <f t="shared" si="5"/>
        <v>16</v>
      </c>
      <c r="AS30" s="45">
        <f t="shared" si="6"/>
        <v>0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46147</v>
      </c>
      <c r="C31" s="89" t="s">
        <v>48</v>
      </c>
      <c r="D31" s="89" t="s">
        <v>49</v>
      </c>
      <c r="E31" s="90">
        <v>95491868</v>
      </c>
      <c r="F31" s="221" t="s">
        <v>174</v>
      </c>
      <c r="G31" s="92">
        <v>96522372720</v>
      </c>
      <c r="H31" s="93">
        <v>24471</v>
      </c>
      <c r="I31" s="89">
        <v>59</v>
      </c>
      <c r="J31" s="89"/>
      <c r="K31" s="89" t="s">
        <v>85</v>
      </c>
      <c r="L31" s="89" t="s">
        <v>96</v>
      </c>
      <c r="M31" s="89"/>
      <c r="N31" s="89" t="s">
        <v>101</v>
      </c>
      <c r="O31" s="94" t="s">
        <v>175</v>
      </c>
      <c r="P31" s="95" t="s">
        <v>55</v>
      </c>
      <c r="Q31" s="145" t="s">
        <v>56</v>
      </c>
      <c r="R31" s="96">
        <v>46153</v>
      </c>
      <c r="S31" s="97"/>
      <c r="T31" s="97" t="s">
        <v>57</v>
      </c>
      <c r="U31" s="97" t="s">
        <v>58</v>
      </c>
      <c r="V31" s="93">
        <v>46153</v>
      </c>
      <c r="W31" s="93" t="s">
        <v>81</v>
      </c>
      <c r="X31" s="93" t="s">
        <v>81</v>
      </c>
      <c r="Y31" s="98"/>
      <c r="Z31" s="89" t="s">
        <v>59</v>
      </c>
      <c r="AA31" s="97" t="s">
        <v>176</v>
      </c>
      <c r="AB31" s="89" t="s">
        <v>88</v>
      </c>
      <c r="AC31" s="120">
        <v>46175</v>
      </c>
      <c r="AD31" s="89"/>
      <c r="AE31" s="89"/>
      <c r="AF31" s="99"/>
      <c r="AG31" s="99"/>
      <c r="AH31" s="99"/>
      <c r="AI31" s="100" t="s">
        <v>65</v>
      </c>
      <c r="AJ31" s="100" t="s">
        <v>66</v>
      </c>
      <c r="AK31" s="100" t="s">
        <v>65</v>
      </c>
      <c r="AL31" s="45" t="s">
        <v>67</v>
      </c>
      <c r="AM31" s="199" t="str">
        <f t="shared" si="0"/>
        <v>5/2026</v>
      </c>
      <c r="AN31" s="45">
        <f t="shared" si="1"/>
        <v>2</v>
      </c>
      <c r="AO31" s="45" t="str">
        <f t="shared" si="2"/>
        <v>5/2026</v>
      </c>
      <c r="AP31" s="45">
        <f t="shared" si="3"/>
        <v>3</v>
      </c>
      <c r="AQ31" s="45">
        <f t="shared" si="4"/>
        <v>6</v>
      </c>
      <c r="AR31" s="45">
        <f t="shared" si="5"/>
        <v>0</v>
      </c>
      <c r="AS31" s="45">
        <f t="shared" si="6"/>
        <v>0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46147</v>
      </c>
      <c r="C32" s="89" t="s">
        <v>48</v>
      </c>
      <c r="D32" s="89" t="s">
        <v>49</v>
      </c>
      <c r="E32" s="90">
        <v>84566611</v>
      </c>
      <c r="F32" s="221" t="s">
        <v>177</v>
      </c>
      <c r="G32" s="92">
        <v>13173141822</v>
      </c>
      <c r="H32" s="93">
        <v>25592</v>
      </c>
      <c r="I32" s="89">
        <v>56</v>
      </c>
      <c r="J32" s="89"/>
      <c r="K32" s="89" t="s">
        <v>51</v>
      </c>
      <c r="L32" s="89" t="s">
        <v>52</v>
      </c>
      <c r="M32" s="89"/>
      <c r="N32" s="89" t="s">
        <v>97</v>
      </c>
      <c r="O32" s="94" t="s">
        <v>178</v>
      </c>
      <c r="P32" s="95" t="s">
        <v>55</v>
      </c>
      <c r="Q32" s="145" t="s">
        <v>56</v>
      </c>
      <c r="R32" s="96">
        <v>46153</v>
      </c>
      <c r="S32" s="97"/>
      <c r="T32" s="97" t="s">
        <v>57</v>
      </c>
      <c r="U32" s="97" t="s">
        <v>58</v>
      </c>
      <c r="V32" s="93">
        <v>46153</v>
      </c>
      <c r="W32" s="93" t="s">
        <v>81</v>
      </c>
      <c r="X32" s="93" t="s">
        <v>81</v>
      </c>
      <c r="Y32" s="98"/>
      <c r="Z32" s="89" t="s">
        <v>59</v>
      </c>
      <c r="AA32" s="97">
        <v>46171</v>
      </c>
      <c r="AB32" s="89" t="s">
        <v>60</v>
      </c>
      <c r="AC32" s="120"/>
      <c r="AD32" s="89" t="s">
        <v>78</v>
      </c>
      <c r="AE32" s="89"/>
      <c r="AF32" s="99" t="s">
        <v>63</v>
      </c>
      <c r="AG32" s="99" t="s">
        <v>63</v>
      </c>
      <c r="AH32" s="99" t="s">
        <v>83</v>
      </c>
      <c r="AI32" s="100" t="s">
        <v>65</v>
      </c>
      <c r="AJ32" s="100" t="s">
        <v>66</v>
      </c>
      <c r="AK32" s="100" t="s">
        <v>65</v>
      </c>
      <c r="AL32" s="45" t="s">
        <v>67</v>
      </c>
      <c r="AM32" s="199" t="str">
        <f t="shared" si="0"/>
        <v>5/2026</v>
      </c>
      <c r="AN32" s="45">
        <f t="shared" si="1"/>
        <v>2</v>
      </c>
      <c r="AO32" s="45" t="str">
        <f t="shared" si="2"/>
        <v>5/2026</v>
      </c>
      <c r="AP32" s="45">
        <f t="shared" si="3"/>
        <v>3</v>
      </c>
      <c r="AQ32" s="45">
        <f t="shared" si="4"/>
        <v>6</v>
      </c>
      <c r="AR32" s="45">
        <f t="shared" si="5"/>
        <v>0</v>
      </c>
      <c r="AS32" s="45">
        <f t="shared" si="6"/>
        <v>0</v>
      </c>
      <c r="AT32" s="45">
        <f t="shared" si="7"/>
        <v>18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46147</v>
      </c>
      <c r="C33" s="89" t="s">
        <v>48</v>
      </c>
      <c r="D33" s="89" t="s">
        <v>49</v>
      </c>
      <c r="E33" s="90">
        <v>773130870</v>
      </c>
      <c r="F33" s="221" t="s">
        <v>179</v>
      </c>
      <c r="G33" s="92">
        <v>83003576887</v>
      </c>
      <c r="H33" s="93">
        <v>21187</v>
      </c>
      <c r="I33" s="89">
        <v>68</v>
      </c>
      <c r="J33" s="89"/>
      <c r="K33" s="89" t="s">
        <v>51</v>
      </c>
      <c r="L33" s="89" t="s">
        <v>180</v>
      </c>
      <c r="M33" s="89"/>
      <c r="N33" s="89" t="s">
        <v>133</v>
      </c>
      <c r="O33" s="94" t="s">
        <v>181</v>
      </c>
      <c r="P33" s="95" t="s">
        <v>55</v>
      </c>
      <c r="Q33" s="145" t="s">
        <v>56</v>
      </c>
      <c r="R33" s="96">
        <v>46153</v>
      </c>
      <c r="S33" s="97"/>
      <c r="T33" s="97" t="s">
        <v>57</v>
      </c>
      <c r="U33" s="97" t="s">
        <v>58</v>
      </c>
      <c r="V33" s="93">
        <v>46153</v>
      </c>
      <c r="W33" s="93" t="s">
        <v>81</v>
      </c>
      <c r="X33" s="93" t="s">
        <v>81</v>
      </c>
      <c r="Y33" s="98"/>
      <c r="Z33" s="89" t="s">
        <v>59</v>
      </c>
      <c r="AA33" s="97" t="s">
        <v>182</v>
      </c>
      <c r="AB33" s="89" t="s">
        <v>60</v>
      </c>
      <c r="AC33" s="120"/>
      <c r="AD33" s="89" t="s">
        <v>78</v>
      </c>
      <c r="AE33" s="89">
        <v>54</v>
      </c>
      <c r="AF33" s="99"/>
      <c r="AG33" s="99"/>
      <c r="AH33" s="99" t="s">
        <v>64</v>
      </c>
      <c r="AI33" s="100" t="s">
        <v>65</v>
      </c>
      <c r="AJ33" s="100" t="s">
        <v>66</v>
      </c>
      <c r="AK33" s="100" t="s">
        <v>65</v>
      </c>
      <c r="AL33" s="45" t="s">
        <v>67</v>
      </c>
      <c r="AM33" s="199" t="str">
        <f t="shared" si="0"/>
        <v>5/2026</v>
      </c>
      <c r="AN33" s="45">
        <f t="shared" si="1"/>
        <v>2</v>
      </c>
      <c r="AO33" s="45" t="str">
        <f t="shared" si="2"/>
        <v>5/2026</v>
      </c>
      <c r="AP33" s="45">
        <f t="shared" si="3"/>
        <v>3</v>
      </c>
      <c r="AQ33" s="45">
        <f t="shared" si="4"/>
        <v>6</v>
      </c>
      <c r="AR33" s="45">
        <f t="shared" si="5"/>
        <v>0</v>
      </c>
      <c r="AS33" s="45">
        <f t="shared" si="6"/>
        <v>0</v>
      </c>
      <c r="AT33" s="45">
        <f t="shared" si="7"/>
        <v>15.597222222218988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46147</v>
      </c>
      <c r="C34" s="89" t="s">
        <v>48</v>
      </c>
      <c r="D34" s="89" t="s">
        <v>49</v>
      </c>
      <c r="E34" s="90">
        <v>88314268</v>
      </c>
      <c r="F34" s="221" t="s">
        <v>183</v>
      </c>
      <c r="G34" s="92">
        <v>19458790840</v>
      </c>
      <c r="H34" s="93">
        <v>28677</v>
      </c>
      <c r="I34" s="89">
        <v>47</v>
      </c>
      <c r="J34" s="89"/>
      <c r="K34" s="89" t="s">
        <v>51</v>
      </c>
      <c r="L34" s="89" t="s">
        <v>52</v>
      </c>
      <c r="M34" s="89"/>
      <c r="N34" s="89" t="s">
        <v>128</v>
      </c>
      <c r="O34" s="94" t="s">
        <v>184</v>
      </c>
      <c r="P34" s="95" t="s">
        <v>55</v>
      </c>
      <c r="Q34" s="145" t="s">
        <v>56</v>
      </c>
      <c r="R34" s="96">
        <v>46153</v>
      </c>
      <c r="S34" s="97"/>
      <c r="T34" s="97" t="s">
        <v>57</v>
      </c>
      <c r="U34" s="97" t="s">
        <v>58</v>
      </c>
      <c r="V34" s="93">
        <v>46153</v>
      </c>
      <c r="W34" s="93" t="s">
        <v>81</v>
      </c>
      <c r="X34" s="93" t="s">
        <v>81</v>
      </c>
      <c r="Y34" s="98"/>
      <c r="Z34" s="89" t="s">
        <v>59</v>
      </c>
      <c r="AA34" s="97" t="s">
        <v>185</v>
      </c>
      <c r="AB34" s="89" t="s">
        <v>88</v>
      </c>
      <c r="AC34" s="120"/>
      <c r="AD34" s="89"/>
      <c r="AE34" s="89"/>
      <c r="AF34" s="99"/>
      <c r="AG34" s="99"/>
      <c r="AH34" s="99"/>
      <c r="AI34" s="100" t="s">
        <v>65</v>
      </c>
      <c r="AJ34" s="100" t="s">
        <v>66</v>
      </c>
      <c r="AK34" s="100" t="s">
        <v>65</v>
      </c>
      <c r="AL34" s="45" t="s">
        <v>67</v>
      </c>
      <c r="AM34" s="199" t="str">
        <f t="shared" si="0"/>
        <v>5/2026</v>
      </c>
      <c r="AN34" s="45">
        <f t="shared" si="1"/>
        <v>2</v>
      </c>
      <c r="AO34" s="45" t="str">
        <f t="shared" si="2"/>
        <v>5/2026</v>
      </c>
      <c r="AP34" s="45">
        <f t="shared" si="3"/>
        <v>3</v>
      </c>
      <c r="AQ34" s="45">
        <f t="shared" si="4"/>
        <v>6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46147</v>
      </c>
      <c r="C35" s="89" t="s">
        <v>48</v>
      </c>
      <c r="D35" s="89" t="s">
        <v>49</v>
      </c>
      <c r="E35" s="90">
        <v>79797072</v>
      </c>
      <c r="F35" s="221" t="s">
        <v>186</v>
      </c>
      <c r="G35" s="92">
        <v>26340315801</v>
      </c>
      <c r="H35" s="93">
        <v>28421</v>
      </c>
      <c r="I35" s="89">
        <v>48</v>
      </c>
      <c r="J35" s="89"/>
      <c r="K35" s="89" t="s">
        <v>51</v>
      </c>
      <c r="L35" s="89" t="s">
        <v>52</v>
      </c>
      <c r="M35" s="89"/>
      <c r="N35" s="89" t="s">
        <v>53</v>
      </c>
      <c r="O35" s="94" t="s">
        <v>187</v>
      </c>
      <c r="P35" s="95" t="s">
        <v>55</v>
      </c>
      <c r="Q35" s="145" t="s">
        <v>56</v>
      </c>
      <c r="R35" s="96">
        <v>46153</v>
      </c>
      <c r="S35" s="97"/>
      <c r="T35" s="97" t="s">
        <v>57</v>
      </c>
      <c r="U35" s="97" t="s">
        <v>58</v>
      </c>
      <c r="V35" s="93">
        <v>46153</v>
      </c>
      <c r="W35" s="93" t="s">
        <v>81</v>
      </c>
      <c r="X35" s="93" t="s">
        <v>81</v>
      </c>
      <c r="Y35" s="98"/>
      <c r="Z35" s="89" t="s">
        <v>59</v>
      </c>
      <c r="AA35" s="97" t="s">
        <v>176</v>
      </c>
      <c r="AB35" s="89" t="s">
        <v>60</v>
      </c>
      <c r="AC35" s="120"/>
      <c r="AD35" s="89" t="s">
        <v>61</v>
      </c>
      <c r="AE35" s="89"/>
      <c r="AF35" s="99" t="s">
        <v>126</v>
      </c>
      <c r="AG35" s="99" t="s">
        <v>126</v>
      </c>
      <c r="AH35" s="99" t="s">
        <v>64</v>
      </c>
      <c r="AI35" s="100" t="s">
        <v>65</v>
      </c>
      <c r="AJ35" s="100" t="s">
        <v>66</v>
      </c>
      <c r="AK35" s="100" t="s">
        <v>65</v>
      </c>
      <c r="AL35" s="45" t="s">
        <v>67</v>
      </c>
      <c r="AM35" s="199" t="str">
        <f t="shared" si="0"/>
        <v>5/2026</v>
      </c>
      <c r="AN35" s="45">
        <f t="shared" si="1"/>
        <v>2</v>
      </c>
      <c r="AO35" s="45" t="str">
        <f t="shared" si="2"/>
        <v>5/2026</v>
      </c>
      <c r="AP35" s="45">
        <f t="shared" si="3"/>
        <v>3</v>
      </c>
      <c r="AQ35" s="45">
        <f t="shared" si="4"/>
        <v>6</v>
      </c>
      <c r="AR35" s="45">
        <f t="shared" si="5"/>
        <v>0</v>
      </c>
      <c r="AS35" s="45">
        <f t="shared" si="6"/>
        <v>0</v>
      </c>
      <c r="AT35" s="45">
        <f t="shared" si="7"/>
        <v>10.527777777781012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46147</v>
      </c>
      <c r="C36" s="89" t="s">
        <v>48</v>
      </c>
      <c r="D36" s="89" t="s">
        <v>49</v>
      </c>
      <c r="E36" s="90">
        <v>78087950</v>
      </c>
      <c r="F36" s="221" t="s">
        <v>188</v>
      </c>
      <c r="G36" s="92">
        <v>26077091804</v>
      </c>
      <c r="H36" s="93">
        <v>28622</v>
      </c>
      <c r="I36" s="89">
        <v>48</v>
      </c>
      <c r="J36" s="89"/>
      <c r="K36" s="89" t="s">
        <v>51</v>
      </c>
      <c r="L36" s="89" t="s">
        <v>52</v>
      </c>
      <c r="M36" s="89"/>
      <c r="N36" s="89" t="s">
        <v>189</v>
      </c>
      <c r="O36" s="94" t="s">
        <v>190</v>
      </c>
      <c r="P36" s="95" t="s">
        <v>55</v>
      </c>
      <c r="Q36" s="145" t="s">
        <v>56</v>
      </c>
      <c r="R36" s="96">
        <v>46153</v>
      </c>
      <c r="S36" s="97"/>
      <c r="T36" s="97" t="s">
        <v>57</v>
      </c>
      <c r="U36" s="97" t="s">
        <v>58</v>
      </c>
      <c r="V36" s="93">
        <v>46153</v>
      </c>
      <c r="W36" s="93" t="s">
        <v>81</v>
      </c>
      <c r="X36" s="93" t="s">
        <v>81</v>
      </c>
      <c r="Y36" s="98"/>
      <c r="Z36" s="89" t="s">
        <v>59</v>
      </c>
      <c r="AA36" s="97">
        <v>46171</v>
      </c>
      <c r="AB36" s="89" t="s">
        <v>88</v>
      </c>
      <c r="AC36" s="120">
        <v>46181</v>
      </c>
      <c r="AD36" s="89"/>
      <c r="AE36" s="89"/>
      <c r="AF36" s="99"/>
      <c r="AG36" s="99"/>
      <c r="AH36" s="99"/>
      <c r="AI36" s="100" t="s">
        <v>65</v>
      </c>
      <c r="AJ36" s="100" t="s">
        <v>66</v>
      </c>
      <c r="AK36" s="100" t="s">
        <v>65</v>
      </c>
      <c r="AL36" s="45" t="s">
        <v>67</v>
      </c>
      <c r="AM36" s="199" t="str">
        <f t="shared" si="0"/>
        <v>5/2026</v>
      </c>
      <c r="AN36" s="45">
        <f t="shared" si="1"/>
        <v>2</v>
      </c>
      <c r="AO36" s="45" t="str">
        <f t="shared" si="2"/>
        <v>5/2026</v>
      </c>
      <c r="AP36" s="45">
        <f t="shared" si="3"/>
        <v>3</v>
      </c>
      <c r="AQ36" s="45">
        <f t="shared" si="4"/>
        <v>6</v>
      </c>
      <c r="AR36" s="45">
        <f t="shared" si="5"/>
        <v>0</v>
      </c>
      <c r="AS36" s="45">
        <f t="shared" si="6"/>
        <v>0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46147</v>
      </c>
      <c r="C37" s="89" t="s">
        <v>48</v>
      </c>
      <c r="D37" s="89" t="s">
        <v>49</v>
      </c>
      <c r="E37" s="90">
        <v>451823567</v>
      </c>
      <c r="F37" s="221" t="s">
        <v>191</v>
      </c>
      <c r="G37" s="92">
        <v>51384620834</v>
      </c>
      <c r="H37" s="93">
        <v>17691</v>
      </c>
      <c r="I37" s="89">
        <v>77</v>
      </c>
      <c r="J37" s="89"/>
      <c r="K37" s="89" t="s">
        <v>51</v>
      </c>
      <c r="L37" s="89" t="s">
        <v>52</v>
      </c>
      <c r="M37" s="89"/>
      <c r="N37" s="89" t="s">
        <v>90</v>
      </c>
      <c r="O37" s="94" t="s">
        <v>192</v>
      </c>
      <c r="P37" s="95" t="s">
        <v>55</v>
      </c>
      <c r="Q37" s="145" t="s">
        <v>172</v>
      </c>
      <c r="R37" s="96">
        <v>46153</v>
      </c>
      <c r="S37" s="97">
        <v>46178</v>
      </c>
      <c r="T37" s="97" t="s">
        <v>57</v>
      </c>
      <c r="U37" s="97" t="s">
        <v>193</v>
      </c>
      <c r="V37" s="93">
        <v>46153</v>
      </c>
      <c r="W37" s="93" t="s">
        <v>81</v>
      </c>
      <c r="X37" s="93" t="s">
        <v>81</v>
      </c>
      <c r="Y37" s="98"/>
      <c r="Z37" s="89" t="s">
        <v>59</v>
      </c>
      <c r="AA37" s="97">
        <v>46178</v>
      </c>
      <c r="AB37" s="89" t="s">
        <v>169</v>
      </c>
      <c r="AC37" s="120"/>
      <c r="AD37" s="89"/>
      <c r="AE37" s="89"/>
      <c r="AF37" s="99"/>
      <c r="AG37" s="99"/>
      <c r="AH37" s="99"/>
      <c r="AI37" s="100" t="s">
        <v>65</v>
      </c>
      <c r="AJ37" s="100" t="s">
        <v>66</v>
      </c>
      <c r="AK37" s="100" t="s">
        <v>65</v>
      </c>
      <c r="AL37" s="45" t="s">
        <v>67</v>
      </c>
      <c r="AM37" s="199" t="str">
        <f t="shared" si="0"/>
        <v>5/2026</v>
      </c>
      <c r="AN37" s="45">
        <f t="shared" si="1"/>
        <v>2</v>
      </c>
      <c r="AO37" s="45" t="str">
        <f t="shared" si="2"/>
        <v>5/2026</v>
      </c>
      <c r="AP37" s="45">
        <f t="shared" si="3"/>
        <v>3</v>
      </c>
      <c r="AQ37" s="45">
        <f t="shared" si="4"/>
        <v>0</v>
      </c>
      <c r="AR37" s="45">
        <f t="shared" si="5"/>
        <v>25</v>
      </c>
      <c r="AS37" s="45">
        <f t="shared" si="6"/>
        <v>0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46147</v>
      </c>
      <c r="C38" s="89" t="s">
        <v>48</v>
      </c>
      <c r="D38" s="89" t="s">
        <v>49</v>
      </c>
      <c r="E38" s="90">
        <v>78833768</v>
      </c>
      <c r="F38" s="221" t="s">
        <v>194</v>
      </c>
      <c r="G38" s="92">
        <v>25230578831</v>
      </c>
      <c r="H38" s="93">
        <v>27453</v>
      </c>
      <c r="I38" s="89">
        <v>51</v>
      </c>
      <c r="J38" s="89"/>
      <c r="K38" s="89" t="s">
        <v>51</v>
      </c>
      <c r="L38" s="89" t="s">
        <v>165</v>
      </c>
      <c r="M38" s="89"/>
      <c r="N38" s="89" t="s">
        <v>53</v>
      </c>
      <c r="O38" s="94" t="s">
        <v>195</v>
      </c>
      <c r="P38" s="95" t="s">
        <v>55</v>
      </c>
      <c r="Q38" s="145" t="s">
        <v>56</v>
      </c>
      <c r="R38" s="96">
        <v>46153</v>
      </c>
      <c r="S38" s="97"/>
      <c r="T38" s="97" t="s">
        <v>57</v>
      </c>
      <c r="U38" s="97" t="s">
        <v>58</v>
      </c>
      <c r="V38" s="93">
        <v>46153</v>
      </c>
      <c r="W38" s="93" t="s">
        <v>81</v>
      </c>
      <c r="X38" s="93" t="s">
        <v>81</v>
      </c>
      <c r="Y38" s="98"/>
      <c r="Z38" s="89" t="s">
        <v>59</v>
      </c>
      <c r="AA38" s="97" t="s">
        <v>196</v>
      </c>
      <c r="AB38" s="89" t="s">
        <v>88</v>
      </c>
      <c r="AC38" s="120">
        <v>46175</v>
      </c>
      <c r="AD38" s="89" t="s">
        <v>61</v>
      </c>
      <c r="AE38" s="89"/>
      <c r="AF38" s="99" t="s">
        <v>131</v>
      </c>
      <c r="AG38" s="99" t="s">
        <v>131</v>
      </c>
      <c r="AH38" s="99" t="s">
        <v>64</v>
      </c>
      <c r="AI38" s="100" t="s">
        <v>65</v>
      </c>
      <c r="AJ38" s="100" t="s">
        <v>66</v>
      </c>
      <c r="AK38" s="100" t="s">
        <v>65</v>
      </c>
      <c r="AL38" s="45" t="s">
        <v>67</v>
      </c>
      <c r="AM38" s="199" t="str">
        <f t="shared" si="0"/>
        <v>5/2026</v>
      </c>
      <c r="AN38" s="45">
        <f t="shared" si="1"/>
        <v>2</v>
      </c>
      <c r="AO38" s="45" t="str">
        <f t="shared" si="2"/>
        <v>5/2026</v>
      </c>
      <c r="AP38" s="45">
        <f t="shared" si="3"/>
        <v>3</v>
      </c>
      <c r="AQ38" s="45">
        <f t="shared" si="4"/>
        <v>6</v>
      </c>
      <c r="AR38" s="45">
        <f t="shared" si="5"/>
        <v>0</v>
      </c>
      <c r="AS38" s="45">
        <f t="shared" si="6"/>
        <v>0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46147</v>
      </c>
      <c r="C39" s="89" t="s">
        <v>48</v>
      </c>
      <c r="D39" s="89" t="s">
        <v>49</v>
      </c>
      <c r="E39" s="90">
        <v>94209229</v>
      </c>
      <c r="F39" s="221" t="s">
        <v>197</v>
      </c>
      <c r="G39" s="92">
        <v>29599981898</v>
      </c>
      <c r="H39" s="93">
        <v>29474</v>
      </c>
      <c r="I39" s="89">
        <v>45</v>
      </c>
      <c r="J39" s="89"/>
      <c r="K39" s="89" t="s">
        <v>51</v>
      </c>
      <c r="L39" s="89" t="s">
        <v>52</v>
      </c>
      <c r="M39" s="89"/>
      <c r="N39" s="89" t="s">
        <v>53</v>
      </c>
      <c r="O39" s="94" t="s">
        <v>198</v>
      </c>
      <c r="P39" s="95" t="s">
        <v>55</v>
      </c>
      <c r="Q39" s="145" t="s">
        <v>56</v>
      </c>
      <c r="R39" s="96">
        <v>46153</v>
      </c>
      <c r="S39" s="97"/>
      <c r="T39" s="97" t="s">
        <v>57</v>
      </c>
      <c r="U39" s="97" t="s">
        <v>58</v>
      </c>
      <c r="V39" s="93">
        <v>46153</v>
      </c>
      <c r="W39" s="93" t="s">
        <v>81</v>
      </c>
      <c r="X39" s="93" t="s">
        <v>81</v>
      </c>
      <c r="Y39" s="98"/>
      <c r="Z39" s="89" t="s">
        <v>59</v>
      </c>
      <c r="AA39" s="97">
        <v>46162</v>
      </c>
      <c r="AB39" s="89" t="s">
        <v>88</v>
      </c>
      <c r="AC39" s="120">
        <v>46175</v>
      </c>
      <c r="AD39" s="89"/>
      <c r="AE39" s="89"/>
      <c r="AF39" s="99"/>
      <c r="AG39" s="99"/>
      <c r="AH39" s="99"/>
      <c r="AI39" s="100" t="s">
        <v>65</v>
      </c>
      <c r="AJ39" s="100" t="s">
        <v>66</v>
      </c>
      <c r="AK39" s="100" t="s">
        <v>65</v>
      </c>
      <c r="AL39" s="45" t="s">
        <v>67</v>
      </c>
      <c r="AM39" s="199" t="str">
        <f t="shared" si="0"/>
        <v>5/2026</v>
      </c>
      <c r="AN39" s="45">
        <f t="shared" si="1"/>
        <v>2</v>
      </c>
      <c r="AO39" s="45" t="str">
        <f t="shared" si="2"/>
        <v>5/2026</v>
      </c>
      <c r="AP39" s="45">
        <f t="shared" si="3"/>
        <v>3</v>
      </c>
      <c r="AQ39" s="45">
        <f t="shared" si="4"/>
        <v>6</v>
      </c>
      <c r="AR39" s="45">
        <f t="shared" si="5"/>
        <v>0</v>
      </c>
      <c r="AS39" s="45">
        <f t="shared" si="6"/>
        <v>0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46147</v>
      </c>
      <c r="C40" s="89" t="s">
        <v>48</v>
      </c>
      <c r="D40" s="89" t="s">
        <v>49</v>
      </c>
      <c r="E40" s="90">
        <v>436286866</v>
      </c>
      <c r="F40" s="221" t="s">
        <v>199</v>
      </c>
      <c r="G40" s="92">
        <v>28874420749</v>
      </c>
      <c r="H40" s="93">
        <v>19594</v>
      </c>
      <c r="I40" s="89">
        <v>72</v>
      </c>
      <c r="J40" s="89"/>
      <c r="K40" s="89" t="s">
        <v>85</v>
      </c>
      <c r="L40" s="89" t="s">
        <v>96</v>
      </c>
      <c r="M40" s="89"/>
      <c r="N40" s="89" t="s">
        <v>106</v>
      </c>
      <c r="O40" s="94" t="s">
        <v>200</v>
      </c>
      <c r="P40" s="95" t="s">
        <v>55</v>
      </c>
      <c r="Q40" s="145" t="s">
        <v>56</v>
      </c>
      <c r="R40" s="96">
        <v>46153</v>
      </c>
      <c r="S40" s="97"/>
      <c r="T40" s="97" t="s">
        <v>57</v>
      </c>
      <c r="U40" s="97" t="s">
        <v>58</v>
      </c>
      <c r="V40" s="93">
        <v>46153</v>
      </c>
      <c r="W40" s="93" t="s">
        <v>81</v>
      </c>
      <c r="X40" s="93" t="s">
        <v>81</v>
      </c>
      <c r="Y40" s="98"/>
      <c r="Z40" s="89" t="s">
        <v>59</v>
      </c>
      <c r="AA40" s="97">
        <v>46171</v>
      </c>
      <c r="AB40" s="89" t="s">
        <v>88</v>
      </c>
      <c r="AC40" s="120">
        <v>46181</v>
      </c>
      <c r="AD40" s="89"/>
      <c r="AE40" s="89"/>
      <c r="AF40" s="99"/>
      <c r="AG40" s="99"/>
      <c r="AH40" s="99"/>
      <c r="AI40" s="100" t="s">
        <v>65</v>
      </c>
      <c r="AJ40" s="100" t="s">
        <v>66</v>
      </c>
      <c r="AK40" s="100" t="s">
        <v>65</v>
      </c>
      <c r="AL40" s="45" t="s">
        <v>67</v>
      </c>
      <c r="AM40" s="199" t="str">
        <f t="shared" si="0"/>
        <v>5/2026</v>
      </c>
      <c r="AN40" s="45">
        <f t="shared" si="1"/>
        <v>2</v>
      </c>
      <c r="AO40" s="45" t="str">
        <f t="shared" si="2"/>
        <v>5/2026</v>
      </c>
      <c r="AP40" s="45">
        <f t="shared" si="3"/>
        <v>3</v>
      </c>
      <c r="AQ40" s="45">
        <f t="shared" si="4"/>
        <v>6</v>
      </c>
      <c r="AR40" s="45">
        <f t="shared" si="5"/>
        <v>0</v>
      </c>
      <c r="AS40" s="45">
        <f t="shared" si="6"/>
        <v>0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46147</v>
      </c>
      <c r="C41" s="89" t="s">
        <v>48</v>
      </c>
      <c r="D41" s="89" t="s">
        <v>49</v>
      </c>
      <c r="E41" s="90">
        <v>439276276</v>
      </c>
      <c r="F41" s="221" t="s">
        <v>201</v>
      </c>
      <c r="G41" s="92">
        <v>85877859749</v>
      </c>
      <c r="H41" s="93">
        <v>23372</v>
      </c>
      <c r="I41" s="89">
        <v>62</v>
      </c>
      <c r="J41" s="89"/>
      <c r="K41" s="89" t="s">
        <v>85</v>
      </c>
      <c r="L41" s="89" t="s">
        <v>96</v>
      </c>
      <c r="M41" s="89"/>
      <c r="N41" s="89" t="s">
        <v>106</v>
      </c>
      <c r="O41" s="94" t="s">
        <v>202</v>
      </c>
      <c r="P41" s="95" t="s">
        <v>55</v>
      </c>
      <c r="Q41" s="145" t="s">
        <v>56</v>
      </c>
      <c r="R41" s="96">
        <v>46153</v>
      </c>
      <c r="S41" s="97"/>
      <c r="T41" s="97" t="s">
        <v>57</v>
      </c>
      <c r="U41" s="97" t="s">
        <v>58</v>
      </c>
      <c r="V41" s="93">
        <v>46153</v>
      </c>
      <c r="W41" s="93" t="s">
        <v>81</v>
      </c>
      <c r="X41" s="93" t="s">
        <v>81</v>
      </c>
      <c r="Y41" s="98"/>
      <c r="Z41" s="89" t="s">
        <v>59</v>
      </c>
      <c r="AA41" s="97" t="s">
        <v>203</v>
      </c>
      <c r="AB41" s="89" t="s">
        <v>88</v>
      </c>
      <c r="AC41" s="120">
        <v>46176</v>
      </c>
      <c r="AD41" s="89" t="s">
        <v>61</v>
      </c>
      <c r="AE41" s="89"/>
      <c r="AF41" s="99"/>
      <c r="AG41" s="99"/>
      <c r="AH41" s="99"/>
      <c r="AI41" s="100" t="s">
        <v>65</v>
      </c>
      <c r="AJ41" s="100" t="s">
        <v>66</v>
      </c>
      <c r="AK41" s="100" t="s">
        <v>65</v>
      </c>
      <c r="AL41" s="45" t="s">
        <v>67</v>
      </c>
      <c r="AM41" s="199" t="str">
        <f t="shared" si="0"/>
        <v>5/2026</v>
      </c>
      <c r="AN41" s="45">
        <f t="shared" si="1"/>
        <v>2</v>
      </c>
      <c r="AO41" s="45" t="str">
        <f t="shared" si="2"/>
        <v>5/2026</v>
      </c>
      <c r="AP41" s="45">
        <f t="shared" si="3"/>
        <v>3</v>
      </c>
      <c r="AQ41" s="45">
        <f t="shared" si="4"/>
        <v>6</v>
      </c>
      <c r="AR41" s="45">
        <f t="shared" si="5"/>
        <v>0</v>
      </c>
      <c r="AS41" s="45">
        <f t="shared" si="6"/>
        <v>0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46147</v>
      </c>
      <c r="C42" s="89" t="s">
        <v>48</v>
      </c>
      <c r="D42" s="89" t="s">
        <v>49</v>
      </c>
      <c r="E42" s="90">
        <v>92737831</v>
      </c>
      <c r="F42" s="221" t="s">
        <v>204</v>
      </c>
      <c r="G42" s="92">
        <v>32960009843</v>
      </c>
      <c r="H42" s="93">
        <v>31311</v>
      </c>
      <c r="I42" s="89">
        <v>40</v>
      </c>
      <c r="J42" s="89"/>
      <c r="K42" s="89" t="s">
        <v>51</v>
      </c>
      <c r="L42" s="89" t="s">
        <v>52</v>
      </c>
      <c r="M42" s="89"/>
      <c r="N42" s="89" t="s">
        <v>53</v>
      </c>
      <c r="O42" s="94" t="s">
        <v>205</v>
      </c>
      <c r="P42" s="95" t="s">
        <v>55</v>
      </c>
      <c r="Q42" s="145" t="s">
        <v>56</v>
      </c>
      <c r="R42" s="96">
        <v>46153</v>
      </c>
      <c r="S42" s="97"/>
      <c r="T42" s="97" t="s">
        <v>57</v>
      </c>
      <c r="U42" s="97" t="s">
        <v>58</v>
      </c>
      <c r="V42" s="93">
        <v>46153</v>
      </c>
      <c r="W42" s="93" t="s">
        <v>81</v>
      </c>
      <c r="X42" s="93" t="s">
        <v>81</v>
      </c>
      <c r="Y42" s="98"/>
      <c r="Z42" s="89" t="s">
        <v>59</v>
      </c>
      <c r="AA42" s="97" t="s">
        <v>196</v>
      </c>
      <c r="AB42" s="89" t="s">
        <v>60</v>
      </c>
      <c r="AC42" s="120"/>
      <c r="AD42" s="89" t="s">
        <v>61</v>
      </c>
      <c r="AE42" s="89"/>
      <c r="AF42" s="99" t="s">
        <v>62</v>
      </c>
      <c r="AG42" s="99" t="s">
        <v>62</v>
      </c>
      <c r="AH42" s="99" t="s">
        <v>64</v>
      </c>
      <c r="AI42" s="100" t="s">
        <v>65</v>
      </c>
      <c r="AJ42" s="100" t="s">
        <v>66</v>
      </c>
      <c r="AK42" s="100" t="s">
        <v>65</v>
      </c>
      <c r="AL42" s="45" t="s">
        <v>67</v>
      </c>
      <c r="AM42" s="199" t="str">
        <f t="shared" si="0"/>
        <v>5/2026</v>
      </c>
      <c r="AN42" s="45">
        <f t="shared" si="1"/>
        <v>2</v>
      </c>
      <c r="AO42" s="45" t="str">
        <f t="shared" si="2"/>
        <v>5/2026</v>
      </c>
      <c r="AP42" s="45">
        <f t="shared" si="3"/>
        <v>3</v>
      </c>
      <c r="AQ42" s="45">
        <f t="shared" si="4"/>
        <v>6</v>
      </c>
      <c r="AR42" s="45">
        <f t="shared" si="5"/>
        <v>0</v>
      </c>
      <c r="AS42" s="45">
        <f t="shared" si="6"/>
        <v>0</v>
      </c>
      <c r="AT42" s="45">
        <f t="shared" si="7"/>
        <v>8.6388888888905058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46147</v>
      </c>
      <c r="C43" s="89" t="s">
        <v>48</v>
      </c>
      <c r="D43" s="89" t="s">
        <v>49</v>
      </c>
      <c r="E43" s="90">
        <v>593911954</v>
      </c>
      <c r="F43" s="221" t="s">
        <v>206</v>
      </c>
      <c r="G43" s="92">
        <v>18494505874</v>
      </c>
      <c r="H43" s="93">
        <v>20323</v>
      </c>
      <c r="I43" s="89">
        <v>70</v>
      </c>
      <c r="J43" s="89"/>
      <c r="K43" s="89" t="s">
        <v>51</v>
      </c>
      <c r="L43" s="89" t="s">
        <v>165</v>
      </c>
      <c r="M43" s="89"/>
      <c r="N43" s="89" t="s">
        <v>109</v>
      </c>
      <c r="O43" s="94" t="s">
        <v>207</v>
      </c>
      <c r="P43" s="95" t="s">
        <v>55</v>
      </c>
      <c r="Q43" s="145" t="s">
        <v>56</v>
      </c>
      <c r="R43" s="96">
        <v>46153</v>
      </c>
      <c r="S43" s="97"/>
      <c r="T43" s="97" t="s">
        <v>57</v>
      </c>
      <c r="U43" s="97" t="s">
        <v>58</v>
      </c>
      <c r="V43" s="93">
        <v>46153</v>
      </c>
      <c r="W43" s="93" t="s">
        <v>81</v>
      </c>
      <c r="X43" s="93" t="s">
        <v>81</v>
      </c>
      <c r="Y43" s="98"/>
      <c r="Z43" s="89" t="s">
        <v>59</v>
      </c>
      <c r="AA43" s="97" t="s">
        <v>208</v>
      </c>
      <c r="AB43" s="89" t="s">
        <v>88</v>
      </c>
      <c r="AC43" s="120"/>
      <c r="AD43" s="89"/>
      <c r="AE43" s="89"/>
      <c r="AF43" s="99"/>
      <c r="AG43" s="99"/>
      <c r="AH43" s="99"/>
      <c r="AI43" s="100" t="s">
        <v>65</v>
      </c>
      <c r="AJ43" s="100" t="s">
        <v>66</v>
      </c>
      <c r="AK43" s="100" t="s">
        <v>65</v>
      </c>
      <c r="AL43" s="45" t="s">
        <v>67</v>
      </c>
      <c r="AM43" s="199" t="str">
        <f t="shared" si="0"/>
        <v>5/2026</v>
      </c>
      <c r="AN43" s="45">
        <f t="shared" si="1"/>
        <v>2</v>
      </c>
      <c r="AO43" s="45" t="str">
        <f t="shared" si="2"/>
        <v>5/2026</v>
      </c>
      <c r="AP43" s="45">
        <f t="shared" si="3"/>
        <v>3</v>
      </c>
      <c r="AQ43" s="45">
        <f t="shared" si="4"/>
        <v>6</v>
      </c>
      <c r="AR43" s="45">
        <f t="shared" si="5"/>
        <v>0</v>
      </c>
      <c r="AS43" s="45">
        <f t="shared" si="6"/>
        <v>0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46147</v>
      </c>
      <c r="C44" s="89" t="s">
        <v>48</v>
      </c>
      <c r="D44" s="89" t="s">
        <v>49</v>
      </c>
      <c r="E44" s="90">
        <v>96502501</v>
      </c>
      <c r="F44" s="221" t="s">
        <v>209</v>
      </c>
      <c r="G44" s="92">
        <v>8610935779</v>
      </c>
      <c r="H44" s="93">
        <v>29858</v>
      </c>
      <c r="I44" s="89">
        <v>44</v>
      </c>
      <c r="J44" s="89"/>
      <c r="K44" s="89" t="s">
        <v>85</v>
      </c>
      <c r="L44" s="89" t="s">
        <v>96</v>
      </c>
      <c r="M44" s="89"/>
      <c r="N44" s="89" t="s">
        <v>101</v>
      </c>
      <c r="O44" s="94" t="s">
        <v>210</v>
      </c>
      <c r="P44" s="95" t="s">
        <v>55</v>
      </c>
      <c r="Q44" s="145" t="s">
        <v>56</v>
      </c>
      <c r="R44" s="96">
        <v>46153</v>
      </c>
      <c r="S44" s="97"/>
      <c r="T44" s="97" t="s">
        <v>57</v>
      </c>
      <c r="U44" s="97" t="s">
        <v>58</v>
      </c>
      <c r="V44" s="93">
        <v>46153</v>
      </c>
      <c r="W44" s="93" t="s">
        <v>81</v>
      </c>
      <c r="X44" s="93" t="s">
        <v>81</v>
      </c>
      <c r="Y44" s="98"/>
      <c r="Z44" s="89" t="s">
        <v>59</v>
      </c>
      <c r="AA44" s="97">
        <v>46178</v>
      </c>
      <c r="AB44" s="89" t="s">
        <v>60</v>
      </c>
      <c r="AC44" s="120"/>
      <c r="AD44" s="89" t="s">
        <v>61</v>
      </c>
      <c r="AE44" s="89"/>
      <c r="AF44" s="99" t="s">
        <v>161</v>
      </c>
      <c r="AG44" s="99" t="s">
        <v>161</v>
      </c>
      <c r="AH44" s="99" t="s">
        <v>64</v>
      </c>
      <c r="AI44" s="100" t="s">
        <v>65</v>
      </c>
      <c r="AJ44" s="100" t="s">
        <v>66</v>
      </c>
      <c r="AK44" s="100" t="s">
        <v>65</v>
      </c>
      <c r="AL44" s="45" t="s">
        <v>67</v>
      </c>
      <c r="AM44" s="199" t="str">
        <f t="shared" si="0"/>
        <v>5/2026</v>
      </c>
      <c r="AN44" s="45">
        <f t="shared" si="1"/>
        <v>2</v>
      </c>
      <c r="AO44" s="45" t="str">
        <f t="shared" si="2"/>
        <v>5/2026</v>
      </c>
      <c r="AP44" s="45">
        <f t="shared" si="3"/>
        <v>3</v>
      </c>
      <c r="AQ44" s="45">
        <f t="shared" si="4"/>
        <v>6</v>
      </c>
      <c r="AR44" s="45">
        <f t="shared" si="5"/>
        <v>0</v>
      </c>
      <c r="AS44" s="45">
        <f t="shared" si="6"/>
        <v>0</v>
      </c>
      <c r="AT44" s="45">
        <f t="shared" si="7"/>
        <v>25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46147</v>
      </c>
      <c r="C45" s="89" t="s">
        <v>48</v>
      </c>
      <c r="D45" s="89" t="s">
        <v>49</v>
      </c>
      <c r="E45" s="90">
        <v>83709388</v>
      </c>
      <c r="F45" s="221" t="s">
        <v>211</v>
      </c>
      <c r="G45" s="92">
        <v>37582373863</v>
      </c>
      <c r="H45" s="93">
        <v>35166</v>
      </c>
      <c r="I45" s="89">
        <v>30</v>
      </c>
      <c r="J45" s="89"/>
      <c r="K45" s="89" t="s">
        <v>51</v>
      </c>
      <c r="L45" s="89" t="s">
        <v>52</v>
      </c>
      <c r="M45" s="89"/>
      <c r="N45" s="89" t="s">
        <v>123</v>
      </c>
      <c r="O45" s="94" t="s">
        <v>212</v>
      </c>
      <c r="P45" s="95" t="s">
        <v>55</v>
      </c>
      <c r="Q45" s="145" t="s">
        <v>56</v>
      </c>
      <c r="R45" s="96">
        <v>46153</v>
      </c>
      <c r="S45" s="97"/>
      <c r="T45" s="97" t="s">
        <v>57</v>
      </c>
      <c r="U45" s="97" t="s">
        <v>58</v>
      </c>
      <c r="V45" s="93">
        <v>46153</v>
      </c>
      <c r="W45" s="93" t="s">
        <v>81</v>
      </c>
      <c r="X45" s="93" t="s">
        <v>81</v>
      </c>
      <c r="Y45" s="98"/>
      <c r="Z45" s="89" t="s">
        <v>59</v>
      </c>
      <c r="AA45" s="97" t="s">
        <v>213</v>
      </c>
      <c r="AB45" s="89" t="s">
        <v>88</v>
      </c>
      <c r="AC45" s="120">
        <v>46178</v>
      </c>
      <c r="AD45" s="89"/>
      <c r="AE45" s="89"/>
      <c r="AF45" s="99"/>
      <c r="AG45" s="99"/>
      <c r="AH45" s="99"/>
      <c r="AI45" s="100" t="s">
        <v>65</v>
      </c>
      <c r="AJ45" s="100" t="s">
        <v>66</v>
      </c>
      <c r="AK45" s="100" t="s">
        <v>65</v>
      </c>
      <c r="AL45" s="45" t="s">
        <v>67</v>
      </c>
      <c r="AM45" s="199" t="str">
        <f t="shared" si="0"/>
        <v>5/2026</v>
      </c>
      <c r="AN45" s="45">
        <f t="shared" si="1"/>
        <v>2</v>
      </c>
      <c r="AO45" s="45" t="str">
        <f t="shared" si="2"/>
        <v>5/2026</v>
      </c>
      <c r="AP45" s="45">
        <f t="shared" si="3"/>
        <v>3</v>
      </c>
      <c r="AQ45" s="45">
        <f t="shared" si="4"/>
        <v>6</v>
      </c>
      <c r="AR45" s="45">
        <f t="shared" si="5"/>
        <v>0</v>
      </c>
      <c r="AS45" s="45">
        <f t="shared" si="6"/>
        <v>0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46147</v>
      </c>
      <c r="C46" s="89" t="s">
        <v>48</v>
      </c>
      <c r="D46" s="89" t="s">
        <v>49</v>
      </c>
      <c r="E46" s="90">
        <v>86031423</v>
      </c>
      <c r="F46" s="221" t="s">
        <v>214</v>
      </c>
      <c r="G46" s="92">
        <v>5637402809</v>
      </c>
      <c r="H46" s="93">
        <v>23389</v>
      </c>
      <c r="I46" s="89">
        <v>62</v>
      </c>
      <c r="J46" s="89"/>
      <c r="K46" s="89" t="s">
        <v>51</v>
      </c>
      <c r="L46" s="89" t="s">
        <v>52</v>
      </c>
      <c r="M46" s="89"/>
      <c r="N46" s="89" t="s">
        <v>123</v>
      </c>
      <c r="O46" s="94" t="s">
        <v>215</v>
      </c>
      <c r="P46" s="95" t="s">
        <v>55</v>
      </c>
      <c r="Q46" s="145" t="s">
        <v>56</v>
      </c>
      <c r="R46" s="96">
        <v>46153</v>
      </c>
      <c r="S46" s="97"/>
      <c r="T46" s="97" t="s">
        <v>57</v>
      </c>
      <c r="U46" s="97" t="s">
        <v>58</v>
      </c>
      <c r="V46" s="93">
        <v>46153</v>
      </c>
      <c r="W46" s="93" t="s">
        <v>81</v>
      </c>
      <c r="X46" s="93" t="s">
        <v>81</v>
      </c>
      <c r="Y46" s="98"/>
      <c r="Z46" s="89" t="s">
        <v>59</v>
      </c>
      <c r="AA46" s="97" t="s">
        <v>216</v>
      </c>
      <c r="AB46" s="89" t="s">
        <v>88</v>
      </c>
      <c r="AC46" s="120"/>
      <c r="AD46" s="89"/>
      <c r="AE46" s="89"/>
      <c r="AF46" s="99"/>
      <c r="AG46" s="99"/>
      <c r="AH46" s="99"/>
      <c r="AI46" s="100" t="s">
        <v>65</v>
      </c>
      <c r="AJ46" s="100" t="s">
        <v>66</v>
      </c>
      <c r="AK46" s="100" t="s">
        <v>65</v>
      </c>
      <c r="AL46" s="45" t="s">
        <v>67</v>
      </c>
      <c r="AM46" s="199" t="str">
        <f t="shared" si="0"/>
        <v>5/2026</v>
      </c>
      <c r="AN46" s="45">
        <f t="shared" si="1"/>
        <v>2</v>
      </c>
      <c r="AO46" s="45" t="str">
        <f t="shared" si="2"/>
        <v>5/2026</v>
      </c>
      <c r="AP46" s="45">
        <f t="shared" si="3"/>
        <v>3</v>
      </c>
      <c r="AQ46" s="45">
        <f t="shared" si="4"/>
        <v>6</v>
      </c>
      <c r="AR46" s="45">
        <f t="shared" si="5"/>
        <v>0</v>
      </c>
      <c r="AS46" s="45">
        <f t="shared" si="6"/>
        <v>0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46147</v>
      </c>
      <c r="C47" s="89" t="s">
        <v>48</v>
      </c>
      <c r="D47" s="89" t="s">
        <v>49</v>
      </c>
      <c r="E47" s="90">
        <v>124960790</v>
      </c>
      <c r="F47" s="221" t="s">
        <v>217</v>
      </c>
      <c r="G47" s="92">
        <v>56513941849</v>
      </c>
      <c r="H47" s="93">
        <v>18935</v>
      </c>
      <c r="I47" s="89">
        <v>74</v>
      </c>
      <c r="J47" s="89"/>
      <c r="K47" s="89" t="s">
        <v>51</v>
      </c>
      <c r="L47" s="89" t="s">
        <v>52</v>
      </c>
      <c r="M47" s="89"/>
      <c r="N47" s="89" t="s">
        <v>106</v>
      </c>
      <c r="O47" s="94" t="s">
        <v>218</v>
      </c>
      <c r="P47" s="95" t="s">
        <v>55</v>
      </c>
      <c r="Q47" s="145" t="s">
        <v>56</v>
      </c>
      <c r="R47" s="96">
        <v>46153</v>
      </c>
      <c r="S47" s="97"/>
      <c r="T47" s="97" t="s">
        <v>57</v>
      </c>
      <c r="U47" s="97" t="s">
        <v>58</v>
      </c>
      <c r="V47" s="93">
        <v>46153</v>
      </c>
      <c r="W47" s="93" t="s">
        <v>81</v>
      </c>
      <c r="X47" s="93" t="s">
        <v>81</v>
      </c>
      <c r="Y47" s="98"/>
      <c r="Z47" s="89" t="s">
        <v>59</v>
      </c>
      <c r="AA47" s="97" t="s">
        <v>219</v>
      </c>
      <c r="AB47" s="89" t="s">
        <v>88</v>
      </c>
      <c r="AC47" s="120">
        <v>46176</v>
      </c>
      <c r="AD47" s="89"/>
      <c r="AE47" s="89"/>
      <c r="AF47" s="99"/>
      <c r="AG47" s="99"/>
      <c r="AH47" s="99"/>
      <c r="AI47" s="100" t="s">
        <v>65</v>
      </c>
      <c r="AJ47" s="100" t="s">
        <v>66</v>
      </c>
      <c r="AK47" s="100" t="s">
        <v>65</v>
      </c>
      <c r="AL47" s="45" t="s">
        <v>67</v>
      </c>
      <c r="AM47" s="199" t="str">
        <f t="shared" si="0"/>
        <v>5/2026</v>
      </c>
      <c r="AN47" s="45">
        <f t="shared" si="1"/>
        <v>2</v>
      </c>
      <c r="AO47" s="45" t="str">
        <f t="shared" si="2"/>
        <v>5/2026</v>
      </c>
      <c r="AP47" s="45">
        <f t="shared" si="3"/>
        <v>3</v>
      </c>
      <c r="AQ47" s="45">
        <f t="shared" si="4"/>
        <v>6</v>
      </c>
      <c r="AR47" s="45">
        <f t="shared" si="5"/>
        <v>0</v>
      </c>
      <c r="AS47" s="45">
        <f t="shared" si="6"/>
        <v>0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46147</v>
      </c>
      <c r="C48" s="89" t="s">
        <v>48</v>
      </c>
      <c r="D48" s="89" t="s">
        <v>49</v>
      </c>
      <c r="E48" s="90">
        <v>811296210</v>
      </c>
      <c r="F48" s="221" t="s">
        <v>220</v>
      </c>
      <c r="G48" s="92">
        <v>57139679800</v>
      </c>
      <c r="H48" s="93">
        <v>17858</v>
      </c>
      <c r="I48" s="89">
        <v>77</v>
      </c>
      <c r="J48" s="89"/>
      <c r="K48" s="89" t="s">
        <v>51</v>
      </c>
      <c r="L48" s="89" t="s">
        <v>52</v>
      </c>
      <c r="M48" s="89"/>
      <c r="N48" s="89" t="s">
        <v>221</v>
      </c>
      <c r="O48" s="94" t="s">
        <v>222</v>
      </c>
      <c r="P48" s="95" t="s">
        <v>55</v>
      </c>
      <c r="Q48" s="145" t="s">
        <v>56</v>
      </c>
      <c r="R48" s="96">
        <v>46153</v>
      </c>
      <c r="S48" s="97"/>
      <c r="T48" s="97" t="s">
        <v>57</v>
      </c>
      <c r="U48" s="97" t="s">
        <v>58</v>
      </c>
      <c r="V48" s="93">
        <v>46153</v>
      </c>
      <c r="W48" s="93" t="s">
        <v>81</v>
      </c>
      <c r="X48" s="93" t="s">
        <v>81</v>
      </c>
      <c r="Y48" s="98"/>
      <c r="Z48" s="89" t="s">
        <v>59</v>
      </c>
      <c r="AA48" s="97">
        <v>46171</v>
      </c>
      <c r="AB48" s="89" t="s">
        <v>60</v>
      </c>
      <c r="AC48" s="120"/>
      <c r="AD48" s="89" t="s">
        <v>61</v>
      </c>
      <c r="AE48" s="89"/>
      <c r="AF48" s="99"/>
      <c r="AG48" s="99"/>
      <c r="AH48" s="99" t="s">
        <v>64</v>
      </c>
      <c r="AI48" s="100" t="s">
        <v>65</v>
      </c>
      <c r="AJ48" s="100" t="s">
        <v>66</v>
      </c>
      <c r="AK48" s="100" t="s">
        <v>65</v>
      </c>
      <c r="AL48" s="45" t="s">
        <v>67</v>
      </c>
      <c r="AM48" s="199" t="str">
        <f t="shared" si="0"/>
        <v>5/2026</v>
      </c>
      <c r="AN48" s="45">
        <f t="shared" si="1"/>
        <v>2</v>
      </c>
      <c r="AO48" s="45" t="str">
        <f t="shared" si="2"/>
        <v>5/2026</v>
      </c>
      <c r="AP48" s="45">
        <f t="shared" si="3"/>
        <v>3</v>
      </c>
      <c r="AQ48" s="45">
        <f t="shared" si="4"/>
        <v>6</v>
      </c>
      <c r="AR48" s="45">
        <f t="shared" si="5"/>
        <v>0</v>
      </c>
      <c r="AS48" s="45">
        <f t="shared" si="6"/>
        <v>0</v>
      </c>
      <c r="AT48" s="45">
        <f t="shared" si="7"/>
        <v>18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46147</v>
      </c>
      <c r="C49" s="89" t="s">
        <v>48</v>
      </c>
      <c r="D49" s="89" t="s">
        <v>49</v>
      </c>
      <c r="E49" s="90">
        <v>445431628</v>
      </c>
      <c r="F49" s="221" t="s">
        <v>223</v>
      </c>
      <c r="G49" s="92">
        <v>44744751865</v>
      </c>
      <c r="H49" s="93">
        <v>38818</v>
      </c>
      <c r="I49" s="89">
        <v>20</v>
      </c>
      <c r="J49" s="89"/>
      <c r="K49" s="89" t="s">
        <v>51</v>
      </c>
      <c r="L49" s="89" t="s">
        <v>52</v>
      </c>
      <c r="M49" s="89"/>
      <c r="N49" s="89" t="s">
        <v>90</v>
      </c>
      <c r="O49" s="94" t="s">
        <v>224</v>
      </c>
      <c r="P49" s="95" t="s">
        <v>55</v>
      </c>
      <c r="Q49" s="145" t="s">
        <v>56</v>
      </c>
      <c r="R49" s="96">
        <v>46153</v>
      </c>
      <c r="S49" s="97"/>
      <c r="T49" s="97" t="s">
        <v>57</v>
      </c>
      <c r="U49" s="97" t="s">
        <v>58</v>
      </c>
      <c r="V49" s="93">
        <v>46153</v>
      </c>
      <c r="W49" s="93" t="s">
        <v>81</v>
      </c>
      <c r="X49" s="93" t="s">
        <v>81</v>
      </c>
      <c r="Y49" s="98"/>
      <c r="Z49" s="89" t="s">
        <v>59</v>
      </c>
      <c r="AA49" s="97" t="s">
        <v>225</v>
      </c>
      <c r="AB49" s="89" t="s">
        <v>88</v>
      </c>
      <c r="AC49" s="120"/>
      <c r="AD49" s="89"/>
      <c r="AE49" s="89"/>
      <c r="AF49" s="99"/>
      <c r="AG49" s="99"/>
      <c r="AH49" s="99"/>
      <c r="AI49" s="100" t="s">
        <v>65</v>
      </c>
      <c r="AJ49" s="100" t="s">
        <v>66</v>
      </c>
      <c r="AK49" s="100" t="s">
        <v>65</v>
      </c>
      <c r="AL49" s="45" t="s">
        <v>67</v>
      </c>
      <c r="AM49" s="199" t="str">
        <f t="shared" si="0"/>
        <v>5/2026</v>
      </c>
      <c r="AN49" s="45">
        <f t="shared" si="1"/>
        <v>2</v>
      </c>
      <c r="AO49" s="45" t="str">
        <f t="shared" si="2"/>
        <v>5/2026</v>
      </c>
      <c r="AP49" s="45">
        <f t="shared" si="3"/>
        <v>3</v>
      </c>
      <c r="AQ49" s="45">
        <f t="shared" si="4"/>
        <v>6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46147</v>
      </c>
      <c r="C50" s="89" t="s">
        <v>48</v>
      </c>
      <c r="D50" s="89" t="s">
        <v>49</v>
      </c>
      <c r="E50" s="90">
        <v>84673124</v>
      </c>
      <c r="F50" s="221" t="s">
        <v>226</v>
      </c>
      <c r="G50" s="92">
        <v>31255711892</v>
      </c>
      <c r="H50" s="93">
        <v>30611</v>
      </c>
      <c r="I50" s="89">
        <v>42</v>
      </c>
      <c r="J50" s="89"/>
      <c r="K50" s="89" t="s">
        <v>51</v>
      </c>
      <c r="L50" s="89" t="s">
        <v>52</v>
      </c>
      <c r="M50" s="89"/>
      <c r="N50" s="89" t="s">
        <v>116</v>
      </c>
      <c r="O50" s="94" t="s">
        <v>227</v>
      </c>
      <c r="P50" s="95" t="s">
        <v>55</v>
      </c>
      <c r="Q50" s="145" t="s">
        <v>56</v>
      </c>
      <c r="R50" s="96">
        <v>46153</v>
      </c>
      <c r="S50" s="97"/>
      <c r="T50" s="97" t="s">
        <v>57</v>
      </c>
      <c r="U50" s="97" t="s">
        <v>58</v>
      </c>
      <c r="V50" s="93">
        <v>46153</v>
      </c>
      <c r="W50" s="93" t="s">
        <v>81</v>
      </c>
      <c r="X50" s="93" t="s">
        <v>81</v>
      </c>
      <c r="Y50" s="98"/>
      <c r="Z50" s="89" t="s">
        <v>59</v>
      </c>
      <c r="AA50" s="97">
        <v>46164</v>
      </c>
      <c r="AB50" s="89" t="s">
        <v>60</v>
      </c>
      <c r="AC50" s="120"/>
      <c r="AD50" s="89" t="s">
        <v>78</v>
      </c>
      <c r="AE50" s="89"/>
      <c r="AF50" s="99" t="s">
        <v>228</v>
      </c>
      <c r="AG50" s="99" t="s">
        <v>228</v>
      </c>
      <c r="AH50" s="99" t="s">
        <v>83</v>
      </c>
      <c r="AI50" s="100" t="s">
        <v>65</v>
      </c>
      <c r="AJ50" s="100" t="s">
        <v>66</v>
      </c>
      <c r="AK50" s="100" t="s">
        <v>65</v>
      </c>
      <c r="AL50" s="45" t="s">
        <v>67</v>
      </c>
      <c r="AM50" s="199" t="str">
        <f t="shared" si="0"/>
        <v>5/2026</v>
      </c>
      <c r="AN50" s="45">
        <f t="shared" si="1"/>
        <v>2</v>
      </c>
      <c r="AO50" s="45" t="str">
        <f t="shared" si="2"/>
        <v>5/2026</v>
      </c>
      <c r="AP50" s="45">
        <f t="shared" si="3"/>
        <v>3</v>
      </c>
      <c r="AQ50" s="45">
        <f t="shared" si="4"/>
        <v>6</v>
      </c>
      <c r="AR50" s="45">
        <f t="shared" si="5"/>
        <v>0</v>
      </c>
      <c r="AS50" s="45">
        <f t="shared" si="6"/>
        <v>0</v>
      </c>
      <c r="AT50" s="45">
        <f t="shared" si="7"/>
        <v>11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46147</v>
      </c>
      <c r="C51" s="89" t="s">
        <v>48</v>
      </c>
      <c r="D51" s="89" t="s">
        <v>49</v>
      </c>
      <c r="E51" s="90">
        <v>87648674</v>
      </c>
      <c r="F51" s="221" t="s">
        <v>229</v>
      </c>
      <c r="G51" s="92">
        <v>52709076829</v>
      </c>
      <c r="H51" s="93">
        <v>37713</v>
      </c>
      <c r="I51" s="89">
        <v>23</v>
      </c>
      <c r="J51" s="89"/>
      <c r="K51" s="89" t="s">
        <v>51</v>
      </c>
      <c r="L51" s="89" t="s">
        <v>52</v>
      </c>
      <c r="M51" s="89"/>
      <c r="N51" s="89" t="s">
        <v>128</v>
      </c>
      <c r="O51" s="94" t="s">
        <v>230</v>
      </c>
      <c r="P51" s="95" t="s">
        <v>55</v>
      </c>
      <c r="Q51" s="145" t="s">
        <v>56</v>
      </c>
      <c r="R51" s="96">
        <v>46153</v>
      </c>
      <c r="S51" s="97"/>
      <c r="T51" s="97" t="s">
        <v>57</v>
      </c>
      <c r="U51" s="97" t="s">
        <v>58</v>
      </c>
      <c r="V51" s="93">
        <v>46153</v>
      </c>
      <c r="W51" s="93" t="s">
        <v>81</v>
      </c>
      <c r="X51" s="93" t="s">
        <v>81</v>
      </c>
      <c r="Y51" s="98"/>
      <c r="Z51" s="89" t="s">
        <v>59</v>
      </c>
      <c r="AA51" s="97" t="s">
        <v>219</v>
      </c>
      <c r="AB51" s="89" t="s">
        <v>88</v>
      </c>
      <c r="AC51" s="120">
        <v>46176</v>
      </c>
      <c r="AD51" s="89"/>
      <c r="AE51" s="89"/>
      <c r="AF51" s="99"/>
      <c r="AG51" s="99"/>
      <c r="AH51" s="99"/>
      <c r="AI51" s="100" t="s">
        <v>65</v>
      </c>
      <c r="AJ51" s="100" t="s">
        <v>66</v>
      </c>
      <c r="AK51" s="100" t="s">
        <v>65</v>
      </c>
      <c r="AL51" s="45" t="s">
        <v>67</v>
      </c>
      <c r="AM51" s="199" t="str">
        <f t="shared" si="0"/>
        <v>5/2026</v>
      </c>
      <c r="AN51" s="45">
        <f t="shared" si="1"/>
        <v>2</v>
      </c>
      <c r="AO51" s="45" t="str">
        <f t="shared" si="2"/>
        <v>5/2026</v>
      </c>
      <c r="AP51" s="45">
        <f t="shared" si="3"/>
        <v>3</v>
      </c>
      <c r="AQ51" s="45">
        <f t="shared" si="4"/>
        <v>6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46147</v>
      </c>
      <c r="C52" s="89" t="s">
        <v>48</v>
      </c>
      <c r="D52" s="89" t="s">
        <v>49</v>
      </c>
      <c r="E52" s="90">
        <v>746428723</v>
      </c>
      <c r="F52" s="221" t="s">
        <v>231</v>
      </c>
      <c r="G52" s="92">
        <v>85991147604</v>
      </c>
      <c r="H52" s="93">
        <v>21131</v>
      </c>
      <c r="I52" s="89">
        <v>68</v>
      </c>
      <c r="J52" s="89"/>
      <c r="K52" s="89" t="s">
        <v>85</v>
      </c>
      <c r="L52" s="89" t="s">
        <v>96</v>
      </c>
      <c r="M52" s="89"/>
      <c r="N52" s="89" t="s">
        <v>221</v>
      </c>
      <c r="O52" s="94" t="s">
        <v>232</v>
      </c>
      <c r="P52" s="95" t="s">
        <v>55</v>
      </c>
      <c r="Q52" s="145" t="s">
        <v>172</v>
      </c>
      <c r="R52" s="96">
        <v>46153</v>
      </c>
      <c r="S52" s="97">
        <v>46171</v>
      </c>
      <c r="T52" s="97" t="s">
        <v>57</v>
      </c>
      <c r="U52" s="97" t="s">
        <v>119</v>
      </c>
      <c r="V52" s="93">
        <v>46153</v>
      </c>
      <c r="W52" s="93" t="s">
        <v>81</v>
      </c>
      <c r="X52" s="93" t="s">
        <v>81</v>
      </c>
      <c r="Y52" s="98"/>
      <c r="Z52" s="89" t="s">
        <v>59</v>
      </c>
      <c r="AA52" s="97">
        <v>46171</v>
      </c>
      <c r="AB52" s="89" t="s">
        <v>173</v>
      </c>
      <c r="AC52" s="120"/>
      <c r="AD52" s="89"/>
      <c r="AE52" s="89"/>
      <c r="AF52" s="99"/>
      <c r="AG52" s="99"/>
      <c r="AH52" s="99"/>
      <c r="AI52" s="100" t="s">
        <v>65</v>
      </c>
      <c r="AJ52" s="100" t="s">
        <v>121</v>
      </c>
      <c r="AK52" s="100" t="s">
        <v>65</v>
      </c>
      <c r="AL52" s="45" t="s">
        <v>67</v>
      </c>
      <c r="AM52" s="199" t="str">
        <f t="shared" si="0"/>
        <v>5/2026</v>
      </c>
      <c r="AN52" s="45">
        <f t="shared" si="1"/>
        <v>2</v>
      </c>
      <c r="AO52" s="45" t="str">
        <f t="shared" si="2"/>
        <v>5/2026</v>
      </c>
      <c r="AP52" s="45">
        <f t="shared" si="3"/>
        <v>3</v>
      </c>
      <c r="AQ52" s="45">
        <f t="shared" si="4"/>
        <v>0</v>
      </c>
      <c r="AR52" s="45">
        <f t="shared" si="5"/>
        <v>18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46147</v>
      </c>
      <c r="C53" s="89" t="s">
        <v>48</v>
      </c>
      <c r="D53" s="89" t="s">
        <v>49</v>
      </c>
      <c r="E53" s="90">
        <v>88883866</v>
      </c>
      <c r="F53" s="221" t="s">
        <v>233</v>
      </c>
      <c r="G53" s="92">
        <v>11538200805</v>
      </c>
      <c r="H53" s="93">
        <v>24060</v>
      </c>
      <c r="I53" s="89">
        <v>60</v>
      </c>
      <c r="J53" s="89"/>
      <c r="K53" s="89" t="s">
        <v>51</v>
      </c>
      <c r="L53" s="89" t="s">
        <v>52</v>
      </c>
      <c r="M53" s="89"/>
      <c r="N53" s="89" t="s">
        <v>146</v>
      </c>
      <c r="O53" s="94" t="s">
        <v>234</v>
      </c>
      <c r="P53" s="95" t="s">
        <v>55</v>
      </c>
      <c r="Q53" s="145" t="s">
        <v>172</v>
      </c>
      <c r="R53" s="96">
        <v>46153</v>
      </c>
      <c r="S53" s="97">
        <v>46171</v>
      </c>
      <c r="T53" s="97" t="s">
        <v>57</v>
      </c>
      <c r="U53" s="97" t="s">
        <v>119</v>
      </c>
      <c r="V53" s="93">
        <v>46153</v>
      </c>
      <c r="W53" s="93" t="s">
        <v>81</v>
      </c>
      <c r="X53" s="93" t="s">
        <v>81</v>
      </c>
      <c r="Y53" s="98"/>
      <c r="Z53" s="89" t="s">
        <v>59</v>
      </c>
      <c r="AA53" s="97">
        <v>46171</v>
      </c>
      <c r="AB53" s="89" t="s">
        <v>173</v>
      </c>
      <c r="AC53" s="120"/>
      <c r="AD53" s="89"/>
      <c r="AE53" s="89"/>
      <c r="AF53" s="99"/>
      <c r="AG53" s="99"/>
      <c r="AH53" s="99"/>
      <c r="AI53" s="100" t="s">
        <v>65</v>
      </c>
      <c r="AJ53" s="100" t="s">
        <v>121</v>
      </c>
      <c r="AK53" s="100" t="s">
        <v>65</v>
      </c>
      <c r="AL53" s="45" t="s">
        <v>67</v>
      </c>
      <c r="AM53" s="199" t="str">
        <f t="shared" si="0"/>
        <v>5/2026</v>
      </c>
      <c r="AN53" s="45">
        <f t="shared" si="1"/>
        <v>2</v>
      </c>
      <c r="AO53" s="45" t="str">
        <f t="shared" si="2"/>
        <v>5/2026</v>
      </c>
      <c r="AP53" s="45">
        <f t="shared" si="3"/>
        <v>3</v>
      </c>
      <c r="AQ53" s="45">
        <f t="shared" si="4"/>
        <v>0</v>
      </c>
      <c r="AR53" s="45">
        <f t="shared" si="5"/>
        <v>18</v>
      </c>
      <c r="AS53" s="45">
        <f t="shared" si="6"/>
        <v>0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46147</v>
      </c>
      <c r="C54" s="89" t="s">
        <v>48</v>
      </c>
      <c r="D54" s="89" t="s">
        <v>49</v>
      </c>
      <c r="E54" s="90">
        <v>89008842</v>
      </c>
      <c r="F54" s="221" t="s">
        <v>235</v>
      </c>
      <c r="G54" s="92">
        <v>58613021700</v>
      </c>
      <c r="H54" s="93">
        <v>21465</v>
      </c>
      <c r="I54" s="89">
        <v>67</v>
      </c>
      <c r="J54" s="89"/>
      <c r="K54" s="89" t="s">
        <v>85</v>
      </c>
      <c r="L54" s="89" t="s">
        <v>96</v>
      </c>
      <c r="M54" s="89"/>
      <c r="N54" s="89" t="s">
        <v>123</v>
      </c>
      <c r="O54" s="94" t="s">
        <v>236</v>
      </c>
      <c r="P54" s="95" t="s">
        <v>55</v>
      </c>
      <c r="Q54" s="145" t="s">
        <v>56</v>
      </c>
      <c r="R54" s="96">
        <v>46153</v>
      </c>
      <c r="S54" s="97"/>
      <c r="T54" s="97" t="s">
        <v>57</v>
      </c>
      <c r="U54" s="97" t="s">
        <v>58</v>
      </c>
      <c r="V54" s="93">
        <v>46153</v>
      </c>
      <c r="W54" s="93" t="s">
        <v>81</v>
      </c>
      <c r="X54" s="93" t="s">
        <v>81</v>
      </c>
      <c r="Y54" s="98"/>
      <c r="Z54" s="89" t="s">
        <v>59</v>
      </c>
      <c r="AA54" s="97" t="s">
        <v>237</v>
      </c>
      <c r="AB54" s="89" t="s">
        <v>88</v>
      </c>
      <c r="AC54" s="120"/>
      <c r="AD54" s="89"/>
      <c r="AE54" s="89"/>
      <c r="AF54" s="99"/>
      <c r="AG54" s="99"/>
      <c r="AH54" s="99"/>
      <c r="AI54" s="100" t="s">
        <v>65</v>
      </c>
      <c r="AJ54" s="100" t="s">
        <v>66</v>
      </c>
      <c r="AK54" s="100" t="s">
        <v>65</v>
      </c>
      <c r="AL54" s="45" t="s">
        <v>67</v>
      </c>
      <c r="AM54" s="199" t="str">
        <f t="shared" si="0"/>
        <v>5/2026</v>
      </c>
      <c r="AN54" s="45">
        <f t="shared" si="1"/>
        <v>2</v>
      </c>
      <c r="AO54" s="45" t="str">
        <f t="shared" si="2"/>
        <v>5/2026</v>
      </c>
      <c r="AP54" s="45">
        <f t="shared" si="3"/>
        <v>3</v>
      </c>
      <c r="AQ54" s="45">
        <f t="shared" si="4"/>
        <v>6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46147</v>
      </c>
      <c r="C55" s="89" t="s">
        <v>48</v>
      </c>
      <c r="D55" s="89" t="s">
        <v>49</v>
      </c>
      <c r="E55" s="90">
        <v>88138109</v>
      </c>
      <c r="F55" s="221" t="s">
        <v>238</v>
      </c>
      <c r="G55" s="92">
        <v>3805731728</v>
      </c>
      <c r="H55" s="93">
        <v>27591</v>
      </c>
      <c r="I55" s="89">
        <v>50</v>
      </c>
      <c r="J55" s="89"/>
      <c r="K55" s="89" t="s">
        <v>85</v>
      </c>
      <c r="L55" s="89" t="s">
        <v>96</v>
      </c>
      <c r="M55" s="89"/>
      <c r="N55" s="89" t="s">
        <v>123</v>
      </c>
      <c r="O55" s="94" t="s">
        <v>239</v>
      </c>
      <c r="P55" s="95" t="s">
        <v>55</v>
      </c>
      <c r="Q55" s="145" t="s">
        <v>56</v>
      </c>
      <c r="R55" s="96">
        <v>46153</v>
      </c>
      <c r="S55" s="97"/>
      <c r="T55" s="97" t="s">
        <v>57</v>
      </c>
      <c r="U55" s="97" t="s">
        <v>58</v>
      </c>
      <c r="V55" s="93">
        <v>46153</v>
      </c>
      <c r="W55" s="93" t="s">
        <v>81</v>
      </c>
      <c r="X55" s="93" t="s">
        <v>81</v>
      </c>
      <c r="Y55" s="98"/>
      <c r="Z55" s="89" t="s">
        <v>59</v>
      </c>
      <c r="AA55" s="97" t="s">
        <v>240</v>
      </c>
      <c r="AB55" s="89" t="s">
        <v>88</v>
      </c>
      <c r="AC55" s="120">
        <v>46176</v>
      </c>
      <c r="AD55" s="89"/>
      <c r="AE55" s="89"/>
      <c r="AF55" s="99"/>
      <c r="AG55" s="99"/>
      <c r="AH55" s="99"/>
      <c r="AI55" s="100" t="s">
        <v>65</v>
      </c>
      <c r="AJ55" s="100" t="s">
        <v>66</v>
      </c>
      <c r="AK55" s="100" t="s">
        <v>65</v>
      </c>
      <c r="AL55" s="45" t="s">
        <v>67</v>
      </c>
      <c r="AM55" s="199" t="str">
        <f t="shared" si="0"/>
        <v>5/2026</v>
      </c>
      <c r="AN55" s="45">
        <f t="shared" si="1"/>
        <v>2</v>
      </c>
      <c r="AO55" s="45" t="str">
        <f t="shared" si="2"/>
        <v>5/2026</v>
      </c>
      <c r="AP55" s="45">
        <f t="shared" si="3"/>
        <v>3</v>
      </c>
      <c r="AQ55" s="45">
        <f t="shared" si="4"/>
        <v>6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46147</v>
      </c>
      <c r="C56" s="89" t="s">
        <v>48</v>
      </c>
      <c r="D56" s="89" t="s">
        <v>49</v>
      </c>
      <c r="E56" s="90">
        <v>89401467</v>
      </c>
      <c r="F56" s="221" t="s">
        <v>241</v>
      </c>
      <c r="G56" s="92">
        <v>31035909898</v>
      </c>
      <c r="H56" s="93">
        <v>30952</v>
      </c>
      <c r="I56" s="89">
        <v>41</v>
      </c>
      <c r="J56" s="89"/>
      <c r="K56" s="89" t="s">
        <v>51</v>
      </c>
      <c r="L56" s="89" t="s">
        <v>52</v>
      </c>
      <c r="M56" s="89"/>
      <c r="N56" s="89" t="s">
        <v>53</v>
      </c>
      <c r="O56" s="94" t="s">
        <v>242</v>
      </c>
      <c r="P56" s="95" t="s">
        <v>55</v>
      </c>
      <c r="Q56" s="145" t="s">
        <v>56</v>
      </c>
      <c r="R56" s="96">
        <v>46153</v>
      </c>
      <c r="S56" s="97"/>
      <c r="T56" s="97" t="s">
        <v>57</v>
      </c>
      <c r="U56" s="97" t="s">
        <v>58</v>
      </c>
      <c r="V56" s="93">
        <v>46153</v>
      </c>
      <c r="W56" s="93" t="s">
        <v>81</v>
      </c>
      <c r="X56" s="93" t="s">
        <v>81</v>
      </c>
      <c r="Y56" s="98"/>
      <c r="Z56" s="89" t="s">
        <v>59</v>
      </c>
      <c r="AA56" s="97">
        <v>46171</v>
      </c>
      <c r="AB56" s="89" t="s">
        <v>88</v>
      </c>
      <c r="AC56" s="120">
        <v>46181</v>
      </c>
      <c r="AD56" s="89"/>
      <c r="AE56" s="89"/>
      <c r="AF56" s="99"/>
      <c r="AG56" s="99"/>
      <c r="AH56" s="99"/>
      <c r="AI56" s="100" t="s">
        <v>65</v>
      </c>
      <c r="AJ56" s="100" t="s">
        <v>66</v>
      </c>
      <c r="AK56" s="100" t="s">
        <v>65</v>
      </c>
      <c r="AL56" s="45" t="s">
        <v>67</v>
      </c>
      <c r="AM56" s="199" t="str">
        <f t="shared" si="0"/>
        <v>5/2026</v>
      </c>
      <c r="AN56" s="45">
        <f t="shared" si="1"/>
        <v>2</v>
      </c>
      <c r="AO56" s="45" t="str">
        <f t="shared" si="2"/>
        <v>5/2026</v>
      </c>
      <c r="AP56" s="45">
        <f t="shared" si="3"/>
        <v>3</v>
      </c>
      <c r="AQ56" s="45">
        <f t="shared" si="4"/>
        <v>6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46147</v>
      </c>
      <c r="C57" s="89" t="s">
        <v>48</v>
      </c>
      <c r="D57" s="89" t="s">
        <v>49</v>
      </c>
      <c r="E57" s="90">
        <v>422394327</v>
      </c>
      <c r="F57" s="221" t="s">
        <v>243</v>
      </c>
      <c r="G57" s="92">
        <v>5088931867</v>
      </c>
      <c r="H57" s="93">
        <v>22868</v>
      </c>
      <c r="I57" s="89">
        <v>63</v>
      </c>
      <c r="J57" s="89"/>
      <c r="K57" s="89" t="s">
        <v>51</v>
      </c>
      <c r="L57" s="89" t="s">
        <v>52</v>
      </c>
      <c r="M57" s="89"/>
      <c r="N57" s="89" t="s">
        <v>112</v>
      </c>
      <c r="O57" s="94" t="s">
        <v>244</v>
      </c>
      <c r="P57" s="95" t="s">
        <v>55</v>
      </c>
      <c r="Q57" s="145" t="s">
        <v>56</v>
      </c>
      <c r="R57" s="96">
        <v>46153</v>
      </c>
      <c r="S57" s="97"/>
      <c r="T57" s="97" t="s">
        <v>57</v>
      </c>
      <c r="U57" s="97" t="s">
        <v>58</v>
      </c>
      <c r="V57" s="93">
        <v>46153</v>
      </c>
      <c r="W57" s="93" t="s">
        <v>81</v>
      </c>
      <c r="X57" s="93" t="s">
        <v>81</v>
      </c>
      <c r="Y57" s="98"/>
      <c r="Z57" s="89" t="s">
        <v>59</v>
      </c>
      <c r="AA57" s="97" t="s">
        <v>245</v>
      </c>
      <c r="AB57" s="89" t="s">
        <v>60</v>
      </c>
      <c r="AC57" s="120"/>
      <c r="AD57" s="89" t="s">
        <v>78</v>
      </c>
      <c r="AE57" s="89">
        <v>50</v>
      </c>
      <c r="AF57" s="99" t="s">
        <v>73</v>
      </c>
      <c r="AG57" s="99" t="s">
        <v>73</v>
      </c>
      <c r="AH57" s="99" t="s">
        <v>64</v>
      </c>
      <c r="AI57" s="100" t="s">
        <v>65</v>
      </c>
      <c r="AJ57" s="100" t="s">
        <v>66</v>
      </c>
      <c r="AK57" s="100" t="s">
        <v>65</v>
      </c>
      <c r="AL57" s="45" t="s">
        <v>67</v>
      </c>
      <c r="AM57" s="199" t="str">
        <f t="shared" si="0"/>
        <v>5/2026</v>
      </c>
      <c r="AN57" s="45">
        <f t="shared" si="1"/>
        <v>2</v>
      </c>
      <c r="AO57" s="45" t="str">
        <f t="shared" si="2"/>
        <v>5/2026</v>
      </c>
      <c r="AP57" s="45">
        <f t="shared" si="3"/>
        <v>3</v>
      </c>
      <c r="AQ57" s="45">
        <f t="shared" si="4"/>
        <v>6</v>
      </c>
      <c r="AR57" s="45">
        <f t="shared" si="5"/>
        <v>0</v>
      </c>
      <c r="AS57" s="45">
        <f t="shared" si="6"/>
        <v>0</v>
      </c>
      <c r="AT57" s="45">
        <f t="shared" si="7"/>
        <v>11.625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87" t="s">
        <v>47</v>
      </c>
      <c r="B58" s="88">
        <v>46147</v>
      </c>
      <c r="C58" s="89" t="s">
        <v>48</v>
      </c>
      <c r="D58" s="89" t="s">
        <v>49</v>
      </c>
      <c r="E58" s="90">
        <v>76203383</v>
      </c>
      <c r="F58" s="221" t="s">
        <v>246</v>
      </c>
      <c r="G58" s="92">
        <v>768320828</v>
      </c>
      <c r="H58" s="93">
        <v>21527</v>
      </c>
      <c r="I58" s="89">
        <v>67</v>
      </c>
      <c r="J58" s="89"/>
      <c r="K58" s="89" t="s">
        <v>51</v>
      </c>
      <c r="L58" s="89" t="s">
        <v>52</v>
      </c>
      <c r="M58" s="89"/>
      <c r="N58" s="89" t="s">
        <v>109</v>
      </c>
      <c r="O58" s="94" t="s">
        <v>247</v>
      </c>
      <c r="P58" s="95" t="s">
        <v>55</v>
      </c>
      <c r="Q58" s="145" t="s">
        <v>56</v>
      </c>
      <c r="R58" s="96">
        <v>46153</v>
      </c>
      <c r="S58" s="97"/>
      <c r="T58" s="97" t="s">
        <v>57</v>
      </c>
      <c r="U58" s="97" t="s">
        <v>58</v>
      </c>
      <c r="V58" s="93">
        <v>46153</v>
      </c>
      <c r="W58" s="93" t="s">
        <v>81</v>
      </c>
      <c r="X58" s="93" t="s">
        <v>81</v>
      </c>
      <c r="Y58" s="98"/>
      <c r="Z58" s="89" t="s">
        <v>59</v>
      </c>
      <c r="AA58" s="97" t="s">
        <v>248</v>
      </c>
      <c r="AB58" s="89" t="s">
        <v>88</v>
      </c>
      <c r="AC58" s="120"/>
      <c r="AD58" s="89"/>
      <c r="AE58" s="89"/>
      <c r="AF58" s="99"/>
      <c r="AG58" s="99"/>
      <c r="AH58" s="99"/>
      <c r="AI58" s="100" t="s">
        <v>65</v>
      </c>
      <c r="AJ58" s="100" t="s">
        <v>66</v>
      </c>
      <c r="AK58" s="100" t="s">
        <v>65</v>
      </c>
      <c r="AL58" s="45" t="s">
        <v>67</v>
      </c>
      <c r="AM58" s="199" t="str">
        <f t="shared" si="0"/>
        <v>5/2026</v>
      </c>
      <c r="AN58" s="45">
        <f t="shared" si="1"/>
        <v>2</v>
      </c>
      <c r="AO58" s="45" t="str">
        <f t="shared" si="2"/>
        <v>5/2026</v>
      </c>
      <c r="AP58" s="45">
        <f t="shared" si="3"/>
        <v>3</v>
      </c>
      <c r="AQ58" s="45">
        <f t="shared" si="4"/>
        <v>6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46147</v>
      </c>
      <c r="C59" s="89" t="s">
        <v>48</v>
      </c>
      <c r="D59" s="89" t="s">
        <v>49</v>
      </c>
      <c r="E59" s="90">
        <v>84236336</v>
      </c>
      <c r="F59" s="221" t="s">
        <v>249</v>
      </c>
      <c r="G59" s="92">
        <v>33163030734</v>
      </c>
      <c r="H59" s="93">
        <v>19787</v>
      </c>
      <c r="I59" s="89">
        <v>72</v>
      </c>
      <c r="J59" s="89"/>
      <c r="K59" s="89" t="s">
        <v>85</v>
      </c>
      <c r="L59" s="89" t="s">
        <v>96</v>
      </c>
      <c r="M59" s="89"/>
      <c r="N59" s="89" t="s">
        <v>146</v>
      </c>
      <c r="O59" s="94" t="s">
        <v>250</v>
      </c>
      <c r="P59" s="95" t="s">
        <v>55</v>
      </c>
      <c r="Q59" s="145" t="s">
        <v>56</v>
      </c>
      <c r="R59" s="96">
        <v>46153</v>
      </c>
      <c r="S59" s="97"/>
      <c r="T59" s="97" t="s">
        <v>57</v>
      </c>
      <c r="U59" s="97" t="s">
        <v>58</v>
      </c>
      <c r="V59" s="93">
        <v>46153</v>
      </c>
      <c r="W59" s="93" t="s">
        <v>81</v>
      </c>
      <c r="X59" s="93" t="s">
        <v>81</v>
      </c>
      <c r="Y59" s="98"/>
      <c r="Z59" s="89" t="s">
        <v>59</v>
      </c>
      <c r="AA59" s="97">
        <v>46161</v>
      </c>
      <c r="AB59" s="89" t="s">
        <v>60</v>
      </c>
      <c r="AC59" s="120"/>
      <c r="AD59" s="89" t="s">
        <v>61</v>
      </c>
      <c r="AE59" s="89"/>
      <c r="AF59" s="99" t="s">
        <v>104</v>
      </c>
      <c r="AG59" s="99" t="s">
        <v>104</v>
      </c>
      <c r="AH59" s="99" t="s">
        <v>83</v>
      </c>
      <c r="AI59" s="100" t="s">
        <v>65</v>
      </c>
      <c r="AJ59" s="100" t="s">
        <v>66</v>
      </c>
      <c r="AK59" s="100" t="s">
        <v>65</v>
      </c>
      <c r="AL59" s="45" t="s">
        <v>67</v>
      </c>
      <c r="AM59" s="199" t="str">
        <f t="shared" si="0"/>
        <v>5/2026</v>
      </c>
      <c r="AN59" s="45">
        <f t="shared" si="1"/>
        <v>2</v>
      </c>
      <c r="AO59" s="45" t="str">
        <f t="shared" si="2"/>
        <v>5/2026</v>
      </c>
      <c r="AP59" s="45">
        <f t="shared" si="3"/>
        <v>3</v>
      </c>
      <c r="AQ59" s="45">
        <f t="shared" si="4"/>
        <v>6</v>
      </c>
      <c r="AR59" s="45">
        <f t="shared" si="5"/>
        <v>0</v>
      </c>
      <c r="AS59" s="45">
        <f t="shared" si="6"/>
        <v>0</v>
      </c>
      <c r="AT59" s="45">
        <f t="shared" si="7"/>
        <v>8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46147</v>
      </c>
      <c r="C60" s="89" t="s">
        <v>48</v>
      </c>
      <c r="D60" s="89" t="s">
        <v>49</v>
      </c>
      <c r="E60" s="90">
        <v>79542026</v>
      </c>
      <c r="F60" s="221" t="s">
        <v>251</v>
      </c>
      <c r="G60" s="92">
        <v>4111936784</v>
      </c>
      <c r="H60" s="93">
        <v>27089</v>
      </c>
      <c r="I60" s="89">
        <v>52</v>
      </c>
      <c r="J60" s="89"/>
      <c r="K60" s="89" t="s">
        <v>85</v>
      </c>
      <c r="L60" s="89" t="s">
        <v>252</v>
      </c>
      <c r="M60" s="89"/>
      <c r="N60" s="89" t="s">
        <v>53</v>
      </c>
      <c r="O60" s="94" t="s">
        <v>253</v>
      </c>
      <c r="P60" s="95" t="s">
        <v>55</v>
      </c>
      <c r="Q60" s="145" t="s">
        <v>118</v>
      </c>
      <c r="R60" s="96">
        <v>46153</v>
      </c>
      <c r="S60" s="97">
        <v>46160</v>
      </c>
      <c r="T60" s="97" t="s">
        <v>57</v>
      </c>
      <c r="U60" s="97" t="s">
        <v>119</v>
      </c>
      <c r="V60" s="93">
        <v>46153</v>
      </c>
      <c r="W60" s="93" t="s">
        <v>81</v>
      </c>
      <c r="X60" s="93" t="s">
        <v>81</v>
      </c>
      <c r="Y60" s="98"/>
      <c r="Z60" s="89" t="s">
        <v>59</v>
      </c>
      <c r="AA60" s="97" t="s">
        <v>254</v>
      </c>
      <c r="AB60" s="89" t="s">
        <v>60</v>
      </c>
      <c r="AC60" s="120"/>
      <c r="AD60" s="89"/>
      <c r="AE60" s="89"/>
      <c r="AF60" s="99"/>
      <c r="AG60" s="99"/>
      <c r="AH60" s="99"/>
      <c r="AI60" s="100" t="s">
        <v>65</v>
      </c>
      <c r="AJ60" s="100" t="s">
        <v>121</v>
      </c>
      <c r="AK60" s="100" t="s">
        <v>65</v>
      </c>
      <c r="AL60" s="45" t="s">
        <v>67</v>
      </c>
      <c r="AM60" s="199" t="str">
        <f t="shared" si="0"/>
        <v>5/2026</v>
      </c>
      <c r="AN60" s="45">
        <f t="shared" si="1"/>
        <v>2</v>
      </c>
      <c r="AO60" s="45" t="str">
        <f t="shared" si="2"/>
        <v>5/2026</v>
      </c>
      <c r="AP60" s="45">
        <f t="shared" si="3"/>
        <v>3</v>
      </c>
      <c r="AQ60" s="45">
        <f t="shared" si="4"/>
        <v>0</v>
      </c>
      <c r="AR60" s="45">
        <f t="shared" si="5"/>
        <v>7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46147</v>
      </c>
      <c r="C61" s="89" t="s">
        <v>48</v>
      </c>
      <c r="D61" s="89" t="s">
        <v>49</v>
      </c>
      <c r="E61" s="90">
        <v>450078752</v>
      </c>
      <c r="F61" s="221" t="s">
        <v>255</v>
      </c>
      <c r="G61" s="92">
        <v>25057098829</v>
      </c>
      <c r="H61" s="93">
        <v>27742</v>
      </c>
      <c r="I61" s="89">
        <v>50</v>
      </c>
      <c r="J61" s="89"/>
      <c r="K61" s="89" t="s">
        <v>51</v>
      </c>
      <c r="L61" s="89" t="s">
        <v>52</v>
      </c>
      <c r="M61" s="89"/>
      <c r="N61" s="89" t="s">
        <v>221</v>
      </c>
      <c r="O61" s="94" t="s">
        <v>256</v>
      </c>
      <c r="P61" s="95" t="s">
        <v>55</v>
      </c>
      <c r="Q61" s="145" t="s">
        <v>56</v>
      </c>
      <c r="R61" s="96">
        <v>46153</v>
      </c>
      <c r="S61" s="97"/>
      <c r="T61" s="97" t="s">
        <v>57</v>
      </c>
      <c r="U61" s="97" t="s">
        <v>58</v>
      </c>
      <c r="V61" s="93">
        <v>46153</v>
      </c>
      <c r="W61" s="93" t="s">
        <v>81</v>
      </c>
      <c r="X61" s="93" t="s">
        <v>81</v>
      </c>
      <c r="Y61" s="98"/>
      <c r="Z61" s="89" t="s">
        <v>59</v>
      </c>
      <c r="AA61" s="97" t="s">
        <v>245</v>
      </c>
      <c r="AB61" s="89" t="s">
        <v>88</v>
      </c>
      <c r="AC61" s="120"/>
      <c r="AD61" s="89"/>
      <c r="AE61" s="89"/>
      <c r="AF61" s="99"/>
      <c r="AG61" s="99"/>
      <c r="AH61" s="99"/>
      <c r="AI61" s="100" t="s">
        <v>65</v>
      </c>
      <c r="AJ61" s="100" t="s">
        <v>66</v>
      </c>
      <c r="AK61" s="100" t="s">
        <v>65</v>
      </c>
      <c r="AL61" s="45" t="s">
        <v>67</v>
      </c>
      <c r="AM61" s="199" t="str">
        <f t="shared" si="0"/>
        <v>5/2026</v>
      </c>
      <c r="AN61" s="45">
        <f t="shared" si="1"/>
        <v>2</v>
      </c>
      <c r="AO61" s="45" t="str">
        <f t="shared" si="2"/>
        <v>5/2026</v>
      </c>
      <c r="AP61" s="45">
        <f t="shared" si="3"/>
        <v>3</v>
      </c>
      <c r="AQ61" s="45">
        <f t="shared" si="4"/>
        <v>6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46147</v>
      </c>
      <c r="C62" s="89" t="s">
        <v>48</v>
      </c>
      <c r="D62" s="89" t="s">
        <v>49</v>
      </c>
      <c r="E62" s="90">
        <v>451886909</v>
      </c>
      <c r="F62" s="221" t="s">
        <v>257</v>
      </c>
      <c r="G62" s="92">
        <v>1467243809</v>
      </c>
      <c r="H62" s="93">
        <v>21639</v>
      </c>
      <c r="I62" s="89">
        <v>67</v>
      </c>
      <c r="J62" s="89"/>
      <c r="K62" s="89" t="s">
        <v>51</v>
      </c>
      <c r="L62" s="89" t="s">
        <v>52</v>
      </c>
      <c r="M62" s="89"/>
      <c r="N62" s="89" t="s">
        <v>133</v>
      </c>
      <c r="O62" s="94" t="s">
        <v>258</v>
      </c>
      <c r="P62" s="95" t="s">
        <v>55</v>
      </c>
      <c r="Q62" s="145" t="s">
        <v>56</v>
      </c>
      <c r="R62" s="96">
        <v>46153</v>
      </c>
      <c r="S62" s="97"/>
      <c r="T62" s="97" t="s">
        <v>57</v>
      </c>
      <c r="U62" s="97" t="s">
        <v>58</v>
      </c>
      <c r="V62" s="93">
        <v>46153</v>
      </c>
      <c r="W62" s="93" t="s">
        <v>81</v>
      </c>
      <c r="X62" s="93" t="s">
        <v>81</v>
      </c>
      <c r="Y62" s="98"/>
      <c r="Z62" s="89" t="s">
        <v>59</v>
      </c>
      <c r="AA62" s="97" t="s">
        <v>259</v>
      </c>
      <c r="AB62" s="89" t="s">
        <v>88</v>
      </c>
      <c r="AC62" s="120">
        <v>46175</v>
      </c>
      <c r="AD62" s="89"/>
      <c r="AE62" s="89"/>
      <c r="AF62" s="99"/>
      <c r="AG62" s="99"/>
      <c r="AH62" s="99"/>
      <c r="AI62" s="100" t="s">
        <v>65</v>
      </c>
      <c r="AJ62" s="100" t="s">
        <v>66</v>
      </c>
      <c r="AK62" s="100" t="s">
        <v>65</v>
      </c>
      <c r="AL62" s="45" t="s">
        <v>67</v>
      </c>
      <c r="AM62" s="199" t="str">
        <f t="shared" si="0"/>
        <v>5/2026</v>
      </c>
      <c r="AN62" s="45">
        <f t="shared" si="1"/>
        <v>2</v>
      </c>
      <c r="AO62" s="45" t="str">
        <f t="shared" si="2"/>
        <v>5/2026</v>
      </c>
      <c r="AP62" s="45">
        <f t="shared" si="3"/>
        <v>3</v>
      </c>
      <c r="AQ62" s="45">
        <f t="shared" si="4"/>
        <v>6</v>
      </c>
      <c r="AR62" s="45">
        <f t="shared" si="5"/>
        <v>0</v>
      </c>
      <c r="AS62" s="45">
        <f t="shared" si="6"/>
        <v>0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46147</v>
      </c>
      <c r="C63" s="89" t="s">
        <v>48</v>
      </c>
      <c r="D63" s="89" t="s">
        <v>49</v>
      </c>
      <c r="E63" s="90">
        <v>74326147</v>
      </c>
      <c r="F63" s="221" t="s">
        <v>260</v>
      </c>
      <c r="G63" s="92">
        <v>84461837815</v>
      </c>
      <c r="H63" s="93">
        <v>20854</v>
      </c>
      <c r="I63" s="89">
        <v>69</v>
      </c>
      <c r="J63" s="89"/>
      <c r="K63" s="89" t="s">
        <v>51</v>
      </c>
      <c r="L63" s="89" t="s">
        <v>52</v>
      </c>
      <c r="M63" s="89"/>
      <c r="N63" s="89" t="s">
        <v>109</v>
      </c>
      <c r="O63" s="94" t="s">
        <v>261</v>
      </c>
      <c r="P63" s="95" t="s">
        <v>55</v>
      </c>
      <c r="Q63" s="145" t="s">
        <v>56</v>
      </c>
      <c r="R63" s="96">
        <v>46153</v>
      </c>
      <c r="S63" s="97"/>
      <c r="T63" s="97" t="s">
        <v>57</v>
      </c>
      <c r="U63" s="97" t="s">
        <v>58</v>
      </c>
      <c r="V63" s="93">
        <v>46153</v>
      </c>
      <c r="W63" s="93" t="s">
        <v>81</v>
      </c>
      <c r="X63" s="93" t="s">
        <v>81</v>
      </c>
      <c r="Y63" s="98"/>
      <c r="Z63" s="89" t="s">
        <v>59</v>
      </c>
      <c r="AA63" s="97" t="s">
        <v>262</v>
      </c>
      <c r="AB63" s="89" t="s">
        <v>60</v>
      </c>
      <c r="AC63" s="120"/>
      <c r="AD63" s="89"/>
      <c r="AE63" s="89"/>
      <c r="AF63" s="99"/>
      <c r="AG63" s="99"/>
      <c r="AH63" s="99"/>
      <c r="AI63" s="100" t="s">
        <v>65</v>
      </c>
      <c r="AJ63" s="100" t="s">
        <v>66</v>
      </c>
      <c r="AK63" s="100" t="s">
        <v>65</v>
      </c>
      <c r="AL63" s="45" t="s">
        <v>67</v>
      </c>
      <c r="AM63" s="199" t="str">
        <f t="shared" si="0"/>
        <v>5/2026</v>
      </c>
      <c r="AN63" s="45">
        <f t="shared" si="1"/>
        <v>2</v>
      </c>
      <c r="AO63" s="45" t="str">
        <f t="shared" si="2"/>
        <v>5/2026</v>
      </c>
      <c r="AP63" s="45">
        <f t="shared" si="3"/>
        <v>3</v>
      </c>
      <c r="AQ63" s="45">
        <f t="shared" si="4"/>
        <v>6</v>
      </c>
      <c r="AR63" s="45">
        <f t="shared" si="5"/>
        <v>0</v>
      </c>
      <c r="AS63" s="45">
        <f t="shared" si="6"/>
        <v>0</v>
      </c>
      <c r="AT63" s="45">
        <f t="shared" si="7"/>
        <v>8.6111111111094942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46147</v>
      </c>
      <c r="C64" s="89" t="s">
        <v>48</v>
      </c>
      <c r="D64" s="89" t="s">
        <v>49</v>
      </c>
      <c r="E64" s="90">
        <v>79732010</v>
      </c>
      <c r="F64" s="221" t="s">
        <v>263</v>
      </c>
      <c r="G64" s="92">
        <v>11473091837</v>
      </c>
      <c r="H64" s="93">
        <v>18059</v>
      </c>
      <c r="I64" s="89">
        <v>76</v>
      </c>
      <c r="J64" s="89"/>
      <c r="K64" s="89" t="s">
        <v>51</v>
      </c>
      <c r="L64" s="89" t="s">
        <v>52</v>
      </c>
      <c r="M64" s="89"/>
      <c r="N64" s="89" t="s">
        <v>116</v>
      </c>
      <c r="O64" s="94" t="s">
        <v>264</v>
      </c>
      <c r="P64" s="95" t="s">
        <v>55</v>
      </c>
      <c r="Q64" s="145" t="s">
        <v>56</v>
      </c>
      <c r="R64" s="96">
        <v>46153</v>
      </c>
      <c r="S64" s="97"/>
      <c r="T64" s="97" t="s">
        <v>57</v>
      </c>
      <c r="U64" s="97" t="s">
        <v>58</v>
      </c>
      <c r="V64" s="93">
        <v>46153</v>
      </c>
      <c r="W64" s="93" t="s">
        <v>81</v>
      </c>
      <c r="X64" s="93" t="s">
        <v>81</v>
      </c>
      <c r="Y64" s="98"/>
      <c r="Z64" s="89" t="s">
        <v>59</v>
      </c>
      <c r="AA64" s="97" t="s">
        <v>254</v>
      </c>
      <c r="AB64" s="89" t="s">
        <v>88</v>
      </c>
      <c r="AC64" s="120"/>
      <c r="AD64" s="89"/>
      <c r="AE64" s="89"/>
      <c r="AF64" s="99"/>
      <c r="AG64" s="99"/>
      <c r="AH64" s="99"/>
      <c r="AI64" s="100" t="s">
        <v>65</v>
      </c>
      <c r="AJ64" s="100" t="s">
        <v>66</v>
      </c>
      <c r="AK64" s="100" t="s">
        <v>65</v>
      </c>
      <c r="AL64" s="45" t="s">
        <v>67</v>
      </c>
      <c r="AM64" s="199" t="str">
        <f t="shared" si="0"/>
        <v>5/2026</v>
      </c>
      <c r="AN64" s="45">
        <f t="shared" si="1"/>
        <v>2</v>
      </c>
      <c r="AO64" s="45" t="str">
        <f t="shared" si="2"/>
        <v>5/2026</v>
      </c>
      <c r="AP64" s="45">
        <f t="shared" si="3"/>
        <v>3</v>
      </c>
      <c r="AQ64" s="45">
        <f t="shared" si="4"/>
        <v>6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46147</v>
      </c>
      <c r="C65" s="89" t="s">
        <v>48</v>
      </c>
      <c r="D65" s="89" t="s">
        <v>49</v>
      </c>
      <c r="E65" s="90">
        <v>95121129</v>
      </c>
      <c r="F65" s="221" t="s">
        <v>265</v>
      </c>
      <c r="G65" s="92">
        <v>3781443833</v>
      </c>
      <c r="H65" s="93">
        <v>21020</v>
      </c>
      <c r="I65" s="89">
        <v>68</v>
      </c>
      <c r="J65" s="89"/>
      <c r="K65" s="89" t="s">
        <v>51</v>
      </c>
      <c r="L65" s="89" t="s">
        <v>52</v>
      </c>
      <c r="M65" s="89"/>
      <c r="N65" s="89" t="s">
        <v>128</v>
      </c>
      <c r="O65" s="94" t="s">
        <v>266</v>
      </c>
      <c r="P65" s="95" t="s">
        <v>55</v>
      </c>
      <c r="Q65" s="145" t="s">
        <v>56</v>
      </c>
      <c r="R65" s="96">
        <v>46153</v>
      </c>
      <c r="S65" s="97"/>
      <c r="T65" s="97" t="s">
        <v>57</v>
      </c>
      <c r="U65" s="97" t="s">
        <v>58</v>
      </c>
      <c r="V65" s="93">
        <v>46153</v>
      </c>
      <c r="W65" s="93" t="s">
        <v>81</v>
      </c>
      <c r="X65" s="93" t="s">
        <v>81</v>
      </c>
      <c r="Y65" s="98"/>
      <c r="Z65" s="89" t="s">
        <v>59</v>
      </c>
      <c r="AA65" s="97">
        <v>46171</v>
      </c>
      <c r="AB65" s="89" t="s">
        <v>60</v>
      </c>
      <c r="AC65" s="120"/>
      <c r="AD65" s="89" t="s">
        <v>78</v>
      </c>
      <c r="AE65" s="89"/>
      <c r="AF65" s="99" t="s">
        <v>228</v>
      </c>
      <c r="AG65" s="99" t="s">
        <v>228</v>
      </c>
      <c r="AH65" s="99" t="s">
        <v>64</v>
      </c>
      <c r="AI65" s="100" t="s">
        <v>65</v>
      </c>
      <c r="AJ65" s="100" t="s">
        <v>66</v>
      </c>
      <c r="AK65" s="100" t="s">
        <v>65</v>
      </c>
      <c r="AL65" s="45" t="s">
        <v>67</v>
      </c>
      <c r="AM65" s="199" t="str">
        <f t="shared" si="0"/>
        <v>5/2026</v>
      </c>
      <c r="AN65" s="45">
        <f t="shared" si="1"/>
        <v>2</v>
      </c>
      <c r="AO65" s="45" t="str">
        <f t="shared" si="2"/>
        <v>5/2026</v>
      </c>
      <c r="AP65" s="45">
        <f t="shared" si="3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18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46147</v>
      </c>
      <c r="C66" s="89" t="s">
        <v>48</v>
      </c>
      <c r="D66" s="89" t="s">
        <v>49</v>
      </c>
      <c r="E66" s="90">
        <v>800133021</v>
      </c>
      <c r="F66" s="221" t="s">
        <v>267</v>
      </c>
      <c r="G66" s="92">
        <v>65690745804</v>
      </c>
      <c r="H66" s="93">
        <v>15443</v>
      </c>
      <c r="I66" s="89">
        <v>84</v>
      </c>
      <c r="J66" s="89"/>
      <c r="K66" s="89" t="s">
        <v>51</v>
      </c>
      <c r="L66" s="89" t="s">
        <v>52</v>
      </c>
      <c r="M66" s="89"/>
      <c r="N66" s="89" t="s">
        <v>268</v>
      </c>
      <c r="O66" s="94" t="s">
        <v>269</v>
      </c>
      <c r="P66" s="95" t="s">
        <v>55</v>
      </c>
      <c r="Q66" s="145" t="s">
        <v>56</v>
      </c>
      <c r="R66" s="96">
        <v>46153</v>
      </c>
      <c r="S66" s="97"/>
      <c r="T66" s="97" t="s">
        <v>57</v>
      </c>
      <c r="U66" s="97" t="s">
        <v>58</v>
      </c>
      <c r="V66" s="93">
        <v>46153</v>
      </c>
      <c r="W66" s="93" t="s">
        <v>81</v>
      </c>
      <c r="X66" s="93" t="s">
        <v>81</v>
      </c>
      <c r="Y66" s="98"/>
      <c r="Z66" s="89" t="s">
        <v>59</v>
      </c>
      <c r="AA66" s="97" t="s">
        <v>259</v>
      </c>
      <c r="AB66" s="89" t="s">
        <v>88</v>
      </c>
      <c r="AC66" s="120"/>
      <c r="AD66" s="89"/>
      <c r="AE66" s="89"/>
      <c r="AF66" s="99"/>
      <c r="AG66" s="99"/>
      <c r="AH66" s="99"/>
      <c r="AI66" s="100" t="s">
        <v>65</v>
      </c>
      <c r="AJ66" s="100" t="s">
        <v>66</v>
      </c>
      <c r="AK66" s="100" t="s">
        <v>65</v>
      </c>
      <c r="AL66" s="45" t="s">
        <v>67</v>
      </c>
      <c r="AM66" s="199" t="str">
        <f t="shared" ref="AM66:AM129" si="8">MONTH(B66)&amp;"/"&amp;YEAR(B66)</f>
        <v>5/2026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5/2026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6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46147</v>
      </c>
      <c r="C67" s="89" t="s">
        <v>48</v>
      </c>
      <c r="D67" s="89" t="s">
        <v>49</v>
      </c>
      <c r="E67" s="90">
        <v>451630238</v>
      </c>
      <c r="F67" s="221" t="s">
        <v>270</v>
      </c>
      <c r="G67" s="92">
        <v>22505504172</v>
      </c>
      <c r="H67" s="93">
        <v>22120</v>
      </c>
      <c r="I67" s="89">
        <v>65</v>
      </c>
      <c r="J67" s="89"/>
      <c r="K67" s="89" t="s">
        <v>51</v>
      </c>
      <c r="L67" s="89" t="s">
        <v>52</v>
      </c>
      <c r="M67" s="89"/>
      <c r="N67" s="89" t="s">
        <v>112</v>
      </c>
      <c r="O67" s="94" t="s">
        <v>271</v>
      </c>
      <c r="P67" s="95" t="s">
        <v>55</v>
      </c>
      <c r="Q67" s="145" t="s">
        <v>56</v>
      </c>
      <c r="R67" s="96">
        <v>46153</v>
      </c>
      <c r="S67" s="97"/>
      <c r="T67" s="97" t="s">
        <v>57</v>
      </c>
      <c r="U67" s="97" t="s">
        <v>58</v>
      </c>
      <c r="V67" s="93">
        <v>46153</v>
      </c>
      <c r="W67" s="93" t="s">
        <v>81</v>
      </c>
      <c r="X67" s="93" t="s">
        <v>81</v>
      </c>
      <c r="Y67" s="98"/>
      <c r="Z67" s="89" t="s">
        <v>59</v>
      </c>
      <c r="AA67" s="97" t="s">
        <v>272</v>
      </c>
      <c r="AB67" s="89" t="s">
        <v>88</v>
      </c>
      <c r="AC67" s="120"/>
      <c r="AD67" s="89"/>
      <c r="AE67" s="89"/>
      <c r="AF67" s="99"/>
      <c r="AG67" s="99"/>
      <c r="AH67" s="99"/>
      <c r="AI67" s="100" t="s">
        <v>65</v>
      </c>
      <c r="AJ67" s="100" t="s">
        <v>66</v>
      </c>
      <c r="AK67" s="100" t="s">
        <v>65</v>
      </c>
      <c r="AL67" s="45" t="s">
        <v>67</v>
      </c>
      <c r="AM67" s="199" t="str">
        <f t="shared" si="8"/>
        <v>5/2026</v>
      </c>
      <c r="AN67" s="45">
        <f t="shared" si="9"/>
        <v>2</v>
      </c>
      <c r="AO67" s="45" t="str">
        <f t="shared" si="10"/>
        <v>5/2026</v>
      </c>
      <c r="AP67" s="45">
        <f t="shared" si="11"/>
        <v>3</v>
      </c>
      <c r="AQ67" s="45">
        <f t="shared" si="12"/>
        <v>6</v>
      </c>
      <c r="AR67" s="45">
        <f t="shared" si="13"/>
        <v>0</v>
      </c>
      <c r="AS67" s="45">
        <f t="shared" si="14"/>
        <v>0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46147</v>
      </c>
      <c r="C68" s="89" t="s">
        <v>48</v>
      </c>
      <c r="D68" s="89" t="s">
        <v>49</v>
      </c>
      <c r="E68" s="90">
        <v>95645472</v>
      </c>
      <c r="F68" s="221" t="s">
        <v>273</v>
      </c>
      <c r="G68" s="92">
        <v>31326535862</v>
      </c>
      <c r="H68" s="93">
        <v>27834</v>
      </c>
      <c r="I68" s="89">
        <v>50</v>
      </c>
      <c r="J68" s="89"/>
      <c r="K68" s="89" t="s">
        <v>51</v>
      </c>
      <c r="L68" s="89" t="s">
        <v>165</v>
      </c>
      <c r="M68" s="89"/>
      <c r="N68" s="89" t="s">
        <v>128</v>
      </c>
      <c r="O68" s="94" t="s">
        <v>274</v>
      </c>
      <c r="P68" s="95" t="s">
        <v>55</v>
      </c>
      <c r="Q68" s="145" t="s">
        <v>56</v>
      </c>
      <c r="R68" s="96">
        <v>46153</v>
      </c>
      <c r="S68" s="97"/>
      <c r="T68" s="97" t="s">
        <v>57</v>
      </c>
      <c r="U68" s="97" t="s">
        <v>58</v>
      </c>
      <c r="V68" s="93">
        <v>46153</v>
      </c>
      <c r="W68" s="93" t="s">
        <v>81</v>
      </c>
      <c r="X68" s="93" t="s">
        <v>81</v>
      </c>
      <c r="Y68" s="98"/>
      <c r="Z68" s="89" t="s">
        <v>59</v>
      </c>
      <c r="AA68" s="97">
        <v>46171</v>
      </c>
      <c r="AB68" s="89" t="s">
        <v>88</v>
      </c>
      <c r="AC68" s="120">
        <v>46182</v>
      </c>
      <c r="AD68" s="89"/>
      <c r="AE68" s="89"/>
      <c r="AF68" s="99"/>
      <c r="AG68" s="99"/>
      <c r="AH68" s="99"/>
      <c r="AI68" s="100" t="s">
        <v>65</v>
      </c>
      <c r="AJ68" s="100" t="s">
        <v>66</v>
      </c>
      <c r="AK68" s="100" t="s">
        <v>65</v>
      </c>
      <c r="AL68" s="45" t="s">
        <v>67</v>
      </c>
      <c r="AM68" s="199" t="str">
        <f t="shared" si="8"/>
        <v>5/2026</v>
      </c>
      <c r="AN68" s="45">
        <f t="shared" si="9"/>
        <v>2</v>
      </c>
      <c r="AO68" s="45" t="str">
        <f t="shared" si="10"/>
        <v>5/2026</v>
      </c>
      <c r="AP68" s="45">
        <f t="shared" si="11"/>
        <v>3</v>
      </c>
      <c r="AQ68" s="45">
        <f t="shared" si="12"/>
        <v>6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46147</v>
      </c>
      <c r="C69" s="89" t="s">
        <v>48</v>
      </c>
      <c r="D69" s="89" t="s">
        <v>49</v>
      </c>
      <c r="E69" s="90">
        <v>78089353</v>
      </c>
      <c r="F69" s="221" t="s">
        <v>275</v>
      </c>
      <c r="G69" s="92">
        <v>4874945805</v>
      </c>
      <c r="H69" s="93">
        <v>22253</v>
      </c>
      <c r="I69" s="89">
        <v>65</v>
      </c>
      <c r="J69" s="89"/>
      <c r="K69" s="89" t="s">
        <v>51</v>
      </c>
      <c r="L69" s="89" t="s">
        <v>52</v>
      </c>
      <c r="M69" s="89"/>
      <c r="N69" s="89" t="s">
        <v>53</v>
      </c>
      <c r="O69" s="94" t="s">
        <v>276</v>
      </c>
      <c r="P69" s="95" t="s">
        <v>55</v>
      </c>
      <c r="Q69" s="145" t="s">
        <v>56</v>
      </c>
      <c r="R69" s="96">
        <v>46153</v>
      </c>
      <c r="S69" s="97"/>
      <c r="T69" s="97" t="s">
        <v>57</v>
      </c>
      <c r="U69" s="97" t="s">
        <v>58</v>
      </c>
      <c r="V69" s="93">
        <v>46153</v>
      </c>
      <c r="W69" s="93" t="s">
        <v>81</v>
      </c>
      <c r="X69" s="93" t="s">
        <v>81</v>
      </c>
      <c r="Y69" s="98"/>
      <c r="Z69" s="89" t="s">
        <v>59</v>
      </c>
      <c r="AA69" s="97" t="s">
        <v>277</v>
      </c>
      <c r="AB69" s="89" t="s">
        <v>60</v>
      </c>
      <c r="AC69" s="120"/>
      <c r="AD69" s="89"/>
      <c r="AE69" s="89"/>
      <c r="AF69" s="99"/>
      <c r="AG69" s="99"/>
      <c r="AH69" s="99"/>
      <c r="AI69" s="100" t="s">
        <v>65</v>
      </c>
      <c r="AJ69" s="100" t="s">
        <v>66</v>
      </c>
      <c r="AK69" s="100" t="s">
        <v>65</v>
      </c>
      <c r="AL69" s="45" t="s">
        <v>67</v>
      </c>
      <c r="AM69" s="199" t="str">
        <f t="shared" si="8"/>
        <v>5/2026</v>
      </c>
      <c r="AN69" s="45">
        <f t="shared" si="9"/>
        <v>2</v>
      </c>
      <c r="AO69" s="45" t="str">
        <f t="shared" si="10"/>
        <v>5/2026</v>
      </c>
      <c r="AP69" s="45">
        <f t="shared" si="11"/>
        <v>3</v>
      </c>
      <c r="AQ69" s="45">
        <f t="shared" si="12"/>
        <v>6</v>
      </c>
      <c r="AR69" s="45">
        <f t="shared" si="13"/>
        <v>0</v>
      </c>
      <c r="AS69" s="45">
        <f t="shared" si="14"/>
        <v>0</v>
      </c>
      <c r="AT69" s="45">
        <f t="shared" si="15"/>
        <v>8.4722222222189885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46147</v>
      </c>
      <c r="C70" s="89" t="s">
        <v>48</v>
      </c>
      <c r="D70" s="89" t="s">
        <v>49</v>
      </c>
      <c r="E70" s="90">
        <v>450983927</v>
      </c>
      <c r="F70" s="221" t="s">
        <v>278</v>
      </c>
      <c r="G70" s="92">
        <v>87776340804</v>
      </c>
      <c r="H70" s="93">
        <v>17973</v>
      </c>
      <c r="I70" s="89">
        <v>77</v>
      </c>
      <c r="J70" s="89"/>
      <c r="K70" s="89" t="s">
        <v>51</v>
      </c>
      <c r="L70" s="89" t="s">
        <v>52</v>
      </c>
      <c r="M70" s="89"/>
      <c r="N70" s="89" t="s">
        <v>90</v>
      </c>
      <c r="O70" s="94" t="s">
        <v>279</v>
      </c>
      <c r="P70" s="95" t="s">
        <v>55</v>
      </c>
      <c r="Q70" s="145" t="s">
        <v>56</v>
      </c>
      <c r="R70" s="96">
        <v>46153</v>
      </c>
      <c r="S70" s="97"/>
      <c r="T70" s="97" t="s">
        <v>57</v>
      </c>
      <c r="U70" s="97" t="s">
        <v>58</v>
      </c>
      <c r="V70" s="93">
        <v>46153</v>
      </c>
      <c r="W70" s="93" t="s">
        <v>81</v>
      </c>
      <c r="X70" s="93" t="s">
        <v>81</v>
      </c>
      <c r="Y70" s="98"/>
      <c r="Z70" s="89" t="s">
        <v>59</v>
      </c>
      <c r="AA70" s="97">
        <v>46171</v>
      </c>
      <c r="AB70" s="89" t="s">
        <v>88</v>
      </c>
      <c r="AC70" s="120">
        <v>46181</v>
      </c>
      <c r="AD70" s="89"/>
      <c r="AE70" s="89"/>
      <c r="AF70" s="99"/>
      <c r="AG70" s="99"/>
      <c r="AH70" s="99"/>
      <c r="AI70" s="100" t="s">
        <v>65</v>
      </c>
      <c r="AJ70" s="100" t="s">
        <v>66</v>
      </c>
      <c r="AK70" s="100" t="s">
        <v>65</v>
      </c>
      <c r="AL70" s="45" t="s">
        <v>67</v>
      </c>
      <c r="AM70" s="199" t="str">
        <f t="shared" si="8"/>
        <v>5/2026</v>
      </c>
      <c r="AN70" s="45">
        <f t="shared" si="9"/>
        <v>2</v>
      </c>
      <c r="AO70" s="45" t="str">
        <f t="shared" si="10"/>
        <v>5/2026</v>
      </c>
      <c r="AP70" s="45">
        <f t="shared" si="11"/>
        <v>3</v>
      </c>
      <c r="AQ70" s="45">
        <f t="shared" si="12"/>
        <v>6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46147</v>
      </c>
      <c r="C71" s="89" t="s">
        <v>48</v>
      </c>
      <c r="D71" s="89" t="s">
        <v>49</v>
      </c>
      <c r="E71" s="90">
        <v>443679495</v>
      </c>
      <c r="F71" s="221" t="s">
        <v>280</v>
      </c>
      <c r="G71" s="92">
        <v>14518947835</v>
      </c>
      <c r="H71" s="93">
        <v>18166</v>
      </c>
      <c r="I71" s="89">
        <v>76</v>
      </c>
      <c r="J71" s="89"/>
      <c r="K71" s="89" t="s">
        <v>51</v>
      </c>
      <c r="L71" s="89" t="s">
        <v>281</v>
      </c>
      <c r="M71" s="89"/>
      <c r="N71" s="89" t="s">
        <v>112</v>
      </c>
      <c r="O71" s="94" t="s">
        <v>282</v>
      </c>
      <c r="P71" s="95" t="s">
        <v>55</v>
      </c>
      <c r="Q71" s="145" t="s">
        <v>56</v>
      </c>
      <c r="R71" s="96">
        <v>46153</v>
      </c>
      <c r="S71" s="97"/>
      <c r="T71" s="97" t="s">
        <v>57</v>
      </c>
      <c r="U71" s="97" t="s">
        <v>58</v>
      </c>
      <c r="V71" s="93">
        <v>46153</v>
      </c>
      <c r="W71" s="93" t="s">
        <v>81</v>
      </c>
      <c r="X71" s="93" t="s">
        <v>81</v>
      </c>
      <c r="Y71" s="98"/>
      <c r="Z71" s="89" t="s">
        <v>59</v>
      </c>
      <c r="AA71" s="97">
        <v>46170</v>
      </c>
      <c r="AB71" s="89" t="s">
        <v>88</v>
      </c>
      <c r="AC71" s="120">
        <v>46181</v>
      </c>
      <c r="AD71" s="89"/>
      <c r="AE71" s="89"/>
      <c r="AF71" s="99"/>
      <c r="AG71" s="99"/>
      <c r="AH71" s="99"/>
      <c r="AI71" s="100" t="s">
        <v>65</v>
      </c>
      <c r="AJ71" s="100" t="s">
        <v>66</v>
      </c>
      <c r="AK71" s="100" t="s">
        <v>65</v>
      </c>
      <c r="AL71" s="45" t="s">
        <v>67</v>
      </c>
      <c r="AM71" s="199" t="str">
        <f t="shared" si="8"/>
        <v>5/2026</v>
      </c>
      <c r="AN71" s="45">
        <f t="shared" si="9"/>
        <v>2</v>
      </c>
      <c r="AO71" s="45" t="str">
        <f t="shared" si="10"/>
        <v>5/2026</v>
      </c>
      <c r="AP71" s="45">
        <f t="shared" si="11"/>
        <v>3</v>
      </c>
      <c r="AQ71" s="45">
        <f t="shared" si="12"/>
        <v>6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46147</v>
      </c>
      <c r="C72" s="89" t="s">
        <v>48</v>
      </c>
      <c r="D72" s="89" t="s">
        <v>49</v>
      </c>
      <c r="E72" s="90">
        <v>77219792</v>
      </c>
      <c r="F72" s="221" t="s">
        <v>283</v>
      </c>
      <c r="G72" s="92">
        <v>1687066361</v>
      </c>
      <c r="H72" s="93">
        <v>29818</v>
      </c>
      <c r="I72" s="89">
        <v>44</v>
      </c>
      <c r="J72" s="89"/>
      <c r="K72" s="89" t="s">
        <v>51</v>
      </c>
      <c r="L72" s="89" t="s">
        <v>52</v>
      </c>
      <c r="M72" s="89"/>
      <c r="N72" s="89" t="s">
        <v>109</v>
      </c>
      <c r="O72" s="94" t="s">
        <v>284</v>
      </c>
      <c r="P72" s="95" t="s">
        <v>55</v>
      </c>
      <c r="Q72" s="145" t="s">
        <v>56</v>
      </c>
      <c r="R72" s="96">
        <v>46153</v>
      </c>
      <c r="S72" s="97"/>
      <c r="T72" s="97" t="s">
        <v>57</v>
      </c>
      <c r="U72" s="97" t="s">
        <v>58</v>
      </c>
      <c r="V72" s="93">
        <v>46153</v>
      </c>
      <c r="W72" s="93" t="s">
        <v>81</v>
      </c>
      <c r="X72" s="93" t="s">
        <v>81</v>
      </c>
      <c r="Y72" s="98"/>
      <c r="Z72" s="89" t="s">
        <v>59</v>
      </c>
      <c r="AA72" s="97" t="s">
        <v>285</v>
      </c>
      <c r="AB72" s="89" t="s">
        <v>88</v>
      </c>
      <c r="AC72" s="120">
        <v>46176</v>
      </c>
      <c r="AD72" s="89"/>
      <c r="AE72" s="89"/>
      <c r="AF72" s="99"/>
      <c r="AG72" s="99"/>
      <c r="AH72" s="99"/>
      <c r="AI72" s="100" t="s">
        <v>65</v>
      </c>
      <c r="AJ72" s="100" t="s">
        <v>66</v>
      </c>
      <c r="AK72" s="100" t="s">
        <v>65</v>
      </c>
      <c r="AL72" s="45" t="s">
        <v>67</v>
      </c>
      <c r="AM72" s="199" t="str">
        <f t="shared" si="8"/>
        <v>5/2026</v>
      </c>
      <c r="AN72" s="45">
        <f t="shared" si="9"/>
        <v>2</v>
      </c>
      <c r="AO72" s="45" t="str">
        <f t="shared" si="10"/>
        <v>5/2026</v>
      </c>
      <c r="AP72" s="45">
        <f t="shared" si="11"/>
        <v>3</v>
      </c>
      <c r="AQ72" s="45">
        <f t="shared" si="12"/>
        <v>6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46147</v>
      </c>
      <c r="C73" s="89" t="s">
        <v>48</v>
      </c>
      <c r="D73" s="89" t="s">
        <v>49</v>
      </c>
      <c r="E73" s="90">
        <v>82102089</v>
      </c>
      <c r="F73" s="221" t="s">
        <v>286</v>
      </c>
      <c r="G73" s="92">
        <v>88390020491</v>
      </c>
      <c r="H73" s="93">
        <v>27209</v>
      </c>
      <c r="I73" s="89">
        <v>51</v>
      </c>
      <c r="J73" s="89"/>
      <c r="K73" s="89" t="s">
        <v>51</v>
      </c>
      <c r="L73" s="89" t="s">
        <v>52</v>
      </c>
      <c r="M73" s="89"/>
      <c r="N73" s="89" t="s">
        <v>53</v>
      </c>
      <c r="O73" s="94" t="s">
        <v>287</v>
      </c>
      <c r="P73" s="95" t="s">
        <v>55</v>
      </c>
      <c r="Q73" s="145" t="s">
        <v>56</v>
      </c>
      <c r="R73" s="96">
        <v>46153</v>
      </c>
      <c r="S73" s="97"/>
      <c r="T73" s="97" t="s">
        <v>57</v>
      </c>
      <c r="U73" s="97" t="s">
        <v>58</v>
      </c>
      <c r="V73" s="93">
        <v>46153</v>
      </c>
      <c r="W73" s="93" t="s">
        <v>81</v>
      </c>
      <c r="X73" s="93" t="s">
        <v>81</v>
      </c>
      <c r="Y73" s="98"/>
      <c r="Z73" s="89" t="s">
        <v>59</v>
      </c>
      <c r="AA73" s="97">
        <v>46168</v>
      </c>
      <c r="AB73" s="89" t="s">
        <v>88</v>
      </c>
      <c r="AC73" s="120">
        <v>46176</v>
      </c>
      <c r="AD73" s="89"/>
      <c r="AE73" s="89"/>
      <c r="AF73" s="99"/>
      <c r="AG73" s="99"/>
      <c r="AH73" s="99"/>
      <c r="AI73" s="100" t="s">
        <v>65</v>
      </c>
      <c r="AJ73" s="100" t="s">
        <v>66</v>
      </c>
      <c r="AK73" s="100" t="s">
        <v>65</v>
      </c>
      <c r="AL73" s="45" t="s">
        <v>67</v>
      </c>
      <c r="AM73" s="199" t="str">
        <f t="shared" si="8"/>
        <v>5/2026</v>
      </c>
      <c r="AN73" s="45">
        <f t="shared" si="9"/>
        <v>2</v>
      </c>
      <c r="AO73" s="45" t="str">
        <f t="shared" si="10"/>
        <v>5/2026</v>
      </c>
      <c r="AP73" s="45">
        <f t="shared" si="11"/>
        <v>3</v>
      </c>
      <c r="AQ73" s="45">
        <f t="shared" si="12"/>
        <v>6</v>
      </c>
      <c r="AR73" s="45">
        <f t="shared" si="13"/>
        <v>0</v>
      </c>
      <c r="AS73" s="45">
        <f t="shared" si="14"/>
        <v>0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46147</v>
      </c>
      <c r="C74" s="89" t="s">
        <v>48</v>
      </c>
      <c r="D74" s="89" t="s">
        <v>49</v>
      </c>
      <c r="E74" s="90">
        <v>936693312</v>
      </c>
      <c r="F74" s="221" t="s">
        <v>288</v>
      </c>
      <c r="G74" s="92">
        <v>15323687800</v>
      </c>
      <c r="H74" s="93">
        <v>26571</v>
      </c>
      <c r="I74" s="89">
        <v>53</v>
      </c>
      <c r="J74" s="89"/>
      <c r="K74" s="89" t="s">
        <v>51</v>
      </c>
      <c r="L74" s="89" t="s">
        <v>52</v>
      </c>
      <c r="M74" s="89"/>
      <c r="N74" s="89" t="s">
        <v>90</v>
      </c>
      <c r="O74" s="94" t="s">
        <v>289</v>
      </c>
      <c r="P74" s="95" t="s">
        <v>55</v>
      </c>
      <c r="Q74" s="145" t="s">
        <v>56</v>
      </c>
      <c r="R74" s="96">
        <v>46153</v>
      </c>
      <c r="S74" s="97"/>
      <c r="T74" s="97" t="s">
        <v>57</v>
      </c>
      <c r="U74" s="97" t="s">
        <v>58</v>
      </c>
      <c r="V74" s="93">
        <v>46153</v>
      </c>
      <c r="W74" s="93" t="s">
        <v>81</v>
      </c>
      <c r="X74" s="93" t="s">
        <v>81</v>
      </c>
      <c r="Y74" s="98"/>
      <c r="Z74" s="89" t="s">
        <v>59</v>
      </c>
      <c r="AA74" s="97">
        <v>46170</v>
      </c>
      <c r="AB74" s="89" t="s">
        <v>88</v>
      </c>
      <c r="AC74" s="120">
        <v>46179</v>
      </c>
      <c r="AD74" s="89"/>
      <c r="AE74" s="89"/>
      <c r="AF74" s="99"/>
      <c r="AG74" s="99"/>
      <c r="AH74" s="99"/>
      <c r="AI74" s="100" t="s">
        <v>65</v>
      </c>
      <c r="AJ74" s="100" t="s">
        <v>66</v>
      </c>
      <c r="AK74" s="100" t="s">
        <v>65</v>
      </c>
      <c r="AL74" s="45" t="s">
        <v>67</v>
      </c>
      <c r="AM74" s="199" t="str">
        <f t="shared" si="8"/>
        <v>5/2026</v>
      </c>
      <c r="AN74" s="45">
        <f t="shared" si="9"/>
        <v>2</v>
      </c>
      <c r="AO74" s="45" t="str">
        <f t="shared" si="10"/>
        <v>5/2026</v>
      </c>
      <c r="AP74" s="45">
        <f t="shared" si="11"/>
        <v>3</v>
      </c>
      <c r="AQ74" s="45">
        <f t="shared" si="12"/>
        <v>6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46147</v>
      </c>
      <c r="C75" s="89" t="s">
        <v>48</v>
      </c>
      <c r="D75" s="89" t="s">
        <v>49</v>
      </c>
      <c r="E75" s="90">
        <v>84205361</v>
      </c>
      <c r="F75" s="221" t="s">
        <v>290</v>
      </c>
      <c r="G75" s="92">
        <v>5252143803</v>
      </c>
      <c r="H75" s="93">
        <v>22753</v>
      </c>
      <c r="I75" s="89">
        <v>64</v>
      </c>
      <c r="J75" s="89"/>
      <c r="K75" s="89" t="s">
        <v>51</v>
      </c>
      <c r="L75" s="89" t="s">
        <v>52</v>
      </c>
      <c r="M75" s="89"/>
      <c r="N75" s="89" t="s">
        <v>53</v>
      </c>
      <c r="O75" s="94" t="s">
        <v>291</v>
      </c>
      <c r="P75" s="95" t="s">
        <v>55</v>
      </c>
      <c r="Q75" s="145" t="s">
        <v>56</v>
      </c>
      <c r="R75" s="96">
        <v>46153</v>
      </c>
      <c r="S75" s="97"/>
      <c r="T75" s="97" t="s">
        <v>57</v>
      </c>
      <c r="U75" s="97" t="s">
        <v>58</v>
      </c>
      <c r="V75" s="93">
        <v>46153</v>
      </c>
      <c r="W75" s="93" t="s">
        <v>81</v>
      </c>
      <c r="X75" s="93" t="s">
        <v>81</v>
      </c>
      <c r="Y75" s="98"/>
      <c r="Z75" s="89" t="s">
        <v>59</v>
      </c>
      <c r="AA75" s="97">
        <v>46170</v>
      </c>
      <c r="AB75" s="89" t="s">
        <v>88</v>
      </c>
      <c r="AC75" s="120">
        <v>46179</v>
      </c>
      <c r="AD75" s="89"/>
      <c r="AE75" s="89"/>
      <c r="AF75" s="99"/>
      <c r="AG75" s="99"/>
      <c r="AH75" s="99"/>
      <c r="AI75" s="100" t="s">
        <v>65</v>
      </c>
      <c r="AJ75" s="100" t="s">
        <v>66</v>
      </c>
      <c r="AK75" s="100" t="s">
        <v>65</v>
      </c>
      <c r="AL75" s="45" t="s">
        <v>67</v>
      </c>
      <c r="AM75" s="199" t="str">
        <f t="shared" si="8"/>
        <v>5/2026</v>
      </c>
      <c r="AN75" s="45">
        <f t="shared" si="9"/>
        <v>2</v>
      </c>
      <c r="AO75" s="45" t="str">
        <f t="shared" si="10"/>
        <v>5/2026</v>
      </c>
      <c r="AP75" s="45">
        <f t="shared" si="11"/>
        <v>3</v>
      </c>
      <c r="AQ75" s="45">
        <f t="shared" si="12"/>
        <v>6</v>
      </c>
      <c r="AR75" s="45">
        <f t="shared" si="13"/>
        <v>0</v>
      </c>
      <c r="AS75" s="45">
        <f t="shared" si="14"/>
        <v>0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46147</v>
      </c>
      <c r="C76" s="89" t="s">
        <v>48</v>
      </c>
      <c r="D76" s="89" t="s">
        <v>49</v>
      </c>
      <c r="E76" s="90">
        <v>95457616</v>
      </c>
      <c r="F76" s="221" t="s">
        <v>292</v>
      </c>
      <c r="G76" s="92">
        <v>49053550879</v>
      </c>
      <c r="H76" s="93">
        <v>36049</v>
      </c>
      <c r="I76" s="89">
        <v>27</v>
      </c>
      <c r="J76" s="89"/>
      <c r="K76" s="89" t="s">
        <v>51</v>
      </c>
      <c r="L76" s="89" t="s">
        <v>52</v>
      </c>
      <c r="M76" s="89"/>
      <c r="N76" s="89" t="s">
        <v>53</v>
      </c>
      <c r="O76" s="94" t="s">
        <v>293</v>
      </c>
      <c r="P76" s="95" t="s">
        <v>55</v>
      </c>
      <c r="Q76" s="145" t="s">
        <v>56</v>
      </c>
      <c r="R76" s="96">
        <v>46153</v>
      </c>
      <c r="S76" s="97"/>
      <c r="T76" s="97" t="s">
        <v>57</v>
      </c>
      <c r="U76" s="97" t="s">
        <v>58</v>
      </c>
      <c r="V76" s="93">
        <v>46153</v>
      </c>
      <c r="W76" s="93" t="s">
        <v>81</v>
      </c>
      <c r="X76" s="93" t="s">
        <v>81</v>
      </c>
      <c r="Y76" s="98"/>
      <c r="Z76" s="89" t="s">
        <v>59</v>
      </c>
      <c r="AA76" s="97" t="s">
        <v>285</v>
      </c>
      <c r="AB76" s="89" t="s">
        <v>88</v>
      </c>
      <c r="AC76" s="120"/>
      <c r="AD76" s="89"/>
      <c r="AE76" s="89"/>
      <c r="AF76" s="99"/>
      <c r="AG76" s="99"/>
      <c r="AH76" s="99"/>
      <c r="AI76" s="100" t="s">
        <v>65</v>
      </c>
      <c r="AJ76" s="100" t="s">
        <v>66</v>
      </c>
      <c r="AK76" s="100" t="s">
        <v>65</v>
      </c>
      <c r="AL76" s="45" t="s">
        <v>67</v>
      </c>
      <c r="AM76" s="199" t="str">
        <f t="shared" si="8"/>
        <v>5/2026</v>
      </c>
      <c r="AN76" s="45">
        <f t="shared" si="9"/>
        <v>2</v>
      </c>
      <c r="AO76" s="45" t="str">
        <f t="shared" si="10"/>
        <v>5/2026</v>
      </c>
      <c r="AP76" s="45">
        <f t="shared" si="11"/>
        <v>3</v>
      </c>
      <c r="AQ76" s="45">
        <f t="shared" si="12"/>
        <v>6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46147</v>
      </c>
      <c r="C77" s="89" t="s">
        <v>48</v>
      </c>
      <c r="D77" s="89" t="s">
        <v>49</v>
      </c>
      <c r="E77" s="90">
        <v>81615531</v>
      </c>
      <c r="F77" s="221" t="s">
        <v>294</v>
      </c>
      <c r="G77" s="92">
        <v>31973651866</v>
      </c>
      <c r="H77" s="93">
        <v>30645</v>
      </c>
      <c r="I77" s="89">
        <v>42</v>
      </c>
      <c r="J77" s="89"/>
      <c r="K77" s="89" t="s">
        <v>51</v>
      </c>
      <c r="L77" s="89" t="s">
        <v>52</v>
      </c>
      <c r="M77" s="89"/>
      <c r="N77" s="89" t="s">
        <v>116</v>
      </c>
      <c r="O77" s="94" t="s">
        <v>295</v>
      </c>
      <c r="P77" s="95" t="s">
        <v>55</v>
      </c>
      <c r="Q77" s="145" t="s">
        <v>56</v>
      </c>
      <c r="R77" s="96">
        <v>46153</v>
      </c>
      <c r="S77" s="97"/>
      <c r="T77" s="97" t="s">
        <v>57</v>
      </c>
      <c r="U77" s="97" t="s">
        <v>58</v>
      </c>
      <c r="V77" s="93">
        <v>46153</v>
      </c>
      <c r="W77" s="93" t="s">
        <v>81</v>
      </c>
      <c r="X77" s="93" t="s">
        <v>81</v>
      </c>
      <c r="Y77" s="98"/>
      <c r="Z77" s="89" t="s">
        <v>59</v>
      </c>
      <c r="AA77" s="97" t="s">
        <v>296</v>
      </c>
      <c r="AB77" s="89" t="s">
        <v>88</v>
      </c>
      <c r="AC77" s="120"/>
      <c r="AD77" s="89"/>
      <c r="AE77" s="89"/>
      <c r="AF77" s="99"/>
      <c r="AG77" s="99"/>
      <c r="AH77" s="99"/>
      <c r="AI77" s="100" t="s">
        <v>65</v>
      </c>
      <c r="AJ77" s="100" t="s">
        <v>66</v>
      </c>
      <c r="AK77" s="100" t="s">
        <v>65</v>
      </c>
      <c r="AL77" s="45" t="s">
        <v>67</v>
      </c>
      <c r="AM77" s="199" t="str">
        <f t="shared" si="8"/>
        <v>5/2026</v>
      </c>
      <c r="AN77" s="45">
        <f t="shared" si="9"/>
        <v>2</v>
      </c>
      <c r="AO77" s="45" t="str">
        <f t="shared" si="10"/>
        <v>5/2026</v>
      </c>
      <c r="AP77" s="45">
        <f t="shared" si="11"/>
        <v>3</v>
      </c>
      <c r="AQ77" s="45">
        <f t="shared" si="12"/>
        <v>6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46147</v>
      </c>
      <c r="C78" s="89" t="s">
        <v>48</v>
      </c>
      <c r="D78" s="89" t="s">
        <v>49</v>
      </c>
      <c r="E78" s="90">
        <v>451603400</v>
      </c>
      <c r="F78" s="221" t="s">
        <v>297</v>
      </c>
      <c r="G78" s="92">
        <v>27922863853</v>
      </c>
      <c r="H78" s="93">
        <v>17827</v>
      </c>
      <c r="I78" s="89">
        <v>77</v>
      </c>
      <c r="J78" s="89"/>
      <c r="K78" s="89" t="s">
        <v>51</v>
      </c>
      <c r="L78" s="89" t="s">
        <v>52</v>
      </c>
      <c r="M78" s="89"/>
      <c r="N78" s="89" t="s">
        <v>112</v>
      </c>
      <c r="O78" s="94" t="s">
        <v>298</v>
      </c>
      <c r="P78" s="95" t="s">
        <v>55</v>
      </c>
      <c r="Q78" s="145" t="s">
        <v>56</v>
      </c>
      <c r="R78" s="96">
        <v>46153</v>
      </c>
      <c r="S78" s="97"/>
      <c r="T78" s="97" t="s">
        <v>57</v>
      </c>
      <c r="U78" s="97" t="s">
        <v>58</v>
      </c>
      <c r="V78" s="93">
        <v>46153</v>
      </c>
      <c r="W78" s="93" t="s">
        <v>81</v>
      </c>
      <c r="X78" s="93" t="s">
        <v>81</v>
      </c>
      <c r="Y78" s="98"/>
      <c r="Z78" s="89" t="s">
        <v>59</v>
      </c>
      <c r="AA78" s="97" t="s">
        <v>299</v>
      </c>
      <c r="AB78" s="89" t="s">
        <v>60</v>
      </c>
      <c r="AC78" s="120"/>
      <c r="AD78" s="89" t="s">
        <v>61</v>
      </c>
      <c r="AE78" s="89"/>
      <c r="AF78" s="99" t="s">
        <v>143</v>
      </c>
      <c r="AG78" s="99" t="s">
        <v>143</v>
      </c>
      <c r="AH78" s="99" t="s">
        <v>64</v>
      </c>
      <c r="AI78" s="100" t="s">
        <v>65</v>
      </c>
      <c r="AJ78" s="100" t="s">
        <v>66</v>
      </c>
      <c r="AK78" s="100" t="s">
        <v>65</v>
      </c>
      <c r="AL78" s="45" t="s">
        <v>67</v>
      </c>
      <c r="AM78" s="199" t="str">
        <f t="shared" si="8"/>
        <v>5/2026</v>
      </c>
      <c r="AN78" s="45">
        <f t="shared" si="9"/>
        <v>2</v>
      </c>
      <c r="AO78" s="45" t="str">
        <f t="shared" si="10"/>
        <v>5/2026</v>
      </c>
      <c r="AP78" s="45">
        <f t="shared" si="11"/>
        <v>3</v>
      </c>
      <c r="AQ78" s="45">
        <f t="shared" si="12"/>
        <v>6</v>
      </c>
      <c r="AR78" s="45">
        <f t="shared" si="13"/>
        <v>0</v>
      </c>
      <c r="AS78" s="45">
        <f t="shared" si="14"/>
        <v>0</v>
      </c>
      <c r="AT78" s="45">
        <f t="shared" si="15"/>
        <v>14.694444444445253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46147</v>
      </c>
      <c r="C79" s="89" t="s">
        <v>48</v>
      </c>
      <c r="D79" s="89" t="s">
        <v>49</v>
      </c>
      <c r="E79" s="90">
        <v>77321547</v>
      </c>
      <c r="F79" s="221" t="s">
        <v>300</v>
      </c>
      <c r="G79" s="92">
        <v>16248662800</v>
      </c>
      <c r="H79" s="93">
        <v>27273</v>
      </c>
      <c r="I79" s="89">
        <v>51</v>
      </c>
      <c r="J79" s="89"/>
      <c r="K79" s="89" t="s">
        <v>51</v>
      </c>
      <c r="L79" s="89" t="s">
        <v>52</v>
      </c>
      <c r="M79" s="89"/>
      <c r="N79" s="89" t="s">
        <v>109</v>
      </c>
      <c r="O79" s="94" t="s">
        <v>301</v>
      </c>
      <c r="P79" s="95" t="s">
        <v>55</v>
      </c>
      <c r="Q79" s="145" t="s">
        <v>56</v>
      </c>
      <c r="R79" s="96">
        <v>46153</v>
      </c>
      <c r="S79" s="97"/>
      <c r="T79" s="97" t="s">
        <v>57</v>
      </c>
      <c r="U79" s="97" t="s">
        <v>58</v>
      </c>
      <c r="V79" s="93">
        <v>46153</v>
      </c>
      <c r="W79" s="93" t="s">
        <v>81</v>
      </c>
      <c r="X79" s="93" t="s">
        <v>81</v>
      </c>
      <c r="Y79" s="98"/>
      <c r="Z79" s="89" t="s">
        <v>59</v>
      </c>
      <c r="AA79" s="97">
        <v>46170</v>
      </c>
      <c r="AB79" s="89" t="s">
        <v>60</v>
      </c>
      <c r="AC79" s="120"/>
      <c r="AD79" s="89" t="s">
        <v>61</v>
      </c>
      <c r="AE79" s="89"/>
      <c r="AF79" s="99" t="s">
        <v>302</v>
      </c>
      <c r="AG79" s="99" t="s">
        <v>302</v>
      </c>
      <c r="AH79" s="99" t="s">
        <v>64</v>
      </c>
      <c r="AI79" s="100" t="s">
        <v>65</v>
      </c>
      <c r="AJ79" s="100" t="s">
        <v>66</v>
      </c>
      <c r="AK79" s="100" t="s">
        <v>65</v>
      </c>
      <c r="AL79" s="45" t="s">
        <v>67</v>
      </c>
      <c r="AM79" s="199" t="str">
        <f t="shared" si="8"/>
        <v>5/2026</v>
      </c>
      <c r="AN79" s="45">
        <f t="shared" si="9"/>
        <v>2</v>
      </c>
      <c r="AO79" s="45" t="str">
        <f t="shared" si="10"/>
        <v>5/2026</v>
      </c>
      <c r="AP79" s="45">
        <f t="shared" si="11"/>
        <v>3</v>
      </c>
      <c r="AQ79" s="45">
        <f t="shared" si="12"/>
        <v>6</v>
      </c>
      <c r="AR79" s="45">
        <f t="shared" si="13"/>
        <v>0</v>
      </c>
      <c r="AS79" s="45">
        <f t="shared" si="14"/>
        <v>0</v>
      </c>
      <c r="AT79" s="45">
        <f t="shared" si="15"/>
        <v>17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46147</v>
      </c>
      <c r="C80" s="89" t="s">
        <v>48</v>
      </c>
      <c r="D80" s="89" t="s">
        <v>49</v>
      </c>
      <c r="E80" s="90">
        <v>94060005</v>
      </c>
      <c r="F80" s="221" t="s">
        <v>303</v>
      </c>
      <c r="G80" s="92">
        <v>1096631873</v>
      </c>
      <c r="H80" s="93">
        <v>21014</v>
      </c>
      <c r="I80" s="89">
        <v>68</v>
      </c>
      <c r="J80" s="89"/>
      <c r="K80" s="89" t="s">
        <v>51</v>
      </c>
      <c r="L80" s="89" t="s">
        <v>52</v>
      </c>
      <c r="M80" s="89"/>
      <c r="N80" s="89" t="s">
        <v>128</v>
      </c>
      <c r="O80" s="94" t="s">
        <v>304</v>
      </c>
      <c r="P80" s="95" t="s">
        <v>55</v>
      </c>
      <c r="Q80" s="145" t="s">
        <v>56</v>
      </c>
      <c r="R80" s="96">
        <v>46153</v>
      </c>
      <c r="S80" s="97"/>
      <c r="T80" s="97" t="s">
        <v>57</v>
      </c>
      <c r="U80" s="97" t="s">
        <v>58</v>
      </c>
      <c r="V80" s="93">
        <v>46153</v>
      </c>
      <c r="W80" s="93" t="s">
        <v>81</v>
      </c>
      <c r="X80" s="93" t="s">
        <v>81</v>
      </c>
      <c r="Y80" s="98"/>
      <c r="Z80" s="89" t="s">
        <v>59</v>
      </c>
      <c r="AA80" s="97">
        <v>46170</v>
      </c>
      <c r="AB80" s="89" t="s">
        <v>60</v>
      </c>
      <c r="AC80" s="120"/>
      <c r="AD80" s="89" t="s">
        <v>61</v>
      </c>
      <c r="AE80" s="89"/>
      <c r="AF80" s="99" t="s">
        <v>126</v>
      </c>
      <c r="AG80" s="99" t="s">
        <v>126</v>
      </c>
      <c r="AH80" s="99" t="s">
        <v>64</v>
      </c>
      <c r="AI80" s="100" t="s">
        <v>65</v>
      </c>
      <c r="AJ80" s="100" t="s">
        <v>66</v>
      </c>
      <c r="AK80" s="100" t="s">
        <v>65</v>
      </c>
      <c r="AL80" s="45" t="s">
        <v>67</v>
      </c>
      <c r="AM80" s="199" t="str">
        <f t="shared" si="8"/>
        <v>5/2026</v>
      </c>
      <c r="AN80" s="45">
        <f t="shared" si="9"/>
        <v>2</v>
      </c>
      <c r="AO80" s="45" t="str">
        <f t="shared" si="10"/>
        <v>5/2026</v>
      </c>
      <c r="AP80" s="45">
        <f t="shared" si="11"/>
        <v>3</v>
      </c>
      <c r="AQ80" s="45">
        <f t="shared" si="12"/>
        <v>6</v>
      </c>
      <c r="AR80" s="45">
        <f t="shared" si="13"/>
        <v>0</v>
      </c>
      <c r="AS80" s="45">
        <f t="shared" si="14"/>
        <v>0</v>
      </c>
      <c r="AT80" s="45">
        <f t="shared" si="15"/>
        <v>17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46147</v>
      </c>
      <c r="C81" s="89" t="s">
        <v>48</v>
      </c>
      <c r="D81" s="89" t="s">
        <v>49</v>
      </c>
      <c r="E81" s="90">
        <v>452389070</v>
      </c>
      <c r="F81" s="221" t="s">
        <v>305</v>
      </c>
      <c r="G81" s="92">
        <v>9055668826</v>
      </c>
      <c r="H81" s="93">
        <v>22702</v>
      </c>
      <c r="I81" s="89">
        <v>64</v>
      </c>
      <c r="J81" s="89"/>
      <c r="K81" s="89" t="s">
        <v>51</v>
      </c>
      <c r="L81" s="89" t="s">
        <v>52</v>
      </c>
      <c r="M81" s="89"/>
      <c r="N81" s="89" t="s">
        <v>90</v>
      </c>
      <c r="O81" s="94" t="s">
        <v>306</v>
      </c>
      <c r="P81" s="95" t="s">
        <v>55</v>
      </c>
      <c r="Q81" s="145" t="s">
        <v>56</v>
      </c>
      <c r="R81" s="96">
        <v>46153</v>
      </c>
      <c r="S81" s="97"/>
      <c r="T81" s="97" t="s">
        <v>57</v>
      </c>
      <c r="U81" s="97" t="s">
        <v>58</v>
      </c>
      <c r="V81" s="93">
        <v>46153</v>
      </c>
      <c r="W81" s="93" t="s">
        <v>81</v>
      </c>
      <c r="X81" s="93" t="s">
        <v>81</v>
      </c>
      <c r="Y81" s="98"/>
      <c r="Z81" s="89" t="s">
        <v>59</v>
      </c>
      <c r="AA81" s="97">
        <v>46175</v>
      </c>
      <c r="AB81" s="89" t="s">
        <v>60</v>
      </c>
      <c r="AC81" s="120"/>
      <c r="AD81" s="89" t="s">
        <v>307</v>
      </c>
      <c r="AE81" s="89"/>
      <c r="AF81" s="99" t="s">
        <v>126</v>
      </c>
      <c r="AG81" s="99" t="s">
        <v>126</v>
      </c>
      <c r="AH81" s="99" t="s">
        <v>64</v>
      </c>
      <c r="AI81" s="100" t="s">
        <v>65</v>
      </c>
      <c r="AJ81" s="100" t="s">
        <v>66</v>
      </c>
      <c r="AK81" s="100" t="s">
        <v>65</v>
      </c>
      <c r="AL81" s="45" t="s">
        <v>67</v>
      </c>
      <c r="AM81" s="199" t="str">
        <f t="shared" si="8"/>
        <v>5/2026</v>
      </c>
      <c r="AN81" s="45">
        <f t="shared" si="9"/>
        <v>2</v>
      </c>
      <c r="AO81" s="45" t="str">
        <f t="shared" si="10"/>
        <v>5/2026</v>
      </c>
      <c r="AP81" s="45">
        <f t="shared" si="11"/>
        <v>3</v>
      </c>
      <c r="AQ81" s="45">
        <f t="shared" si="12"/>
        <v>6</v>
      </c>
      <c r="AR81" s="45">
        <f t="shared" si="13"/>
        <v>0</v>
      </c>
      <c r="AS81" s="45">
        <f t="shared" si="14"/>
        <v>0</v>
      </c>
      <c r="AT81" s="45">
        <f t="shared" si="15"/>
        <v>22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46147</v>
      </c>
      <c r="C82" s="89" t="s">
        <v>48</v>
      </c>
      <c r="D82" s="89" t="s">
        <v>49</v>
      </c>
      <c r="E82" s="90">
        <v>93987291</v>
      </c>
      <c r="F82" s="221" t="s">
        <v>308</v>
      </c>
      <c r="G82" s="92">
        <v>7433783857</v>
      </c>
      <c r="H82" s="93">
        <v>23337</v>
      </c>
      <c r="I82" s="89">
        <v>62</v>
      </c>
      <c r="J82" s="89"/>
      <c r="K82" s="89" t="s">
        <v>51</v>
      </c>
      <c r="L82" s="89" t="s">
        <v>309</v>
      </c>
      <c r="M82" s="89"/>
      <c r="N82" s="89" t="s">
        <v>146</v>
      </c>
      <c r="O82" s="94" t="s">
        <v>310</v>
      </c>
      <c r="P82" s="95" t="s">
        <v>55</v>
      </c>
      <c r="Q82" s="145" t="s">
        <v>56</v>
      </c>
      <c r="R82" s="96">
        <v>46153</v>
      </c>
      <c r="S82" s="97"/>
      <c r="T82" s="97" t="s">
        <v>57</v>
      </c>
      <c r="U82" s="97" t="s">
        <v>58</v>
      </c>
      <c r="V82" s="93">
        <v>46153</v>
      </c>
      <c r="W82" s="93" t="s">
        <v>81</v>
      </c>
      <c r="X82" s="93" t="s">
        <v>81</v>
      </c>
      <c r="Y82" s="98"/>
      <c r="Z82" s="89" t="s">
        <v>59</v>
      </c>
      <c r="AA82" s="97" t="s">
        <v>299</v>
      </c>
      <c r="AB82" s="89" t="s">
        <v>60</v>
      </c>
      <c r="AC82" s="120"/>
      <c r="AD82" s="89" t="s">
        <v>307</v>
      </c>
      <c r="AE82" s="89">
        <v>42</v>
      </c>
      <c r="AF82" s="99" t="s">
        <v>161</v>
      </c>
      <c r="AG82" s="99" t="s">
        <v>161</v>
      </c>
      <c r="AH82" s="99" t="s">
        <v>64</v>
      </c>
      <c r="AI82" s="100" t="s">
        <v>65</v>
      </c>
      <c r="AJ82" s="100" t="s">
        <v>66</v>
      </c>
      <c r="AK82" s="100" t="s">
        <v>65</v>
      </c>
      <c r="AL82" s="45" t="s">
        <v>67</v>
      </c>
      <c r="AM82" s="199" t="str">
        <f t="shared" si="8"/>
        <v>5/2026</v>
      </c>
      <c r="AN82" s="45">
        <f t="shared" si="9"/>
        <v>2</v>
      </c>
      <c r="AO82" s="45" t="str">
        <f t="shared" si="10"/>
        <v>5/2026</v>
      </c>
      <c r="AP82" s="45">
        <f t="shared" si="11"/>
        <v>3</v>
      </c>
      <c r="AQ82" s="45">
        <f t="shared" si="12"/>
        <v>6</v>
      </c>
      <c r="AR82" s="45">
        <f t="shared" si="13"/>
        <v>0</v>
      </c>
      <c r="AS82" s="45">
        <f t="shared" si="14"/>
        <v>0</v>
      </c>
      <c r="AT82" s="45">
        <f t="shared" si="15"/>
        <v>14.694444444445253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46147</v>
      </c>
      <c r="C83" s="89" t="s">
        <v>48</v>
      </c>
      <c r="D83" s="89" t="s">
        <v>49</v>
      </c>
      <c r="E83" s="90">
        <v>450071723</v>
      </c>
      <c r="F83" s="221" t="s">
        <v>311</v>
      </c>
      <c r="G83" s="92">
        <v>76890406834</v>
      </c>
      <c r="H83" s="93">
        <v>19904</v>
      </c>
      <c r="I83" s="89">
        <v>71</v>
      </c>
      <c r="J83" s="89"/>
      <c r="K83" s="89" t="s">
        <v>51</v>
      </c>
      <c r="L83" s="89" t="s">
        <v>52</v>
      </c>
      <c r="M83" s="89"/>
      <c r="N83" s="89" t="s">
        <v>133</v>
      </c>
      <c r="O83" s="94" t="s">
        <v>312</v>
      </c>
      <c r="P83" s="95" t="s">
        <v>55</v>
      </c>
      <c r="Q83" s="145" t="s">
        <v>56</v>
      </c>
      <c r="R83" s="96">
        <v>46153</v>
      </c>
      <c r="S83" s="97"/>
      <c r="T83" s="97" t="s">
        <v>57</v>
      </c>
      <c r="U83" s="97" t="s">
        <v>58</v>
      </c>
      <c r="V83" s="93">
        <v>46153</v>
      </c>
      <c r="W83" s="93" t="s">
        <v>81</v>
      </c>
      <c r="X83" s="93" t="s">
        <v>81</v>
      </c>
      <c r="Y83" s="98"/>
      <c r="Z83" s="89" t="s">
        <v>59</v>
      </c>
      <c r="AA83" s="97">
        <v>46170</v>
      </c>
      <c r="AB83" s="89" t="s">
        <v>60</v>
      </c>
      <c r="AC83" s="120">
        <v>46179</v>
      </c>
      <c r="AD83" s="89"/>
      <c r="AE83" s="89"/>
      <c r="AF83" s="99"/>
      <c r="AG83" s="99"/>
      <c r="AH83" s="99"/>
      <c r="AI83" s="100" t="s">
        <v>65</v>
      </c>
      <c r="AJ83" s="100" t="s">
        <v>66</v>
      </c>
      <c r="AK83" s="100" t="s">
        <v>65</v>
      </c>
      <c r="AL83" s="45" t="s">
        <v>67</v>
      </c>
      <c r="AM83" s="199" t="str">
        <f t="shared" si="8"/>
        <v>5/2026</v>
      </c>
      <c r="AN83" s="45">
        <f t="shared" si="9"/>
        <v>2</v>
      </c>
      <c r="AO83" s="45" t="str">
        <f t="shared" si="10"/>
        <v>5/2026</v>
      </c>
      <c r="AP83" s="45">
        <f t="shared" si="11"/>
        <v>3</v>
      </c>
      <c r="AQ83" s="45">
        <f t="shared" si="12"/>
        <v>6</v>
      </c>
      <c r="AR83" s="45">
        <f t="shared" si="13"/>
        <v>0</v>
      </c>
      <c r="AS83" s="45">
        <f t="shared" si="14"/>
        <v>0</v>
      </c>
      <c r="AT83" s="45">
        <f t="shared" si="15"/>
        <v>17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46147</v>
      </c>
      <c r="C84" s="89" t="s">
        <v>48</v>
      </c>
      <c r="D84" s="89" t="s">
        <v>49</v>
      </c>
      <c r="E84" s="90">
        <v>89814375</v>
      </c>
      <c r="F84" s="221" t="s">
        <v>313</v>
      </c>
      <c r="G84" s="92">
        <v>37920379806</v>
      </c>
      <c r="H84" s="93">
        <v>33994</v>
      </c>
      <c r="I84" s="89">
        <v>33</v>
      </c>
      <c r="J84" s="89"/>
      <c r="K84" s="89" t="s">
        <v>51</v>
      </c>
      <c r="L84" s="89" t="s">
        <v>314</v>
      </c>
      <c r="M84" s="89"/>
      <c r="N84" s="89" t="s">
        <v>90</v>
      </c>
      <c r="O84" s="94" t="s">
        <v>315</v>
      </c>
      <c r="P84" s="95" t="s">
        <v>55</v>
      </c>
      <c r="Q84" s="145" t="s">
        <v>56</v>
      </c>
      <c r="R84" s="96">
        <v>46153</v>
      </c>
      <c r="S84" s="97"/>
      <c r="T84" s="97" t="s">
        <v>57</v>
      </c>
      <c r="U84" s="97" t="s">
        <v>58</v>
      </c>
      <c r="V84" s="93">
        <v>46153</v>
      </c>
      <c r="W84" s="93" t="s">
        <v>81</v>
      </c>
      <c r="X84" s="93" t="s">
        <v>81</v>
      </c>
      <c r="Y84" s="98"/>
      <c r="Z84" s="89" t="s">
        <v>59</v>
      </c>
      <c r="AA84" s="97">
        <v>46170</v>
      </c>
      <c r="AB84" s="89" t="s">
        <v>88</v>
      </c>
      <c r="AC84" s="120">
        <v>46179</v>
      </c>
      <c r="AD84" s="89"/>
      <c r="AE84" s="89"/>
      <c r="AF84" s="99"/>
      <c r="AG84" s="99"/>
      <c r="AH84" s="99"/>
      <c r="AI84" s="100" t="s">
        <v>65</v>
      </c>
      <c r="AJ84" s="100" t="s">
        <v>66</v>
      </c>
      <c r="AK84" s="100" t="s">
        <v>65</v>
      </c>
      <c r="AL84" s="45" t="s">
        <v>67</v>
      </c>
      <c r="AM84" s="199" t="str">
        <f t="shared" si="8"/>
        <v>5/2026</v>
      </c>
      <c r="AN84" s="45">
        <f t="shared" si="9"/>
        <v>2</v>
      </c>
      <c r="AO84" s="45" t="str">
        <f t="shared" si="10"/>
        <v>5/2026</v>
      </c>
      <c r="AP84" s="45">
        <f t="shared" si="11"/>
        <v>3</v>
      </c>
      <c r="AQ84" s="45">
        <f t="shared" si="12"/>
        <v>6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46147</v>
      </c>
      <c r="C85" s="89" t="s">
        <v>48</v>
      </c>
      <c r="D85" s="89" t="s">
        <v>49</v>
      </c>
      <c r="E85" s="90">
        <v>813499674</v>
      </c>
      <c r="F85" s="221" t="s">
        <v>316</v>
      </c>
      <c r="G85" s="92">
        <v>70286353334</v>
      </c>
      <c r="H85" s="93">
        <v>24715</v>
      </c>
      <c r="I85" s="89">
        <v>58</v>
      </c>
      <c r="J85" s="89"/>
      <c r="K85" s="89" t="s">
        <v>51</v>
      </c>
      <c r="L85" s="89" t="s">
        <v>52</v>
      </c>
      <c r="M85" s="89"/>
      <c r="N85" s="89" t="s">
        <v>75</v>
      </c>
      <c r="O85" s="94" t="s">
        <v>317</v>
      </c>
      <c r="P85" s="95" t="s">
        <v>55</v>
      </c>
      <c r="Q85" s="145" t="s">
        <v>56</v>
      </c>
      <c r="R85" s="96">
        <v>46153</v>
      </c>
      <c r="S85" s="97"/>
      <c r="T85" s="97" t="s">
        <v>57</v>
      </c>
      <c r="U85" s="97" t="s">
        <v>58</v>
      </c>
      <c r="V85" s="93">
        <v>46153</v>
      </c>
      <c r="W85" s="93" t="s">
        <v>81</v>
      </c>
      <c r="X85" s="93" t="s">
        <v>81</v>
      </c>
      <c r="Y85" s="98"/>
      <c r="Z85" s="89" t="s">
        <v>59</v>
      </c>
      <c r="AA85" s="97" t="s">
        <v>318</v>
      </c>
      <c r="AB85" s="89" t="s">
        <v>88</v>
      </c>
      <c r="AC85" s="120"/>
      <c r="AD85" s="89"/>
      <c r="AE85" s="89"/>
      <c r="AF85" s="99"/>
      <c r="AG85" s="99"/>
      <c r="AH85" s="99"/>
      <c r="AI85" s="100" t="s">
        <v>65</v>
      </c>
      <c r="AJ85" s="100" t="s">
        <v>66</v>
      </c>
      <c r="AK85" s="100" t="s">
        <v>65</v>
      </c>
      <c r="AL85" s="45" t="s">
        <v>67</v>
      </c>
      <c r="AM85" s="199" t="str">
        <f t="shared" si="8"/>
        <v>5/2026</v>
      </c>
      <c r="AN85" s="45">
        <f t="shared" si="9"/>
        <v>2</v>
      </c>
      <c r="AO85" s="45" t="str">
        <f t="shared" si="10"/>
        <v>5/2026</v>
      </c>
      <c r="AP85" s="45">
        <f t="shared" si="11"/>
        <v>3</v>
      </c>
      <c r="AQ85" s="45">
        <f t="shared" si="12"/>
        <v>6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47</v>
      </c>
      <c r="B86" s="88">
        <v>46147</v>
      </c>
      <c r="C86" s="89" t="s">
        <v>48</v>
      </c>
      <c r="D86" s="89" t="s">
        <v>49</v>
      </c>
      <c r="E86" s="90">
        <v>95013777</v>
      </c>
      <c r="F86" s="221" t="s">
        <v>319</v>
      </c>
      <c r="G86" s="92">
        <v>33934962807</v>
      </c>
      <c r="H86" s="93">
        <v>31799</v>
      </c>
      <c r="I86" s="89">
        <v>39</v>
      </c>
      <c r="J86" s="89"/>
      <c r="K86" s="89" t="s">
        <v>51</v>
      </c>
      <c r="L86" s="89" t="s">
        <v>314</v>
      </c>
      <c r="M86" s="89"/>
      <c r="N86" s="89" t="s">
        <v>106</v>
      </c>
      <c r="O86" s="94" t="s">
        <v>320</v>
      </c>
      <c r="P86" s="95" t="s">
        <v>55</v>
      </c>
      <c r="Q86" s="145" t="s">
        <v>56</v>
      </c>
      <c r="R86" s="96">
        <v>46153</v>
      </c>
      <c r="S86" s="97"/>
      <c r="T86" s="97" t="s">
        <v>57</v>
      </c>
      <c r="U86" s="97" t="s">
        <v>58</v>
      </c>
      <c r="V86" s="93">
        <v>46153</v>
      </c>
      <c r="W86" s="93" t="s">
        <v>81</v>
      </c>
      <c r="X86" s="93" t="s">
        <v>81</v>
      </c>
      <c r="Y86" s="98"/>
      <c r="Z86" s="89" t="s">
        <v>59</v>
      </c>
      <c r="AA86" s="97" t="s">
        <v>321</v>
      </c>
      <c r="AB86" s="89" t="s">
        <v>88</v>
      </c>
      <c r="AC86" s="120"/>
      <c r="AD86" s="89"/>
      <c r="AE86" s="89"/>
      <c r="AF86" s="99"/>
      <c r="AG86" s="99"/>
      <c r="AH86" s="99"/>
      <c r="AI86" s="100" t="s">
        <v>65</v>
      </c>
      <c r="AJ86" s="100" t="s">
        <v>66</v>
      </c>
      <c r="AK86" s="100" t="s">
        <v>65</v>
      </c>
      <c r="AL86" s="45" t="s">
        <v>67</v>
      </c>
      <c r="AM86" s="199" t="str">
        <f t="shared" si="8"/>
        <v>5/2026</v>
      </c>
      <c r="AN86" s="45">
        <f t="shared" si="9"/>
        <v>2</v>
      </c>
      <c r="AO86" s="45" t="str">
        <f t="shared" si="10"/>
        <v>5/2026</v>
      </c>
      <c r="AP86" s="45">
        <f t="shared" si="11"/>
        <v>3</v>
      </c>
      <c r="AQ86" s="45">
        <f t="shared" si="12"/>
        <v>6</v>
      </c>
      <c r="AR86" s="45">
        <f t="shared" si="13"/>
        <v>0</v>
      </c>
      <c r="AS86" s="45">
        <f t="shared" si="14"/>
        <v>0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47</v>
      </c>
      <c r="B87" s="88">
        <v>46147</v>
      </c>
      <c r="C87" s="89" t="s">
        <v>48</v>
      </c>
      <c r="D87" s="89" t="s">
        <v>49</v>
      </c>
      <c r="E87" s="90">
        <v>93783983</v>
      </c>
      <c r="F87" s="221" t="s">
        <v>322</v>
      </c>
      <c r="G87" s="92">
        <v>34645434802</v>
      </c>
      <c r="H87" s="93">
        <v>31559</v>
      </c>
      <c r="I87" s="89">
        <v>39</v>
      </c>
      <c r="J87" s="89"/>
      <c r="K87" s="89" t="s">
        <v>51</v>
      </c>
      <c r="L87" s="89" t="s">
        <v>52</v>
      </c>
      <c r="M87" s="89"/>
      <c r="N87" s="89" t="s">
        <v>123</v>
      </c>
      <c r="O87" s="94" t="s">
        <v>323</v>
      </c>
      <c r="P87" s="95" t="s">
        <v>55</v>
      </c>
      <c r="Q87" s="145" t="s">
        <v>56</v>
      </c>
      <c r="R87" s="96">
        <v>46153</v>
      </c>
      <c r="S87" s="97"/>
      <c r="T87" s="97" t="s">
        <v>57</v>
      </c>
      <c r="U87" s="97" t="s">
        <v>58</v>
      </c>
      <c r="V87" s="93">
        <v>46153</v>
      </c>
      <c r="W87" s="93" t="s">
        <v>81</v>
      </c>
      <c r="X87" s="93" t="s">
        <v>81</v>
      </c>
      <c r="Y87" s="98"/>
      <c r="Z87" s="89" t="s">
        <v>59</v>
      </c>
      <c r="AA87" s="97" t="s">
        <v>324</v>
      </c>
      <c r="AB87" s="89" t="s">
        <v>88</v>
      </c>
      <c r="AC87" s="120"/>
      <c r="AD87" s="89"/>
      <c r="AE87" s="89"/>
      <c r="AF87" s="99"/>
      <c r="AG87" s="99"/>
      <c r="AH87" s="99"/>
      <c r="AI87" s="100" t="s">
        <v>65</v>
      </c>
      <c r="AJ87" s="100" t="s">
        <v>66</v>
      </c>
      <c r="AK87" s="100" t="s">
        <v>65</v>
      </c>
      <c r="AL87" s="45" t="s">
        <v>67</v>
      </c>
      <c r="AM87" s="199" t="str">
        <f t="shared" si="8"/>
        <v>5/2026</v>
      </c>
      <c r="AN87" s="45">
        <f t="shared" si="9"/>
        <v>2</v>
      </c>
      <c r="AO87" s="45" t="str">
        <f t="shared" si="10"/>
        <v>5/2026</v>
      </c>
      <c r="AP87" s="45">
        <f t="shared" si="11"/>
        <v>3</v>
      </c>
      <c r="AQ87" s="45">
        <f t="shared" si="12"/>
        <v>6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47</v>
      </c>
      <c r="B88" s="88">
        <v>46147</v>
      </c>
      <c r="C88" s="89" t="s">
        <v>48</v>
      </c>
      <c r="D88" s="89" t="s">
        <v>49</v>
      </c>
      <c r="E88" s="90">
        <v>792036077</v>
      </c>
      <c r="F88" s="221" t="s">
        <v>325</v>
      </c>
      <c r="G88" s="92">
        <v>29001160824</v>
      </c>
      <c r="H88" s="93">
        <v>15891</v>
      </c>
      <c r="I88" s="89">
        <v>82</v>
      </c>
      <c r="J88" s="89"/>
      <c r="K88" s="89" t="s">
        <v>51</v>
      </c>
      <c r="L88" s="89" t="s">
        <v>52</v>
      </c>
      <c r="M88" s="89"/>
      <c r="N88" s="89" t="s">
        <v>221</v>
      </c>
      <c r="O88" s="94" t="s">
        <v>326</v>
      </c>
      <c r="P88" s="95" t="s">
        <v>55</v>
      </c>
      <c r="Q88" s="145" t="s">
        <v>56</v>
      </c>
      <c r="R88" s="96">
        <v>46153</v>
      </c>
      <c r="S88" s="97"/>
      <c r="T88" s="97" t="s">
        <v>57</v>
      </c>
      <c r="U88" s="97" t="s">
        <v>58</v>
      </c>
      <c r="V88" s="93">
        <v>46153</v>
      </c>
      <c r="W88" s="93" t="s">
        <v>81</v>
      </c>
      <c r="X88" s="93" t="s">
        <v>81</v>
      </c>
      <c r="Y88" s="98"/>
      <c r="Z88" s="89" t="s">
        <v>59</v>
      </c>
      <c r="AA88" s="97">
        <v>46170</v>
      </c>
      <c r="AB88" s="89" t="s">
        <v>60</v>
      </c>
      <c r="AC88" s="120"/>
      <c r="AD88" s="89" t="s">
        <v>61</v>
      </c>
      <c r="AE88" s="89"/>
      <c r="AF88" s="99" t="s">
        <v>327</v>
      </c>
      <c r="AG88" s="99" t="s">
        <v>327</v>
      </c>
      <c r="AH88" s="99" t="s">
        <v>64</v>
      </c>
      <c r="AI88" s="100" t="s">
        <v>65</v>
      </c>
      <c r="AJ88" s="100" t="s">
        <v>66</v>
      </c>
      <c r="AK88" s="100" t="s">
        <v>65</v>
      </c>
      <c r="AL88" s="45" t="s">
        <v>67</v>
      </c>
      <c r="AM88" s="199" t="str">
        <f t="shared" si="8"/>
        <v>5/2026</v>
      </c>
      <c r="AN88" s="45">
        <f t="shared" si="9"/>
        <v>2</v>
      </c>
      <c r="AO88" s="45" t="str">
        <f t="shared" si="10"/>
        <v>5/2026</v>
      </c>
      <c r="AP88" s="45">
        <f t="shared" si="11"/>
        <v>3</v>
      </c>
      <c r="AQ88" s="45">
        <f t="shared" si="12"/>
        <v>6</v>
      </c>
      <c r="AR88" s="45">
        <f t="shared" si="13"/>
        <v>0</v>
      </c>
      <c r="AS88" s="45">
        <f t="shared" si="14"/>
        <v>0</v>
      </c>
      <c r="AT88" s="45">
        <f t="shared" si="15"/>
        <v>17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47</v>
      </c>
      <c r="B89" s="88">
        <v>46147</v>
      </c>
      <c r="C89" s="89" t="s">
        <v>48</v>
      </c>
      <c r="D89" s="89" t="s">
        <v>49</v>
      </c>
      <c r="E89" s="90">
        <v>89881538</v>
      </c>
      <c r="F89" s="221" t="s">
        <v>328</v>
      </c>
      <c r="G89" s="92">
        <v>554355728</v>
      </c>
      <c r="H89" s="93">
        <v>25566</v>
      </c>
      <c r="I89" s="89">
        <v>56</v>
      </c>
      <c r="J89" s="89"/>
      <c r="K89" s="89" t="s">
        <v>85</v>
      </c>
      <c r="L89" s="89" t="s">
        <v>96</v>
      </c>
      <c r="M89" s="89"/>
      <c r="N89" s="89" t="s">
        <v>101</v>
      </c>
      <c r="O89" s="94" t="s">
        <v>329</v>
      </c>
      <c r="P89" s="95" t="s">
        <v>55</v>
      </c>
      <c r="Q89" s="145" t="s">
        <v>56</v>
      </c>
      <c r="R89" s="96">
        <v>46153</v>
      </c>
      <c r="S89" s="97"/>
      <c r="T89" s="97" t="s">
        <v>57</v>
      </c>
      <c r="U89" s="97" t="s">
        <v>58</v>
      </c>
      <c r="V89" s="93">
        <v>46153</v>
      </c>
      <c r="W89" s="93" t="s">
        <v>81</v>
      </c>
      <c r="X89" s="93" t="s">
        <v>81</v>
      </c>
      <c r="Y89" s="98"/>
      <c r="Z89" s="89" t="s">
        <v>59</v>
      </c>
      <c r="AA89" s="97">
        <v>46174</v>
      </c>
      <c r="AB89" s="89" t="s">
        <v>60</v>
      </c>
      <c r="AC89" s="120"/>
      <c r="AD89" s="89" t="s">
        <v>61</v>
      </c>
      <c r="AE89" s="89"/>
      <c r="AF89" s="99" t="s">
        <v>104</v>
      </c>
      <c r="AG89" s="99" t="s">
        <v>104</v>
      </c>
      <c r="AH89" s="99" t="s">
        <v>64</v>
      </c>
      <c r="AI89" s="100" t="s">
        <v>65</v>
      </c>
      <c r="AJ89" s="100" t="s">
        <v>66</v>
      </c>
      <c r="AK89" s="100" t="s">
        <v>65</v>
      </c>
      <c r="AL89" s="45" t="s">
        <v>67</v>
      </c>
      <c r="AM89" s="199" t="str">
        <f t="shared" si="8"/>
        <v>5/2026</v>
      </c>
      <c r="AN89" s="45">
        <f t="shared" si="9"/>
        <v>2</v>
      </c>
      <c r="AO89" s="45" t="str">
        <f t="shared" si="10"/>
        <v>5/2026</v>
      </c>
      <c r="AP89" s="45">
        <f t="shared" si="11"/>
        <v>3</v>
      </c>
      <c r="AQ89" s="45">
        <f t="shared" si="12"/>
        <v>6</v>
      </c>
      <c r="AR89" s="45">
        <f t="shared" si="13"/>
        <v>0</v>
      </c>
      <c r="AS89" s="45">
        <f t="shared" si="14"/>
        <v>0</v>
      </c>
      <c r="AT89" s="45">
        <f t="shared" si="15"/>
        <v>21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47</v>
      </c>
      <c r="B90" s="88">
        <v>46147</v>
      </c>
      <c r="C90" s="89" t="s">
        <v>48</v>
      </c>
      <c r="D90" s="89" t="s">
        <v>49</v>
      </c>
      <c r="E90" s="90">
        <v>869067117</v>
      </c>
      <c r="F90" s="221" t="s">
        <v>330</v>
      </c>
      <c r="G90" s="92">
        <v>53134311968</v>
      </c>
      <c r="H90" s="93">
        <v>23439</v>
      </c>
      <c r="I90" s="89">
        <v>62</v>
      </c>
      <c r="J90" s="89"/>
      <c r="K90" s="89" t="s">
        <v>51</v>
      </c>
      <c r="L90" s="89" t="s">
        <v>52</v>
      </c>
      <c r="M90" s="89"/>
      <c r="N90" s="89" t="s">
        <v>112</v>
      </c>
      <c r="O90" s="94" t="s">
        <v>331</v>
      </c>
      <c r="P90" s="95" t="s">
        <v>55</v>
      </c>
      <c r="Q90" s="145" t="s">
        <v>56</v>
      </c>
      <c r="R90" s="96">
        <v>46153</v>
      </c>
      <c r="S90" s="97"/>
      <c r="T90" s="97" t="s">
        <v>57</v>
      </c>
      <c r="U90" s="97" t="s">
        <v>58</v>
      </c>
      <c r="V90" s="93">
        <v>46153</v>
      </c>
      <c r="W90" s="93" t="s">
        <v>81</v>
      </c>
      <c r="X90" s="93" t="s">
        <v>81</v>
      </c>
      <c r="Y90" s="98"/>
      <c r="Z90" s="89" t="s">
        <v>59</v>
      </c>
      <c r="AA90" s="97">
        <v>46170</v>
      </c>
      <c r="AB90" s="89" t="s">
        <v>60</v>
      </c>
      <c r="AC90" s="120"/>
      <c r="AD90" s="89" t="s">
        <v>61</v>
      </c>
      <c r="AE90" s="89"/>
      <c r="AF90" s="99" t="s">
        <v>161</v>
      </c>
      <c r="AG90" s="99" t="s">
        <v>161</v>
      </c>
      <c r="AH90" s="99" t="s">
        <v>64</v>
      </c>
      <c r="AI90" s="100" t="s">
        <v>65</v>
      </c>
      <c r="AJ90" s="100" t="s">
        <v>66</v>
      </c>
      <c r="AK90" s="100" t="s">
        <v>65</v>
      </c>
      <c r="AL90" s="45" t="s">
        <v>67</v>
      </c>
      <c r="AM90" s="199" t="str">
        <f t="shared" si="8"/>
        <v>5/2026</v>
      </c>
      <c r="AN90" s="45">
        <f t="shared" si="9"/>
        <v>2</v>
      </c>
      <c r="AO90" s="45" t="str">
        <f t="shared" si="10"/>
        <v>5/2026</v>
      </c>
      <c r="AP90" s="45">
        <f t="shared" si="11"/>
        <v>3</v>
      </c>
      <c r="AQ90" s="45">
        <f t="shared" si="12"/>
        <v>6</v>
      </c>
      <c r="AR90" s="45">
        <f t="shared" si="13"/>
        <v>0</v>
      </c>
      <c r="AS90" s="45">
        <f t="shared" si="14"/>
        <v>0</v>
      </c>
      <c r="AT90" s="45">
        <f t="shared" si="15"/>
        <v>17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47</v>
      </c>
      <c r="B91" s="88">
        <v>46147</v>
      </c>
      <c r="C91" s="89" t="s">
        <v>48</v>
      </c>
      <c r="D91" s="89" t="s">
        <v>49</v>
      </c>
      <c r="E91" s="90">
        <v>81917437</v>
      </c>
      <c r="F91" s="221" t="s">
        <v>332</v>
      </c>
      <c r="G91" s="92">
        <v>3260196854</v>
      </c>
      <c r="H91" s="93">
        <v>22325</v>
      </c>
      <c r="I91" s="89">
        <v>65</v>
      </c>
      <c r="J91" s="89"/>
      <c r="K91" s="89" t="s">
        <v>51</v>
      </c>
      <c r="L91" s="89" t="s">
        <v>52</v>
      </c>
      <c r="M91" s="89"/>
      <c r="N91" s="89" t="s">
        <v>116</v>
      </c>
      <c r="O91" s="94" t="s">
        <v>333</v>
      </c>
      <c r="P91" s="95" t="s">
        <v>55</v>
      </c>
      <c r="Q91" s="145" t="s">
        <v>56</v>
      </c>
      <c r="R91" s="96">
        <v>46153</v>
      </c>
      <c r="S91" s="97"/>
      <c r="T91" s="97" t="s">
        <v>57</v>
      </c>
      <c r="U91" s="97" t="s">
        <v>58</v>
      </c>
      <c r="V91" s="93">
        <v>46153</v>
      </c>
      <c r="W91" s="93" t="s">
        <v>81</v>
      </c>
      <c r="X91" s="93" t="s">
        <v>81</v>
      </c>
      <c r="Y91" s="98"/>
      <c r="Z91" s="89" t="s">
        <v>59</v>
      </c>
      <c r="AA91" s="97" t="s">
        <v>324</v>
      </c>
      <c r="AB91" s="89" t="s">
        <v>88</v>
      </c>
      <c r="AC91" s="120"/>
      <c r="AD91" s="89"/>
      <c r="AE91" s="89"/>
      <c r="AF91" s="99"/>
      <c r="AG91" s="99"/>
      <c r="AH91" s="99"/>
      <c r="AI91" s="100" t="s">
        <v>65</v>
      </c>
      <c r="AJ91" s="100" t="s">
        <v>66</v>
      </c>
      <c r="AK91" s="100" t="s">
        <v>65</v>
      </c>
      <c r="AL91" s="45" t="s">
        <v>67</v>
      </c>
      <c r="AM91" s="199" t="str">
        <f t="shared" si="8"/>
        <v>5/2026</v>
      </c>
      <c r="AN91" s="45">
        <f t="shared" si="9"/>
        <v>2</v>
      </c>
      <c r="AO91" s="45" t="str">
        <f t="shared" si="10"/>
        <v>5/2026</v>
      </c>
      <c r="AP91" s="45">
        <f t="shared" si="11"/>
        <v>3</v>
      </c>
      <c r="AQ91" s="45">
        <f t="shared" si="12"/>
        <v>6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47</v>
      </c>
      <c r="B92" s="88">
        <v>46147</v>
      </c>
      <c r="C92" s="89" t="s">
        <v>48</v>
      </c>
      <c r="D92" s="89" t="s">
        <v>49</v>
      </c>
      <c r="E92" s="90">
        <v>71604080</v>
      </c>
      <c r="F92" s="221" t="s">
        <v>334</v>
      </c>
      <c r="G92" s="92">
        <v>12531722858</v>
      </c>
      <c r="H92" s="93">
        <v>25731</v>
      </c>
      <c r="I92" s="89">
        <v>55</v>
      </c>
      <c r="J92" s="89"/>
      <c r="K92" s="89" t="s">
        <v>51</v>
      </c>
      <c r="L92" s="89" t="s">
        <v>52</v>
      </c>
      <c r="M92" s="89"/>
      <c r="N92" s="89" t="s">
        <v>109</v>
      </c>
      <c r="O92" s="94" t="s">
        <v>335</v>
      </c>
      <c r="P92" s="95" t="s">
        <v>55</v>
      </c>
      <c r="Q92" s="145" t="s">
        <v>56</v>
      </c>
      <c r="R92" s="96">
        <v>46153</v>
      </c>
      <c r="S92" s="97"/>
      <c r="T92" s="97" t="s">
        <v>57</v>
      </c>
      <c r="U92" s="97" t="s">
        <v>58</v>
      </c>
      <c r="V92" s="93">
        <v>46153</v>
      </c>
      <c r="W92" s="93" t="s">
        <v>81</v>
      </c>
      <c r="X92" s="93" t="s">
        <v>81</v>
      </c>
      <c r="Y92" s="98"/>
      <c r="Z92" s="89" t="s">
        <v>59</v>
      </c>
      <c r="AA92" s="97">
        <v>46170</v>
      </c>
      <c r="AB92" s="89" t="s">
        <v>88</v>
      </c>
      <c r="AC92" s="120">
        <v>46179</v>
      </c>
      <c r="AD92" s="89"/>
      <c r="AE92" s="89"/>
      <c r="AF92" s="99"/>
      <c r="AG92" s="99"/>
      <c r="AH92" s="99"/>
      <c r="AI92" s="100" t="s">
        <v>65</v>
      </c>
      <c r="AJ92" s="100" t="s">
        <v>66</v>
      </c>
      <c r="AK92" s="100" t="s">
        <v>65</v>
      </c>
      <c r="AL92" s="45" t="s">
        <v>67</v>
      </c>
      <c r="AM92" s="199" t="str">
        <f t="shared" si="8"/>
        <v>5/2026</v>
      </c>
      <c r="AN92" s="45">
        <f t="shared" si="9"/>
        <v>2</v>
      </c>
      <c r="AO92" s="45" t="str">
        <f t="shared" si="10"/>
        <v>5/2026</v>
      </c>
      <c r="AP92" s="45">
        <f t="shared" si="11"/>
        <v>3</v>
      </c>
      <c r="AQ92" s="45">
        <f t="shared" si="12"/>
        <v>6</v>
      </c>
      <c r="AR92" s="45">
        <f t="shared" si="13"/>
        <v>0</v>
      </c>
      <c r="AS92" s="45">
        <f t="shared" si="14"/>
        <v>0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47</v>
      </c>
      <c r="B93" s="88">
        <v>46147</v>
      </c>
      <c r="C93" s="89" t="s">
        <v>48</v>
      </c>
      <c r="D93" s="89" t="s">
        <v>49</v>
      </c>
      <c r="E93" s="90">
        <v>744281768</v>
      </c>
      <c r="F93" s="221" t="s">
        <v>336</v>
      </c>
      <c r="G93" s="92">
        <v>58115994715</v>
      </c>
      <c r="H93" s="93">
        <v>20292</v>
      </c>
      <c r="I93" s="89">
        <v>70</v>
      </c>
      <c r="J93" s="89"/>
      <c r="K93" s="89" t="s">
        <v>85</v>
      </c>
      <c r="L93" s="89" t="s">
        <v>86</v>
      </c>
      <c r="M93" s="89"/>
      <c r="N93" s="89" t="s">
        <v>268</v>
      </c>
      <c r="O93" s="94" t="s">
        <v>337</v>
      </c>
      <c r="P93" s="95" t="s">
        <v>55</v>
      </c>
      <c r="Q93" s="145" t="s">
        <v>56</v>
      </c>
      <c r="R93" s="96">
        <v>46153</v>
      </c>
      <c r="S93" s="97"/>
      <c r="T93" s="97" t="s">
        <v>57</v>
      </c>
      <c r="U93" s="97" t="s">
        <v>58</v>
      </c>
      <c r="V93" s="93">
        <v>46153</v>
      </c>
      <c r="W93" s="93" t="s">
        <v>81</v>
      </c>
      <c r="X93" s="93" t="s">
        <v>81</v>
      </c>
      <c r="Y93" s="98"/>
      <c r="Z93" s="89" t="s">
        <v>59</v>
      </c>
      <c r="AA93" s="97" t="s">
        <v>338</v>
      </c>
      <c r="AB93" s="89" t="s">
        <v>88</v>
      </c>
      <c r="AC93" s="120"/>
      <c r="AD93" s="89"/>
      <c r="AE93" s="89"/>
      <c r="AF93" s="99"/>
      <c r="AG93" s="99"/>
      <c r="AH93" s="99"/>
      <c r="AI93" s="100" t="s">
        <v>65</v>
      </c>
      <c r="AJ93" s="100" t="s">
        <v>66</v>
      </c>
      <c r="AK93" s="100" t="s">
        <v>65</v>
      </c>
      <c r="AL93" s="45" t="s">
        <v>67</v>
      </c>
      <c r="AM93" s="199" t="str">
        <f t="shared" si="8"/>
        <v>5/2026</v>
      </c>
      <c r="AN93" s="45">
        <f t="shared" si="9"/>
        <v>2</v>
      </c>
      <c r="AO93" s="45" t="str">
        <f t="shared" si="10"/>
        <v>5/2026</v>
      </c>
      <c r="AP93" s="45">
        <f t="shared" si="11"/>
        <v>3</v>
      </c>
      <c r="AQ93" s="45">
        <f t="shared" si="12"/>
        <v>6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47</v>
      </c>
      <c r="B94" s="88">
        <v>46147</v>
      </c>
      <c r="C94" s="89" t="s">
        <v>48</v>
      </c>
      <c r="D94" s="89" t="s">
        <v>49</v>
      </c>
      <c r="E94" s="90">
        <v>79540330</v>
      </c>
      <c r="F94" s="221" t="s">
        <v>339</v>
      </c>
      <c r="G94" s="92">
        <v>15167238803</v>
      </c>
      <c r="H94" s="93">
        <v>18416</v>
      </c>
      <c r="I94" s="89">
        <v>75</v>
      </c>
      <c r="J94" s="89"/>
      <c r="K94" s="89" t="s">
        <v>51</v>
      </c>
      <c r="L94" s="89" t="s">
        <v>52</v>
      </c>
      <c r="M94" s="89"/>
      <c r="N94" s="89" t="s">
        <v>116</v>
      </c>
      <c r="O94" s="94" t="s">
        <v>340</v>
      </c>
      <c r="P94" s="95" t="s">
        <v>55</v>
      </c>
      <c r="Q94" s="145" t="s">
        <v>56</v>
      </c>
      <c r="R94" s="96">
        <v>46153</v>
      </c>
      <c r="S94" s="97"/>
      <c r="T94" s="97" t="s">
        <v>57</v>
      </c>
      <c r="U94" s="97" t="s">
        <v>58</v>
      </c>
      <c r="V94" s="93">
        <v>46153</v>
      </c>
      <c r="W94" s="93" t="s">
        <v>81</v>
      </c>
      <c r="X94" s="93" t="s">
        <v>81</v>
      </c>
      <c r="Y94" s="98"/>
      <c r="Z94" s="89" t="s">
        <v>59</v>
      </c>
      <c r="AA94" s="97">
        <v>46170</v>
      </c>
      <c r="AB94" s="89" t="s">
        <v>88</v>
      </c>
      <c r="AC94" s="120">
        <v>46179</v>
      </c>
      <c r="AD94" s="89"/>
      <c r="AE94" s="89"/>
      <c r="AF94" s="99"/>
      <c r="AG94" s="99"/>
      <c r="AH94" s="99"/>
      <c r="AI94" s="100" t="s">
        <v>65</v>
      </c>
      <c r="AJ94" s="100" t="s">
        <v>66</v>
      </c>
      <c r="AK94" s="100" t="s">
        <v>65</v>
      </c>
      <c r="AL94" s="45" t="s">
        <v>67</v>
      </c>
      <c r="AM94" s="199" t="str">
        <f t="shared" si="8"/>
        <v>5/2026</v>
      </c>
      <c r="AN94" s="45">
        <f t="shared" si="9"/>
        <v>2</v>
      </c>
      <c r="AO94" s="45" t="str">
        <f t="shared" si="10"/>
        <v>5/2026</v>
      </c>
      <c r="AP94" s="45">
        <f t="shared" si="11"/>
        <v>3</v>
      </c>
      <c r="AQ94" s="45">
        <f t="shared" si="12"/>
        <v>6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47</v>
      </c>
      <c r="B95" s="88">
        <v>46147</v>
      </c>
      <c r="C95" s="89" t="s">
        <v>48</v>
      </c>
      <c r="D95" s="89" t="s">
        <v>49</v>
      </c>
      <c r="E95" s="90">
        <v>86522598</v>
      </c>
      <c r="F95" s="221" t="s">
        <v>341</v>
      </c>
      <c r="G95" s="92">
        <v>24542389855</v>
      </c>
      <c r="H95" s="93">
        <v>28222</v>
      </c>
      <c r="I95" s="89">
        <v>49</v>
      </c>
      <c r="J95" s="89"/>
      <c r="K95" s="89" t="s">
        <v>51</v>
      </c>
      <c r="L95" s="89" t="s">
        <v>52</v>
      </c>
      <c r="M95" s="89"/>
      <c r="N95" s="89" t="s">
        <v>123</v>
      </c>
      <c r="O95" s="94" t="s">
        <v>342</v>
      </c>
      <c r="P95" s="95" t="s">
        <v>55</v>
      </c>
      <c r="Q95" s="145" t="s">
        <v>56</v>
      </c>
      <c r="R95" s="96">
        <v>46153</v>
      </c>
      <c r="S95" s="97"/>
      <c r="T95" s="97" t="s">
        <v>57</v>
      </c>
      <c r="U95" s="97" t="s">
        <v>58</v>
      </c>
      <c r="V95" s="93">
        <v>46153</v>
      </c>
      <c r="W95" s="93" t="s">
        <v>81</v>
      </c>
      <c r="X95" s="93" t="s">
        <v>81</v>
      </c>
      <c r="Y95" s="98"/>
      <c r="Z95" s="89" t="s">
        <v>59</v>
      </c>
      <c r="AA95" s="97" t="s">
        <v>343</v>
      </c>
      <c r="AB95" s="89" t="s">
        <v>60</v>
      </c>
      <c r="AC95" s="120"/>
      <c r="AD95" s="89" t="s">
        <v>61</v>
      </c>
      <c r="AE95" s="89"/>
      <c r="AF95" s="99" t="s">
        <v>344</v>
      </c>
      <c r="AG95" s="99" t="s">
        <v>344</v>
      </c>
      <c r="AH95" s="99" t="s">
        <v>83</v>
      </c>
      <c r="AI95" s="100" t="s">
        <v>65</v>
      </c>
      <c r="AJ95" s="100" t="s">
        <v>66</v>
      </c>
      <c r="AK95" s="100" t="s">
        <v>65</v>
      </c>
      <c r="AL95" s="45" t="s">
        <v>67</v>
      </c>
      <c r="AM95" s="199" t="str">
        <f t="shared" si="8"/>
        <v>5/2026</v>
      </c>
      <c r="AN95" s="45">
        <f t="shared" si="9"/>
        <v>2</v>
      </c>
      <c r="AO95" s="45" t="str">
        <f t="shared" si="10"/>
        <v>5/2026</v>
      </c>
      <c r="AP95" s="45">
        <f t="shared" si="11"/>
        <v>3</v>
      </c>
      <c r="AQ95" s="45">
        <f t="shared" si="12"/>
        <v>6</v>
      </c>
      <c r="AR95" s="45">
        <f t="shared" si="13"/>
        <v>0</v>
      </c>
      <c r="AS95" s="45">
        <f t="shared" si="14"/>
        <v>0</v>
      </c>
      <c r="AT95" s="45">
        <f t="shared" si="15"/>
        <v>10.611111111109494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47</v>
      </c>
      <c r="B96" s="88">
        <v>46147</v>
      </c>
      <c r="C96" s="89" t="s">
        <v>48</v>
      </c>
      <c r="D96" s="89" t="s">
        <v>49</v>
      </c>
      <c r="E96" s="90">
        <v>593966759</v>
      </c>
      <c r="F96" s="221" t="s">
        <v>345</v>
      </c>
      <c r="G96" s="92">
        <v>29610682820</v>
      </c>
      <c r="H96" s="93">
        <v>29623</v>
      </c>
      <c r="I96" s="89">
        <v>45</v>
      </c>
      <c r="J96" s="89"/>
      <c r="K96" s="89" t="s">
        <v>51</v>
      </c>
      <c r="L96" s="89" t="s">
        <v>165</v>
      </c>
      <c r="M96" s="89"/>
      <c r="N96" s="89" t="s">
        <v>109</v>
      </c>
      <c r="O96" s="94" t="s">
        <v>346</v>
      </c>
      <c r="P96" s="95" t="s">
        <v>55</v>
      </c>
      <c r="Q96" s="145" t="s">
        <v>56</v>
      </c>
      <c r="R96" s="96">
        <v>46153</v>
      </c>
      <c r="S96" s="97"/>
      <c r="T96" s="97" t="s">
        <v>57</v>
      </c>
      <c r="U96" s="97" t="s">
        <v>58</v>
      </c>
      <c r="V96" s="93">
        <v>46153</v>
      </c>
      <c r="W96" s="93" t="s">
        <v>81</v>
      </c>
      <c r="X96" s="93" t="s">
        <v>81</v>
      </c>
      <c r="Y96" s="98"/>
      <c r="Z96" s="89" t="s">
        <v>59</v>
      </c>
      <c r="AA96" s="97">
        <v>46170</v>
      </c>
      <c r="AB96" s="89" t="s">
        <v>60</v>
      </c>
      <c r="AC96" s="120"/>
      <c r="AD96" s="89" t="s">
        <v>61</v>
      </c>
      <c r="AE96" s="89"/>
      <c r="AF96" s="99" t="s">
        <v>161</v>
      </c>
      <c r="AG96" s="99" t="s">
        <v>161</v>
      </c>
      <c r="AH96" s="99" t="s">
        <v>64</v>
      </c>
      <c r="AI96" s="100" t="s">
        <v>65</v>
      </c>
      <c r="AJ96" s="100" t="s">
        <v>66</v>
      </c>
      <c r="AK96" s="100" t="s">
        <v>65</v>
      </c>
      <c r="AL96" s="45" t="s">
        <v>67</v>
      </c>
      <c r="AM96" s="199" t="str">
        <f t="shared" si="8"/>
        <v>5/2026</v>
      </c>
      <c r="AN96" s="45">
        <f t="shared" si="9"/>
        <v>2</v>
      </c>
      <c r="AO96" s="45" t="str">
        <f t="shared" si="10"/>
        <v>5/2026</v>
      </c>
      <c r="AP96" s="45">
        <f t="shared" si="11"/>
        <v>3</v>
      </c>
      <c r="AQ96" s="45">
        <f t="shared" si="12"/>
        <v>6</v>
      </c>
      <c r="AR96" s="45">
        <f t="shared" si="13"/>
        <v>0</v>
      </c>
      <c r="AS96" s="45">
        <f t="shared" si="14"/>
        <v>0</v>
      </c>
      <c r="AT96" s="45">
        <f t="shared" si="15"/>
        <v>17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47</v>
      </c>
      <c r="B97" s="88">
        <v>46147</v>
      </c>
      <c r="C97" s="89" t="s">
        <v>48</v>
      </c>
      <c r="D97" s="89" t="s">
        <v>49</v>
      </c>
      <c r="E97" s="90">
        <v>89840826</v>
      </c>
      <c r="F97" s="221" t="s">
        <v>347</v>
      </c>
      <c r="G97" s="92">
        <v>28745933898</v>
      </c>
      <c r="H97" s="93">
        <v>29006</v>
      </c>
      <c r="I97" s="89">
        <v>46</v>
      </c>
      <c r="J97" s="89"/>
      <c r="K97" s="89" t="s">
        <v>51</v>
      </c>
      <c r="L97" s="89" t="s">
        <v>52</v>
      </c>
      <c r="M97" s="89"/>
      <c r="N97" s="89" t="s">
        <v>90</v>
      </c>
      <c r="O97" s="94" t="s">
        <v>348</v>
      </c>
      <c r="P97" s="95" t="s">
        <v>55</v>
      </c>
      <c r="Q97" s="145" t="s">
        <v>56</v>
      </c>
      <c r="R97" s="96">
        <v>46153</v>
      </c>
      <c r="S97" s="97"/>
      <c r="T97" s="97" t="s">
        <v>57</v>
      </c>
      <c r="U97" s="97" t="s">
        <v>58</v>
      </c>
      <c r="V97" s="93">
        <v>46153</v>
      </c>
      <c r="W97" s="93" t="s">
        <v>81</v>
      </c>
      <c r="X97" s="93" t="s">
        <v>81</v>
      </c>
      <c r="Y97" s="98"/>
      <c r="Z97" s="89" t="s">
        <v>59</v>
      </c>
      <c r="AA97" s="97">
        <v>46170</v>
      </c>
      <c r="AB97" s="89" t="s">
        <v>60</v>
      </c>
      <c r="AC97" s="120"/>
      <c r="AD97" s="89" t="s">
        <v>61</v>
      </c>
      <c r="AE97" s="89"/>
      <c r="AF97" s="99" t="s">
        <v>161</v>
      </c>
      <c r="AG97" s="99" t="s">
        <v>161</v>
      </c>
      <c r="AH97" s="99" t="s">
        <v>64</v>
      </c>
      <c r="AI97" s="100" t="s">
        <v>65</v>
      </c>
      <c r="AJ97" s="100" t="s">
        <v>66</v>
      </c>
      <c r="AK97" s="100" t="s">
        <v>65</v>
      </c>
      <c r="AL97" s="45" t="s">
        <v>67</v>
      </c>
      <c r="AM97" s="199" t="str">
        <f t="shared" si="8"/>
        <v>5/2026</v>
      </c>
      <c r="AN97" s="45">
        <f t="shared" si="9"/>
        <v>2</v>
      </c>
      <c r="AO97" s="45" t="str">
        <f t="shared" si="10"/>
        <v>5/2026</v>
      </c>
      <c r="AP97" s="45">
        <f t="shared" si="11"/>
        <v>3</v>
      </c>
      <c r="AQ97" s="45">
        <f t="shared" si="12"/>
        <v>6</v>
      </c>
      <c r="AR97" s="45">
        <f t="shared" si="13"/>
        <v>0</v>
      </c>
      <c r="AS97" s="45">
        <f t="shared" si="14"/>
        <v>0</v>
      </c>
      <c r="AT97" s="45">
        <f t="shared" si="15"/>
        <v>17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47</v>
      </c>
      <c r="B98" s="88">
        <v>46147</v>
      </c>
      <c r="C98" s="89" t="s">
        <v>48</v>
      </c>
      <c r="D98" s="89" t="s">
        <v>49</v>
      </c>
      <c r="E98" s="90">
        <v>754205533</v>
      </c>
      <c r="F98" s="221" t="s">
        <v>349</v>
      </c>
      <c r="G98" s="92">
        <v>5565797713</v>
      </c>
      <c r="H98" s="93">
        <v>29962</v>
      </c>
      <c r="I98" s="89">
        <v>44</v>
      </c>
      <c r="J98" s="89"/>
      <c r="K98" s="89" t="s">
        <v>85</v>
      </c>
      <c r="L98" s="89" t="s">
        <v>96</v>
      </c>
      <c r="M98" s="89"/>
      <c r="N98" s="89" t="s">
        <v>268</v>
      </c>
      <c r="O98" s="94" t="s">
        <v>350</v>
      </c>
      <c r="P98" s="95" t="s">
        <v>55</v>
      </c>
      <c r="Q98" s="145" t="s">
        <v>56</v>
      </c>
      <c r="R98" s="96">
        <v>46153</v>
      </c>
      <c r="S98" s="97"/>
      <c r="T98" s="97" t="s">
        <v>57</v>
      </c>
      <c r="U98" s="97" t="s">
        <v>58</v>
      </c>
      <c r="V98" s="93">
        <v>46153</v>
      </c>
      <c r="W98" s="93" t="s">
        <v>81</v>
      </c>
      <c r="X98" s="93" t="s">
        <v>81</v>
      </c>
      <c r="Y98" s="98"/>
      <c r="Z98" s="89" t="s">
        <v>59</v>
      </c>
      <c r="AA98" s="97" t="s">
        <v>351</v>
      </c>
      <c r="AB98" s="89" t="s">
        <v>60</v>
      </c>
      <c r="AC98" s="120"/>
      <c r="AD98" s="89" t="s">
        <v>61</v>
      </c>
      <c r="AE98" s="89"/>
      <c r="AF98" s="99" t="s">
        <v>352</v>
      </c>
      <c r="AG98" s="99" t="s">
        <v>352</v>
      </c>
      <c r="AH98" s="99" t="s">
        <v>83</v>
      </c>
      <c r="AI98" s="100" t="s">
        <v>65</v>
      </c>
      <c r="AJ98" s="100" t="s">
        <v>66</v>
      </c>
      <c r="AK98" s="100" t="s">
        <v>65</v>
      </c>
      <c r="AL98" s="45" t="s">
        <v>67</v>
      </c>
      <c r="AM98" s="199" t="str">
        <f t="shared" si="8"/>
        <v>5/2026</v>
      </c>
      <c r="AN98" s="45">
        <f t="shared" si="9"/>
        <v>2</v>
      </c>
      <c r="AO98" s="45" t="str">
        <f t="shared" si="10"/>
        <v>5/2026</v>
      </c>
      <c r="AP98" s="45">
        <f t="shared" si="11"/>
        <v>3</v>
      </c>
      <c r="AQ98" s="45">
        <f t="shared" si="12"/>
        <v>6</v>
      </c>
      <c r="AR98" s="45">
        <f t="shared" si="13"/>
        <v>0</v>
      </c>
      <c r="AS98" s="45">
        <f t="shared" si="14"/>
        <v>0</v>
      </c>
      <c r="AT98" s="45">
        <f t="shared" si="15"/>
        <v>8.4583333333357587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47</v>
      </c>
      <c r="B99" s="88">
        <v>46147</v>
      </c>
      <c r="C99" s="89" t="s">
        <v>48</v>
      </c>
      <c r="D99" s="89" t="s">
        <v>49</v>
      </c>
      <c r="E99" s="90">
        <v>84190265</v>
      </c>
      <c r="F99" s="221" t="s">
        <v>353</v>
      </c>
      <c r="G99" s="92">
        <v>33130405860</v>
      </c>
      <c r="H99" s="93">
        <v>30671</v>
      </c>
      <c r="I99" s="89">
        <v>42</v>
      </c>
      <c r="J99" s="89"/>
      <c r="K99" s="89" t="s">
        <v>51</v>
      </c>
      <c r="L99" s="89" t="s">
        <v>52</v>
      </c>
      <c r="M99" s="89"/>
      <c r="N99" s="89" t="s">
        <v>90</v>
      </c>
      <c r="O99" s="94" t="s">
        <v>354</v>
      </c>
      <c r="P99" s="95" t="s">
        <v>55</v>
      </c>
      <c r="Q99" s="145" t="s">
        <v>56</v>
      </c>
      <c r="R99" s="96">
        <v>46153</v>
      </c>
      <c r="S99" s="97"/>
      <c r="T99" s="97" t="s">
        <v>57</v>
      </c>
      <c r="U99" s="97" t="s">
        <v>58</v>
      </c>
      <c r="V99" s="93">
        <v>46153</v>
      </c>
      <c r="W99" s="93" t="s">
        <v>81</v>
      </c>
      <c r="X99" s="93" t="s">
        <v>81</v>
      </c>
      <c r="Y99" s="98"/>
      <c r="Z99" s="89" t="s">
        <v>59</v>
      </c>
      <c r="AA99" s="97" t="s">
        <v>343</v>
      </c>
      <c r="AB99" s="89" t="s">
        <v>88</v>
      </c>
      <c r="AC99" s="120"/>
      <c r="AD99" s="89"/>
      <c r="AE99" s="89"/>
      <c r="AF99" s="99"/>
      <c r="AG99" s="99"/>
      <c r="AH99" s="99"/>
      <c r="AI99" s="100" t="s">
        <v>65</v>
      </c>
      <c r="AJ99" s="100" t="s">
        <v>66</v>
      </c>
      <c r="AK99" s="100" t="s">
        <v>65</v>
      </c>
      <c r="AL99" s="45" t="s">
        <v>67</v>
      </c>
      <c r="AM99" s="199" t="str">
        <f t="shared" si="8"/>
        <v>5/2026</v>
      </c>
      <c r="AN99" s="45">
        <f t="shared" si="9"/>
        <v>2</v>
      </c>
      <c r="AO99" s="45" t="str">
        <f t="shared" si="10"/>
        <v>5/2026</v>
      </c>
      <c r="AP99" s="45">
        <f t="shared" si="11"/>
        <v>3</v>
      </c>
      <c r="AQ99" s="45">
        <f t="shared" si="12"/>
        <v>6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73554347</v>
      </c>
      <c r="F100" s="221" t="s">
        <v>355</v>
      </c>
      <c r="G100" s="92">
        <v>29147733829</v>
      </c>
      <c r="H100" s="93">
        <v>15604</v>
      </c>
      <c r="I100" s="89">
        <v>83</v>
      </c>
      <c r="J100" s="89"/>
      <c r="K100" s="89" t="s">
        <v>51</v>
      </c>
      <c r="L100" s="89" t="s">
        <v>52</v>
      </c>
      <c r="M100" s="89"/>
      <c r="N100" s="89" t="s">
        <v>109</v>
      </c>
      <c r="O100" s="94" t="s">
        <v>356</v>
      </c>
      <c r="P100" s="95" t="s">
        <v>55</v>
      </c>
      <c r="Q100" s="145" t="s">
        <v>56</v>
      </c>
      <c r="R100" s="96">
        <v>46153</v>
      </c>
      <c r="S100" s="97"/>
      <c r="T100" s="97" t="s">
        <v>57</v>
      </c>
      <c r="U100" s="97" t="s">
        <v>58</v>
      </c>
      <c r="V100" s="93">
        <v>46153</v>
      </c>
      <c r="W100" s="93" t="s">
        <v>81</v>
      </c>
      <c r="X100" s="93" t="s">
        <v>81</v>
      </c>
      <c r="Y100" s="98"/>
      <c r="Z100" s="89" t="s">
        <v>59</v>
      </c>
      <c r="AA100" s="97">
        <v>46174</v>
      </c>
      <c r="AB100" s="89" t="s">
        <v>60</v>
      </c>
      <c r="AC100" s="120"/>
      <c r="AD100" s="89" t="s">
        <v>78</v>
      </c>
      <c r="AE100" s="89"/>
      <c r="AF100" s="99" t="s">
        <v>160</v>
      </c>
      <c r="AG100" s="99" t="s">
        <v>160</v>
      </c>
      <c r="AH100" s="99" t="s">
        <v>64</v>
      </c>
      <c r="AI100" s="100" t="s">
        <v>65</v>
      </c>
      <c r="AJ100" s="100" t="s">
        <v>66</v>
      </c>
      <c r="AK100" s="100" t="s">
        <v>65</v>
      </c>
      <c r="AL100" s="45" t="s">
        <v>67</v>
      </c>
      <c r="AM100" s="199" t="str">
        <f t="shared" si="8"/>
        <v>5/2026</v>
      </c>
      <c r="AN100" s="45">
        <f t="shared" si="9"/>
        <v>2</v>
      </c>
      <c r="AO100" s="45" t="str">
        <f t="shared" si="10"/>
        <v>5/2026</v>
      </c>
      <c r="AP100" s="45">
        <f t="shared" si="11"/>
        <v>3</v>
      </c>
      <c r="AQ100" s="45">
        <f t="shared" si="12"/>
        <v>6</v>
      </c>
      <c r="AR100" s="45">
        <f t="shared" si="13"/>
        <v>0</v>
      </c>
      <c r="AS100" s="45">
        <f t="shared" si="14"/>
        <v>0</v>
      </c>
      <c r="AT100" s="45">
        <f t="shared" si="15"/>
        <v>21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811362809</v>
      </c>
      <c r="F101" s="221" t="s">
        <v>357</v>
      </c>
      <c r="G101" s="92">
        <v>27226145880</v>
      </c>
      <c r="H101" s="93">
        <v>18996</v>
      </c>
      <c r="I101" s="89">
        <v>74</v>
      </c>
      <c r="J101" s="89"/>
      <c r="K101" s="89" t="s">
        <v>51</v>
      </c>
      <c r="L101" s="89" t="s">
        <v>52</v>
      </c>
      <c r="M101" s="89"/>
      <c r="N101" s="89" t="s">
        <v>221</v>
      </c>
      <c r="O101" s="94" t="s">
        <v>358</v>
      </c>
      <c r="P101" s="95" t="s">
        <v>55</v>
      </c>
      <c r="Q101" s="145" t="s">
        <v>56</v>
      </c>
      <c r="R101" s="96">
        <v>46153</v>
      </c>
      <c r="S101" s="97"/>
      <c r="T101" s="97" t="s">
        <v>57</v>
      </c>
      <c r="U101" s="97" t="s">
        <v>58</v>
      </c>
      <c r="V101" s="93">
        <v>46153</v>
      </c>
      <c r="W101" s="93" t="s">
        <v>81</v>
      </c>
      <c r="X101" s="93" t="s">
        <v>81</v>
      </c>
      <c r="Y101" s="98"/>
      <c r="Z101" s="89" t="s">
        <v>59</v>
      </c>
      <c r="AA101" s="97">
        <v>46170</v>
      </c>
      <c r="AB101" s="89" t="s">
        <v>88</v>
      </c>
      <c r="AC101" s="120">
        <v>46183</v>
      </c>
      <c r="AD101" s="89"/>
      <c r="AE101" s="89"/>
      <c r="AF101" s="99"/>
      <c r="AG101" s="99"/>
      <c r="AH101" s="99"/>
      <c r="AI101" s="100" t="s">
        <v>65</v>
      </c>
      <c r="AJ101" s="100" t="s">
        <v>66</v>
      </c>
      <c r="AK101" s="100" t="s">
        <v>65</v>
      </c>
      <c r="AL101" s="45" t="s">
        <v>67</v>
      </c>
      <c r="AM101" s="199" t="str">
        <f t="shared" si="8"/>
        <v>5/2026</v>
      </c>
      <c r="AN101" s="45">
        <f t="shared" si="9"/>
        <v>2</v>
      </c>
      <c r="AO101" s="45" t="str">
        <f t="shared" si="10"/>
        <v>5/2026</v>
      </c>
      <c r="AP101" s="45">
        <f t="shared" si="11"/>
        <v>3</v>
      </c>
      <c r="AQ101" s="45">
        <f t="shared" si="12"/>
        <v>6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81041429</v>
      </c>
      <c r="F102" s="221" t="s">
        <v>359</v>
      </c>
      <c r="G102" s="92">
        <v>9529274890</v>
      </c>
      <c r="H102" s="93">
        <v>25374</v>
      </c>
      <c r="I102" s="89">
        <v>56</v>
      </c>
      <c r="J102" s="89"/>
      <c r="K102" s="89" t="s">
        <v>51</v>
      </c>
      <c r="L102" s="89" t="s">
        <v>165</v>
      </c>
      <c r="M102" s="89"/>
      <c r="N102" s="89" t="s">
        <v>53</v>
      </c>
      <c r="O102" s="94" t="s">
        <v>360</v>
      </c>
      <c r="P102" s="95" t="s">
        <v>55</v>
      </c>
      <c r="Q102" s="145" t="s">
        <v>56</v>
      </c>
      <c r="R102" s="96">
        <v>46153</v>
      </c>
      <c r="S102" s="97"/>
      <c r="T102" s="97" t="s">
        <v>57</v>
      </c>
      <c r="U102" s="97" t="s">
        <v>58</v>
      </c>
      <c r="V102" s="93">
        <v>46153</v>
      </c>
      <c r="W102" s="93" t="s">
        <v>81</v>
      </c>
      <c r="X102" s="93" t="s">
        <v>81</v>
      </c>
      <c r="Y102" s="98"/>
      <c r="Z102" s="89" t="s">
        <v>59</v>
      </c>
      <c r="AA102" s="97" t="s">
        <v>351</v>
      </c>
      <c r="AB102" s="89" t="s">
        <v>88</v>
      </c>
      <c r="AC102" s="120">
        <v>46176</v>
      </c>
      <c r="AD102" s="89"/>
      <c r="AE102" s="89"/>
      <c r="AF102" s="99"/>
      <c r="AG102" s="99"/>
      <c r="AH102" s="99"/>
      <c r="AI102" s="100" t="s">
        <v>65</v>
      </c>
      <c r="AJ102" s="100" t="s">
        <v>66</v>
      </c>
      <c r="AK102" s="100" t="s">
        <v>65</v>
      </c>
      <c r="AL102" s="45" t="s">
        <v>67</v>
      </c>
      <c r="AM102" s="199" t="str">
        <f t="shared" si="8"/>
        <v>5/2026</v>
      </c>
      <c r="AN102" s="45">
        <f t="shared" si="9"/>
        <v>2</v>
      </c>
      <c r="AO102" s="45" t="str">
        <f t="shared" si="10"/>
        <v>5/2026</v>
      </c>
      <c r="AP102" s="45">
        <f t="shared" si="11"/>
        <v>3</v>
      </c>
      <c r="AQ102" s="45">
        <f t="shared" si="12"/>
        <v>6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452331064</v>
      </c>
      <c r="F103" s="221" t="s">
        <v>361</v>
      </c>
      <c r="G103" s="92">
        <v>14313486860</v>
      </c>
      <c r="H103" s="93">
        <v>26628</v>
      </c>
      <c r="I103" s="89">
        <v>53</v>
      </c>
      <c r="J103" s="89"/>
      <c r="K103" s="89" t="s">
        <v>51</v>
      </c>
      <c r="L103" s="89" t="s">
        <v>52</v>
      </c>
      <c r="M103" s="89"/>
      <c r="N103" s="89" t="s">
        <v>112</v>
      </c>
      <c r="O103" s="94" t="s">
        <v>362</v>
      </c>
      <c r="P103" s="95" t="s">
        <v>55</v>
      </c>
      <c r="Q103" s="145" t="s">
        <v>56</v>
      </c>
      <c r="R103" s="96">
        <v>46153</v>
      </c>
      <c r="S103" s="97"/>
      <c r="T103" s="97" t="s">
        <v>57</v>
      </c>
      <c r="U103" s="97" t="s">
        <v>58</v>
      </c>
      <c r="V103" s="93">
        <v>46153</v>
      </c>
      <c r="W103" s="93" t="s">
        <v>81</v>
      </c>
      <c r="X103" s="93" t="s">
        <v>81</v>
      </c>
      <c r="Y103" s="98"/>
      <c r="Z103" s="89" t="s">
        <v>59</v>
      </c>
      <c r="AA103" s="97" t="s">
        <v>363</v>
      </c>
      <c r="AB103" s="89" t="s">
        <v>60</v>
      </c>
      <c r="AC103" s="120"/>
      <c r="AD103" s="89" t="s">
        <v>61</v>
      </c>
      <c r="AE103" s="89"/>
      <c r="AF103" s="99" t="s">
        <v>73</v>
      </c>
      <c r="AG103" s="99" t="s">
        <v>73</v>
      </c>
      <c r="AH103" s="99" t="s">
        <v>64</v>
      </c>
      <c r="AI103" s="100" t="s">
        <v>65</v>
      </c>
      <c r="AJ103" s="100" t="s">
        <v>66</v>
      </c>
      <c r="AK103" s="100" t="s">
        <v>65</v>
      </c>
      <c r="AL103" s="45" t="s">
        <v>67</v>
      </c>
      <c r="AM103" s="199" t="str">
        <f t="shared" si="8"/>
        <v>5/2026</v>
      </c>
      <c r="AN103" s="45">
        <f t="shared" si="9"/>
        <v>2</v>
      </c>
      <c r="AO103" s="45" t="str">
        <f t="shared" si="10"/>
        <v>5/2026</v>
      </c>
      <c r="AP103" s="45">
        <f t="shared" si="11"/>
        <v>3</v>
      </c>
      <c r="AQ103" s="45">
        <f t="shared" si="12"/>
        <v>6</v>
      </c>
      <c r="AR103" s="45">
        <f t="shared" si="13"/>
        <v>0</v>
      </c>
      <c r="AS103" s="45">
        <f t="shared" si="14"/>
        <v>0</v>
      </c>
      <c r="AT103" s="45">
        <f t="shared" si="15"/>
        <v>9.4305555555547471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88290447</v>
      </c>
      <c r="F104" s="221" t="s">
        <v>364</v>
      </c>
      <c r="G104" s="92">
        <v>31864800860</v>
      </c>
      <c r="H104" s="93">
        <v>30419</v>
      </c>
      <c r="I104" s="89">
        <v>43</v>
      </c>
      <c r="J104" s="89"/>
      <c r="K104" s="89" t="s">
        <v>51</v>
      </c>
      <c r="L104" s="89" t="s">
        <v>52</v>
      </c>
      <c r="M104" s="89"/>
      <c r="N104" s="89" t="s">
        <v>116</v>
      </c>
      <c r="O104" s="94" t="s">
        <v>365</v>
      </c>
      <c r="P104" s="95" t="s">
        <v>55</v>
      </c>
      <c r="Q104" s="145" t="s">
        <v>56</v>
      </c>
      <c r="R104" s="96">
        <v>46153</v>
      </c>
      <c r="S104" s="97"/>
      <c r="T104" s="97" t="s">
        <v>57</v>
      </c>
      <c r="U104" s="97" t="s">
        <v>58</v>
      </c>
      <c r="V104" s="93">
        <v>46153</v>
      </c>
      <c r="W104" s="93" t="s">
        <v>81</v>
      </c>
      <c r="X104" s="93" t="s">
        <v>81</v>
      </c>
      <c r="Y104" s="98"/>
      <c r="Z104" s="89" t="s">
        <v>59</v>
      </c>
      <c r="AA104" s="97" t="s">
        <v>366</v>
      </c>
      <c r="AB104" s="89" t="s">
        <v>88</v>
      </c>
      <c r="AC104" s="120"/>
      <c r="AD104" s="89"/>
      <c r="AE104" s="89"/>
      <c r="AF104" s="99"/>
      <c r="AG104" s="99"/>
      <c r="AH104" s="99"/>
      <c r="AI104" s="100" t="s">
        <v>65</v>
      </c>
      <c r="AJ104" s="100" t="s">
        <v>66</v>
      </c>
      <c r="AK104" s="100" t="s">
        <v>65</v>
      </c>
      <c r="AL104" s="45" t="s">
        <v>67</v>
      </c>
      <c r="AM104" s="199" t="str">
        <f t="shared" si="8"/>
        <v>5/2026</v>
      </c>
      <c r="AN104" s="45">
        <f t="shared" si="9"/>
        <v>2</v>
      </c>
      <c r="AO104" s="45" t="str">
        <f t="shared" si="10"/>
        <v>5/2026</v>
      </c>
      <c r="AP104" s="45">
        <f t="shared" si="11"/>
        <v>3</v>
      </c>
      <c r="AQ104" s="45">
        <f t="shared" si="12"/>
        <v>6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92881228</v>
      </c>
      <c r="F105" s="221" t="s">
        <v>367</v>
      </c>
      <c r="G105" s="92">
        <v>35116746895</v>
      </c>
      <c r="H105" s="93">
        <v>32259</v>
      </c>
      <c r="I105" s="89">
        <v>38</v>
      </c>
      <c r="J105" s="89"/>
      <c r="K105" s="89" t="s">
        <v>51</v>
      </c>
      <c r="L105" s="89" t="s">
        <v>52</v>
      </c>
      <c r="M105" s="89"/>
      <c r="N105" s="89" t="s">
        <v>53</v>
      </c>
      <c r="O105" s="94" t="s">
        <v>368</v>
      </c>
      <c r="P105" s="95" t="s">
        <v>55</v>
      </c>
      <c r="Q105" s="145" t="s">
        <v>56</v>
      </c>
      <c r="R105" s="96">
        <v>46153</v>
      </c>
      <c r="S105" s="97"/>
      <c r="T105" s="97" t="s">
        <v>57</v>
      </c>
      <c r="U105" s="97" t="s">
        <v>58</v>
      </c>
      <c r="V105" s="93">
        <v>46153</v>
      </c>
      <c r="W105" s="93" t="s">
        <v>81</v>
      </c>
      <c r="X105" s="93" t="s">
        <v>81</v>
      </c>
      <c r="Y105" s="98"/>
      <c r="Z105" s="89" t="s">
        <v>59</v>
      </c>
      <c r="AA105" s="97" t="s">
        <v>369</v>
      </c>
      <c r="AB105" s="89" t="s">
        <v>88</v>
      </c>
      <c r="AC105" s="120">
        <v>46177</v>
      </c>
      <c r="AD105" s="89"/>
      <c r="AE105" s="89"/>
      <c r="AF105" s="99"/>
      <c r="AG105" s="99"/>
      <c r="AH105" s="99"/>
      <c r="AI105" s="100" t="s">
        <v>65</v>
      </c>
      <c r="AJ105" s="100" t="s">
        <v>66</v>
      </c>
      <c r="AK105" s="100" t="s">
        <v>65</v>
      </c>
      <c r="AL105" s="45" t="s">
        <v>67</v>
      </c>
      <c r="AM105" s="199" t="str">
        <f t="shared" si="8"/>
        <v>5/2026</v>
      </c>
      <c r="AN105" s="45">
        <f t="shared" si="9"/>
        <v>2</v>
      </c>
      <c r="AO105" s="45" t="str">
        <f t="shared" si="10"/>
        <v>5/2026</v>
      </c>
      <c r="AP105" s="45">
        <f t="shared" si="11"/>
        <v>3</v>
      </c>
      <c r="AQ105" s="45">
        <f t="shared" si="12"/>
        <v>6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82338320</v>
      </c>
      <c r="F106" s="221" t="s">
        <v>370</v>
      </c>
      <c r="G106" s="92">
        <v>27310453883</v>
      </c>
      <c r="H106" s="93">
        <v>27122</v>
      </c>
      <c r="I106" s="89">
        <v>52</v>
      </c>
      <c r="J106" s="89"/>
      <c r="K106" s="89" t="s">
        <v>51</v>
      </c>
      <c r="L106" s="89" t="s">
        <v>52</v>
      </c>
      <c r="M106" s="89"/>
      <c r="N106" s="89" t="s">
        <v>53</v>
      </c>
      <c r="O106" s="94" t="s">
        <v>371</v>
      </c>
      <c r="P106" s="95" t="s">
        <v>55</v>
      </c>
      <c r="Q106" s="145" t="s">
        <v>56</v>
      </c>
      <c r="R106" s="96">
        <v>46153</v>
      </c>
      <c r="S106" s="97"/>
      <c r="T106" s="97" t="s">
        <v>57</v>
      </c>
      <c r="U106" s="97" t="s">
        <v>58</v>
      </c>
      <c r="V106" s="93">
        <v>46153</v>
      </c>
      <c r="W106" s="93" t="s">
        <v>81</v>
      </c>
      <c r="X106" s="93" t="s">
        <v>81</v>
      </c>
      <c r="Y106" s="98"/>
      <c r="Z106" s="89" t="s">
        <v>59</v>
      </c>
      <c r="AA106" s="97" t="s">
        <v>372</v>
      </c>
      <c r="AB106" s="89" t="s">
        <v>88</v>
      </c>
      <c r="AC106" s="120"/>
      <c r="AD106" s="89"/>
      <c r="AE106" s="89"/>
      <c r="AF106" s="99"/>
      <c r="AG106" s="99"/>
      <c r="AH106" s="99"/>
      <c r="AI106" s="100" t="s">
        <v>65</v>
      </c>
      <c r="AJ106" s="100" t="s">
        <v>66</v>
      </c>
      <c r="AK106" s="100" t="s">
        <v>65</v>
      </c>
      <c r="AL106" s="45" t="s">
        <v>67</v>
      </c>
      <c r="AM106" s="199" t="str">
        <f t="shared" si="8"/>
        <v>5/2026</v>
      </c>
      <c r="AN106" s="45">
        <f t="shared" si="9"/>
        <v>2</v>
      </c>
      <c r="AO106" s="45" t="str">
        <f t="shared" si="10"/>
        <v>5/2026</v>
      </c>
      <c r="AP106" s="45">
        <f t="shared" si="11"/>
        <v>3</v>
      </c>
      <c r="AQ106" s="45">
        <f t="shared" si="12"/>
        <v>6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87014339</v>
      </c>
      <c r="F107" s="221" t="s">
        <v>373</v>
      </c>
      <c r="G107" s="92">
        <v>38221030805</v>
      </c>
      <c r="H107" s="93">
        <v>34227</v>
      </c>
      <c r="I107" s="89">
        <v>32</v>
      </c>
      <c r="J107" s="89"/>
      <c r="K107" s="89" t="s">
        <v>51</v>
      </c>
      <c r="L107" s="89" t="s">
        <v>374</v>
      </c>
      <c r="M107" s="89"/>
      <c r="N107" s="89" t="s">
        <v>97</v>
      </c>
      <c r="O107" s="94" t="s">
        <v>375</v>
      </c>
      <c r="P107" s="95" t="s">
        <v>55</v>
      </c>
      <c r="Q107" s="145" t="s">
        <v>56</v>
      </c>
      <c r="R107" s="96">
        <v>46153</v>
      </c>
      <c r="S107" s="97"/>
      <c r="T107" s="97" t="s">
        <v>57</v>
      </c>
      <c r="U107" s="97" t="s">
        <v>58</v>
      </c>
      <c r="V107" s="93">
        <v>46153</v>
      </c>
      <c r="W107" s="93" t="s">
        <v>81</v>
      </c>
      <c r="X107" s="93" t="s">
        <v>81</v>
      </c>
      <c r="Y107" s="98"/>
      <c r="Z107" s="89" t="s">
        <v>59</v>
      </c>
      <c r="AA107" s="97" t="s">
        <v>363</v>
      </c>
      <c r="AB107" s="89" t="s">
        <v>60</v>
      </c>
      <c r="AC107" s="120"/>
      <c r="AD107" s="89" t="s">
        <v>61</v>
      </c>
      <c r="AE107" s="89"/>
      <c r="AF107" s="99" t="s">
        <v>73</v>
      </c>
      <c r="AG107" s="99" t="s">
        <v>73</v>
      </c>
      <c r="AH107" s="99" t="s">
        <v>83</v>
      </c>
      <c r="AI107" s="100" t="s">
        <v>65</v>
      </c>
      <c r="AJ107" s="100" t="s">
        <v>66</v>
      </c>
      <c r="AK107" s="100" t="s">
        <v>65</v>
      </c>
      <c r="AL107" s="45" t="s">
        <v>67</v>
      </c>
      <c r="AM107" s="199" t="str">
        <f t="shared" si="8"/>
        <v>5/2026</v>
      </c>
      <c r="AN107" s="45">
        <f t="shared" si="9"/>
        <v>2</v>
      </c>
      <c r="AO107" s="45" t="str">
        <f t="shared" si="10"/>
        <v>5/2026</v>
      </c>
      <c r="AP107" s="45">
        <f t="shared" si="11"/>
        <v>3</v>
      </c>
      <c r="AQ107" s="45">
        <f t="shared" si="12"/>
        <v>6</v>
      </c>
      <c r="AR107" s="45">
        <f t="shared" si="13"/>
        <v>0</v>
      </c>
      <c r="AS107" s="45">
        <f t="shared" si="14"/>
        <v>0</v>
      </c>
      <c r="AT107" s="45">
        <f t="shared" si="15"/>
        <v>9.4305555555547471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81408944</v>
      </c>
      <c r="F108" s="221" t="s">
        <v>376</v>
      </c>
      <c r="G108" s="92">
        <v>9068296825</v>
      </c>
      <c r="H108" s="93">
        <v>25117</v>
      </c>
      <c r="I108" s="89">
        <v>57</v>
      </c>
      <c r="J108" s="89"/>
      <c r="K108" s="89" t="s">
        <v>51</v>
      </c>
      <c r="L108" s="89" t="s">
        <v>52</v>
      </c>
      <c r="M108" s="89"/>
      <c r="N108" s="89" t="s">
        <v>53</v>
      </c>
      <c r="O108" s="94" t="s">
        <v>377</v>
      </c>
      <c r="P108" s="95" t="s">
        <v>55</v>
      </c>
      <c r="Q108" s="145" t="s">
        <v>56</v>
      </c>
      <c r="R108" s="96">
        <v>46153</v>
      </c>
      <c r="S108" s="97"/>
      <c r="T108" s="97" t="s">
        <v>57</v>
      </c>
      <c r="U108" s="97" t="s">
        <v>58</v>
      </c>
      <c r="V108" s="93">
        <v>46153</v>
      </c>
      <c r="W108" s="93" t="s">
        <v>81</v>
      </c>
      <c r="X108" s="93" t="s">
        <v>81</v>
      </c>
      <c r="Y108" s="98"/>
      <c r="Z108" s="89" t="s">
        <v>59</v>
      </c>
      <c r="AA108" s="97" t="s">
        <v>378</v>
      </c>
      <c r="AB108" s="89" t="s">
        <v>60</v>
      </c>
      <c r="AC108" s="120"/>
      <c r="AD108" s="89" t="s">
        <v>61</v>
      </c>
      <c r="AE108" s="89"/>
      <c r="AF108" s="99" t="s">
        <v>104</v>
      </c>
      <c r="AG108" s="99" t="s">
        <v>104</v>
      </c>
      <c r="AH108" s="99" t="s">
        <v>83</v>
      </c>
      <c r="AI108" s="100" t="s">
        <v>65</v>
      </c>
      <c r="AJ108" s="100" t="s">
        <v>66</v>
      </c>
      <c r="AK108" s="100" t="s">
        <v>65</v>
      </c>
      <c r="AL108" s="45" t="s">
        <v>67</v>
      </c>
      <c r="AM108" s="199" t="str">
        <f t="shared" si="8"/>
        <v>5/2026</v>
      </c>
      <c r="AN108" s="45">
        <f t="shared" si="9"/>
        <v>2</v>
      </c>
      <c r="AO108" s="45" t="str">
        <f t="shared" si="10"/>
        <v>5/2026</v>
      </c>
      <c r="AP108" s="45">
        <f t="shared" si="11"/>
        <v>3</v>
      </c>
      <c r="AQ108" s="45">
        <f t="shared" si="12"/>
        <v>6</v>
      </c>
      <c r="AR108" s="45">
        <f t="shared" si="13"/>
        <v>0</v>
      </c>
      <c r="AS108" s="45">
        <f t="shared" si="14"/>
        <v>0</v>
      </c>
      <c r="AT108" s="45">
        <f t="shared" si="15"/>
        <v>10.472222222218988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73004037</v>
      </c>
      <c r="F109" s="221" t="s">
        <v>379</v>
      </c>
      <c r="G109" s="92">
        <v>11843816822</v>
      </c>
      <c r="H109" s="93">
        <v>26134</v>
      </c>
      <c r="I109" s="89">
        <v>54</v>
      </c>
      <c r="J109" s="89"/>
      <c r="K109" s="89" t="s">
        <v>51</v>
      </c>
      <c r="L109" s="89" t="s">
        <v>52</v>
      </c>
      <c r="M109" s="89"/>
      <c r="N109" s="89" t="s">
        <v>109</v>
      </c>
      <c r="O109" s="94" t="s">
        <v>380</v>
      </c>
      <c r="P109" s="95" t="s">
        <v>55</v>
      </c>
      <c r="Q109" s="145" t="s">
        <v>56</v>
      </c>
      <c r="R109" s="96">
        <v>46153</v>
      </c>
      <c r="S109" s="97"/>
      <c r="T109" s="97" t="s">
        <v>57</v>
      </c>
      <c r="U109" s="97" t="s">
        <v>58</v>
      </c>
      <c r="V109" s="93">
        <v>46153</v>
      </c>
      <c r="W109" s="93" t="s">
        <v>81</v>
      </c>
      <c r="X109" s="93" t="s">
        <v>81</v>
      </c>
      <c r="Y109" s="98"/>
      <c r="Z109" s="89" t="s">
        <v>59</v>
      </c>
      <c r="AA109" s="97">
        <v>46175</v>
      </c>
      <c r="AB109" s="89" t="s">
        <v>60</v>
      </c>
      <c r="AC109" s="120"/>
      <c r="AD109" s="89" t="s">
        <v>78</v>
      </c>
      <c r="AE109" s="89"/>
      <c r="AF109" s="99" t="s">
        <v>160</v>
      </c>
      <c r="AG109" s="99" t="s">
        <v>160</v>
      </c>
      <c r="AH109" s="99" t="s">
        <v>64</v>
      </c>
      <c r="AI109" s="100" t="s">
        <v>65</v>
      </c>
      <c r="AJ109" s="100" t="s">
        <v>66</v>
      </c>
      <c r="AK109" s="100" t="s">
        <v>65</v>
      </c>
      <c r="AL109" s="45" t="s">
        <v>67</v>
      </c>
      <c r="AM109" s="199" t="str">
        <f t="shared" si="8"/>
        <v>5/2026</v>
      </c>
      <c r="AN109" s="45">
        <f t="shared" si="9"/>
        <v>2</v>
      </c>
      <c r="AO109" s="45" t="str">
        <f t="shared" si="10"/>
        <v>5/2026</v>
      </c>
      <c r="AP109" s="45">
        <f t="shared" si="11"/>
        <v>3</v>
      </c>
      <c r="AQ109" s="45">
        <f t="shared" si="12"/>
        <v>6</v>
      </c>
      <c r="AR109" s="45">
        <f t="shared" si="13"/>
        <v>0</v>
      </c>
      <c r="AS109" s="45">
        <f t="shared" si="14"/>
        <v>0</v>
      </c>
      <c r="AT109" s="45">
        <f t="shared" si="15"/>
        <v>22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752919890</v>
      </c>
      <c r="F110" s="221" t="s">
        <v>381</v>
      </c>
      <c r="G110" s="92">
        <v>853451729</v>
      </c>
      <c r="H110" s="93">
        <v>21837</v>
      </c>
      <c r="I110" s="89">
        <v>66</v>
      </c>
      <c r="J110" s="89"/>
      <c r="K110" s="89" t="s">
        <v>85</v>
      </c>
      <c r="L110" s="89" t="s">
        <v>96</v>
      </c>
      <c r="M110" s="89"/>
      <c r="N110" s="89" t="s">
        <v>221</v>
      </c>
      <c r="O110" s="94" t="s">
        <v>382</v>
      </c>
      <c r="P110" s="95" t="s">
        <v>55</v>
      </c>
      <c r="Q110" s="145" t="s">
        <v>56</v>
      </c>
      <c r="R110" s="96">
        <v>46153</v>
      </c>
      <c r="S110" s="97"/>
      <c r="T110" s="97" t="s">
        <v>57</v>
      </c>
      <c r="U110" s="97" t="s">
        <v>58</v>
      </c>
      <c r="V110" s="93">
        <v>46153</v>
      </c>
      <c r="W110" s="93" t="s">
        <v>81</v>
      </c>
      <c r="X110" s="93" t="s">
        <v>81</v>
      </c>
      <c r="Y110" s="98"/>
      <c r="Z110" s="89" t="s">
        <v>59</v>
      </c>
      <c r="AA110" s="97">
        <v>46170</v>
      </c>
      <c r="AB110" s="89" t="s">
        <v>60</v>
      </c>
      <c r="AC110" s="120"/>
      <c r="AD110" s="89" t="s">
        <v>61</v>
      </c>
      <c r="AE110" s="89"/>
      <c r="AF110" s="99" t="s">
        <v>161</v>
      </c>
      <c r="AG110" s="99" t="s">
        <v>161</v>
      </c>
      <c r="AH110" s="99" t="s">
        <v>64</v>
      </c>
      <c r="AI110" s="100" t="s">
        <v>65</v>
      </c>
      <c r="AJ110" s="100" t="s">
        <v>66</v>
      </c>
      <c r="AK110" s="100" t="s">
        <v>65</v>
      </c>
      <c r="AL110" s="45" t="s">
        <v>67</v>
      </c>
      <c r="AM110" s="199" t="str">
        <f t="shared" si="8"/>
        <v>5/2026</v>
      </c>
      <c r="AN110" s="45">
        <f t="shared" si="9"/>
        <v>2</v>
      </c>
      <c r="AO110" s="45" t="str">
        <f t="shared" si="10"/>
        <v>5/2026</v>
      </c>
      <c r="AP110" s="45">
        <f t="shared" si="11"/>
        <v>3</v>
      </c>
      <c r="AQ110" s="45">
        <f t="shared" si="12"/>
        <v>6</v>
      </c>
      <c r="AR110" s="45">
        <f t="shared" si="13"/>
        <v>0</v>
      </c>
      <c r="AS110" s="45">
        <f t="shared" si="14"/>
        <v>0</v>
      </c>
      <c r="AT110" s="45">
        <f t="shared" si="15"/>
        <v>17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66</v>
      </c>
      <c r="B111" s="88">
        <v>46160</v>
      </c>
      <c r="C111" s="89" t="s">
        <v>383</v>
      </c>
      <c r="D111" s="89" t="s">
        <v>49</v>
      </c>
      <c r="E111" s="90" t="s">
        <v>384</v>
      </c>
      <c r="F111" s="221" t="s">
        <v>385</v>
      </c>
      <c r="G111" s="92">
        <v>81255390859</v>
      </c>
      <c r="H111" s="93">
        <v>20660</v>
      </c>
      <c r="I111" s="89">
        <v>69</v>
      </c>
      <c r="J111" s="89" t="s">
        <v>386</v>
      </c>
      <c r="K111" s="89" t="s">
        <v>51</v>
      </c>
      <c r="L111" s="89" t="s">
        <v>52</v>
      </c>
      <c r="M111" s="89" t="s">
        <v>387</v>
      </c>
      <c r="N111" s="89">
        <v>700</v>
      </c>
      <c r="O111" s="94" t="s">
        <v>388</v>
      </c>
      <c r="P111" s="95" t="s">
        <v>55</v>
      </c>
      <c r="Q111" s="145" t="s">
        <v>56</v>
      </c>
      <c r="R111" s="96">
        <v>46178</v>
      </c>
      <c r="S111" s="97"/>
      <c r="T111" s="97" t="s">
        <v>57</v>
      </c>
      <c r="U111" s="97" t="s">
        <v>58</v>
      </c>
      <c r="V111" s="93">
        <v>46170</v>
      </c>
      <c r="W111" s="93">
        <v>46181</v>
      </c>
      <c r="X111" s="93"/>
      <c r="Y111" s="98"/>
      <c r="Z111" s="89" t="s">
        <v>59</v>
      </c>
      <c r="AA111" s="97">
        <v>46188</v>
      </c>
      <c r="AB111" s="89"/>
      <c r="AC111" s="120"/>
      <c r="AD111" s="89"/>
      <c r="AE111" s="89"/>
      <c r="AF111" s="99"/>
      <c r="AG111" s="99"/>
      <c r="AH111" s="99"/>
      <c r="AI111" s="100"/>
      <c r="AJ111" s="100" t="s">
        <v>65</v>
      </c>
      <c r="AK111" s="100" t="s">
        <v>66</v>
      </c>
      <c r="AL111" s="45" t="s">
        <v>67</v>
      </c>
      <c r="AM111" s="199" t="str">
        <f t="shared" si="8"/>
        <v>5/2026</v>
      </c>
      <c r="AN111" s="45">
        <f t="shared" si="9"/>
        <v>4</v>
      </c>
      <c r="AO111" s="45" t="str">
        <f t="shared" si="10"/>
        <v>6/2026</v>
      </c>
      <c r="AP111" s="45">
        <f t="shared" si="11"/>
        <v>1</v>
      </c>
      <c r="AQ111" s="45">
        <f t="shared" si="12"/>
        <v>18</v>
      </c>
      <c r="AR111" s="45">
        <f t="shared" si="13"/>
        <v>0</v>
      </c>
      <c r="AS111" s="45">
        <f t="shared" si="14"/>
        <v>11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66</v>
      </c>
      <c r="B112" s="88">
        <v>46160</v>
      </c>
      <c r="C112" s="89" t="s">
        <v>383</v>
      </c>
      <c r="D112" s="89" t="s">
        <v>49</v>
      </c>
      <c r="E112" s="90" t="s">
        <v>389</v>
      </c>
      <c r="F112" s="221" t="s">
        <v>390</v>
      </c>
      <c r="G112" s="92">
        <v>27914846805</v>
      </c>
      <c r="H112" s="93">
        <v>28873</v>
      </c>
      <c r="I112" s="89">
        <v>47</v>
      </c>
      <c r="J112" s="89" t="s">
        <v>391</v>
      </c>
      <c r="K112" s="89" t="s">
        <v>51</v>
      </c>
      <c r="L112" s="89" t="s">
        <v>165</v>
      </c>
      <c r="M112" s="89" t="s">
        <v>392</v>
      </c>
      <c r="N112" s="89">
        <v>110</v>
      </c>
      <c r="O112" s="94" t="s">
        <v>393</v>
      </c>
      <c r="P112" s="95" t="s">
        <v>55</v>
      </c>
      <c r="Q112" s="145" t="s">
        <v>56</v>
      </c>
      <c r="R112" s="96">
        <v>46171</v>
      </c>
      <c r="S112" s="97"/>
      <c r="T112" s="97" t="s">
        <v>57</v>
      </c>
      <c r="U112" s="97" t="s">
        <v>58</v>
      </c>
      <c r="V112" s="93">
        <v>46170</v>
      </c>
      <c r="W112" s="93" t="s">
        <v>81</v>
      </c>
      <c r="X112" s="93" t="s">
        <v>81</v>
      </c>
      <c r="Y112" s="98"/>
      <c r="Z112" s="89" t="s">
        <v>59</v>
      </c>
      <c r="AA112" s="97">
        <v>46178</v>
      </c>
      <c r="AB112" s="89" t="s">
        <v>60</v>
      </c>
      <c r="AC112" s="120"/>
      <c r="AD112" s="89" t="s">
        <v>61</v>
      </c>
      <c r="AE112" s="89"/>
      <c r="AF112" s="99"/>
      <c r="AG112" s="99"/>
      <c r="AH112" s="99" t="s">
        <v>83</v>
      </c>
      <c r="AI112" s="100"/>
      <c r="AJ112" s="100" t="s">
        <v>65</v>
      </c>
      <c r="AK112" s="100" t="s">
        <v>66</v>
      </c>
      <c r="AL112" s="45" t="s">
        <v>67</v>
      </c>
      <c r="AM112" s="199" t="str">
        <f t="shared" si="8"/>
        <v>5/2026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11</v>
      </c>
      <c r="AR112" s="45">
        <f t="shared" si="13"/>
        <v>0</v>
      </c>
      <c r="AS112" s="45">
        <f t="shared" si="14"/>
        <v>0</v>
      </c>
      <c r="AT112" s="45">
        <f t="shared" si="15"/>
        <v>7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66</v>
      </c>
      <c r="B113" s="88">
        <v>46160</v>
      </c>
      <c r="C113" s="89" t="s">
        <v>383</v>
      </c>
      <c r="D113" s="89" t="s">
        <v>49</v>
      </c>
      <c r="E113" s="90" t="s">
        <v>394</v>
      </c>
      <c r="F113" s="221" t="s">
        <v>395</v>
      </c>
      <c r="G113" s="92">
        <v>133093824</v>
      </c>
      <c r="H113" s="93">
        <v>22467</v>
      </c>
      <c r="I113" s="89">
        <v>64</v>
      </c>
      <c r="J113" s="89" t="s">
        <v>386</v>
      </c>
      <c r="K113" s="89" t="s">
        <v>51</v>
      </c>
      <c r="L113" s="89" t="s">
        <v>52</v>
      </c>
      <c r="M113" s="89" t="s">
        <v>396</v>
      </c>
      <c r="N113" s="89">
        <v>380</v>
      </c>
      <c r="O113" s="94">
        <v>11983305562</v>
      </c>
      <c r="P113" s="95" t="s">
        <v>55</v>
      </c>
      <c r="Q113" s="145" t="s">
        <v>56</v>
      </c>
      <c r="R113" s="96">
        <v>46178</v>
      </c>
      <c r="S113" s="97"/>
      <c r="T113" s="97" t="s">
        <v>57</v>
      </c>
      <c r="U113" s="97" t="s">
        <v>58</v>
      </c>
      <c r="V113" s="93">
        <v>46170</v>
      </c>
      <c r="W113" s="93">
        <v>46181</v>
      </c>
      <c r="X113" s="93"/>
      <c r="Y113" s="98"/>
      <c r="Z113" s="89" t="s">
        <v>59</v>
      </c>
      <c r="AA113" s="97">
        <v>46190</v>
      </c>
      <c r="AB113" s="89"/>
      <c r="AC113" s="120"/>
      <c r="AD113" s="89"/>
      <c r="AE113" s="89"/>
      <c r="AF113" s="99"/>
      <c r="AG113" s="99"/>
      <c r="AH113" s="99"/>
      <c r="AI113" s="100"/>
      <c r="AJ113" s="100" t="s">
        <v>65</v>
      </c>
      <c r="AK113" s="100" t="s">
        <v>66</v>
      </c>
      <c r="AL113" s="45" t="s">
        <v>67</v>
      </c>
      <c r="AM113" s="199" t="str">
        <f t="shared" si="8"/>
        <v>5/2026</v>
      </c>
      <c r="AN113" s="45">
        <f t="shared" si="9"/>
        <v>4</v>
      </c>
      <c r="AO113" s="45" t="str">
        <f t="shared" si="10"/>
        <v>6/2026</v>
      </c>
      <c r="AP113" s="45">
        <f t="shared" si="11"/>
        <v>1</v>
      </c>
      <c r="AQ113" s="45">
        <f t="shared" si="12"/>
        <v>18</v>
      </c>
      <c r="AR113" s="45">
        <f t="shared" si="13"/>
        <v>0</v>
      </c>
      <c r="AS113" s="45">
        <f t="shared" si="14"/>
        <v>11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66</v>
      </c>
      <c r="B114" s="88">
        <v>46160</v>
      </c>
      <c r="C114" s="89" t="s">
        <v>383</v>
      </c>
      <c r="D114" s="89" t="s">
        <v>49</v>
      </c>
      <c r="E114" s="90" t="s">
        <v>397</v>
      </c>
      <c r="F114" s="221" t="s">
        <v>398</v>
      </c>
      <c r="G114" s="92">
        <v>5574238802</v>
      </c>
      <c r="H114" s="93">
        <v>23268</v>
      </c>
      <c r="I114" s="89">
        <v>62</v>
      </c>
      <c r="J114" s="89" t="s">
        <v>391</v>
      </c>
      <c r="K114" s="89" t="s">
        <v>51</v>
      </c>
      <c r="L114" s="89" t="s">
        <v>52</v>
      </c>
      <c r="M114" s="89" t="s">
        <v>399</v>
      </c>
      <c r="N114" s="89">
        <v>100</v>
      </c>
      <c r="O114" s="94">
        <v>11996938616</v>
      </c>
      <c r="P114" s="95" t="s">
        <v>55</v>
      </c>
      <c r="Q114" s="145" t="s">
        <v>400</v>
      </c>
      <c r="R114" s="96"/>
      <c r="S114" s="97"/>
      <c r="T114" s="97" t="s">
        <v>401</v>
      </c>
      <c r="U114" s="97" t="s">
        <v>193</v>
      </c>
      <c r="V114" s="93">
        <v>46170</v>
      </c>
      <c r="W114" s="93">
        <v>46181</v>
      </c>
      <c r="X114" s="93"/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 t="s">
        <v>65</v>
      </c>
      <c r="AK114" s="100" t="s">
        <v>66</v>
      </c>
      <c r="AL114" s="45" t="s">
        <v>67</v>
      </c>
      <c r="AM114" s="199" t="str">
        <f t="shared" si="8"/>
        <v>5/2026</v>
      </c>
      <c r="AN114" s="45">
        <f t="shared" si="9"/>
        <v>4</v>
      </c>
      <c r="AO114" s="45" t="str">
        <f t="shared" si="10"/>
        <v>1/1900</v>
      </c>
      <c r="AP114" s="45" t="e">
        <f t="shared" si="11"/>
        <v>#NUM!</v>
      </c>
      <c r="AQ114" s="45">
        <f t="shared" si="12"/>
        <v>0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66</v>
      </c>
      <c r="B115" s="88">
        <v>46160</v>
      </c>
      <c r="C115" s="89" t="s">
        <v>383</v>
      </c>
      <c r="D115" s="89" t="s">
        <v>49</v>
      </c>
      <c r="E115" s="90" t="s">
        <v>402</v>
      </c>
      <c r="F115" s="221" t="s">
        <v>403</v>
      </c>
      <c r="G115" s="92" t="s">
        <v>404</v>
      </c>
      <c r="H115" s="93">
        <v>23346</v>
      </c>
      <c r="I115" s="89">
        <v>62</v>
      </c>
      <c r="J115" s="89" t="s">
        <v>405</v>
      </c>
      <c r="K115" s="89" t="s">
        <v>85</v>
      </c>
      <c r="L115" s="89" t="s">
        <v>96</v>
      </c>
      <c r="M115" s="89" t="s">
        <v>406</v>
      </c>
      <c r="N115" s="89">
        <v>40</v>
      </c>
      <c r="O115" s="94">
        <v>21994448665</v>
      </c>
      <c r="P115" s="95" t="s">
        <v>55</v>
      </c>
      <c r="Q115" s="145" t="s">
        <v>56</v>
      </c>
      <c r="R115" s="96">
        <v>46171</v>
      </c>
      <c r="S115" s="97"/>
      <c r="T115" s="97" t="s">
        <v>57</v>
      </c>
      <c r="U115" s="97" t="s">
        <v>58</v>
      </c>
      <c r="V115" s="93">
        <v>46170</v>
      </c>
      <c r="W115" s="93" t="s">
        <v>81</v>
      </c>
      <c r="X115" s="93" t="s">
        <v>81</v>
      </c>
      <c r="Y115" s="98"/>
      <c r="Z115" s="89" t="s">
        <v>59</v>
      </c>
      <c r="AA115" s="97">
        <v>46178</v>
      </c>
      <c r="AB115" s="89" t="s">
        <v>88</v>
      </c>
      <c r="AC115" s="120"/>
      <c r="AD115" s="89"/>
      <c r="AE115" s="89"/>
      <c r="AF115" s="99"/>
      <c r="AG115" s="99"/>
      <c r="AH115" s="99"/>
      <c r="AI115" s="100"/>
      <c r="AJ115" s="100" t="s">
        <v>65</v>
      </c>
      <c r="AK115" s="100" t="s">
        <v>66</v>
      </c>
      <c r="AL115" s="45" t="s">
        <v>67</v>
      </c>
      <c r="AM115" s="199" t="str">
        <f t="shared" si="8"/>
        <v>5/2026</v>
      </c>
      <c r="AN115" s="45">
        <f t="shared" si="9"/>
        <v>4</v>
      </c>
      <c r="AO115" s="45" t="str">
        <f t="shared" si="10"/>
        <v>5/2026</v>
      </c>
      <c r="AP115" s="45">
        <f t="shared" si="11"/>
        <v>5</v>
      </c>
      <c r="AQ115" s="45">
        <f t="shared" si="12"/>
        <v>11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66</v>
      </c>
      <c r="B116" s="88">
        <v>46161</v>
      </c>
      <c r="C116" s="89" t="s">
        <v>383</v>
      </c>
      <c r="D116" s="89" t="s">
        <v>49</v>
      </c>
      <c r="E116" s="90" t="s">
        <v>407</v>
      </c>
      <c r="F116" s="221" t="s">
        <v>408</v>
      </c>
      <c r="G116" s="92">
        <v>48783072853</v>
      </c>
      <c r="H116" s="93">
        <v>17048</v>
      </c>
      <c r="I116" s="89">
        <v>79</v>
      </c>
      <c r="J116" s="89" t="s">
        <v>386</v>
      </c>
      <c r="K116" s="89" t="s">
        <v>51</v>
      </c>
      <c r="L116" s="89" t="s">
        <v>52</v>
      </c>
      <c r="M116" s="89" t="s">
        <v>409</v>
      </c>
      <c r="N116" s="89">
        <v>380</v>
      </c>
      <c r="O116" s="94" t="s">
        <v>410</v>
      </c>
      <c r="P116" s="95" t="s">
        <v>55</v>
      </c>
      <c r="Q116" s="145" t="s">
        <v>56</v>
      </c>
      <c r="R116" s="96">
        <v>46178</v>
      </c>
      <c r="S116" s="97"/>
      <c r="T116" s="97" t="s">
        <v>57</v>
      </c>
      <c r="U116" s="97" t="s">
        <v>58</v>
      </c>
      <c r="V116" s="93">
        <v>46170</v>
      </c>
      <c r="W116" s="93">
        <v>46181</v>
      </c>
      <c r="X116" s="93"/>
      <c r="Y116" s="98"/>
      <c r="Z116" s="89" t="s">
        <v>59</v>
      </c>
      <c r="AA116" s="97">
        <v>46190</v>
      </c>
      <c r="AB116" s="89"/>
      <c r="AC116" s="120"/>
      <c r="AD116" s="89"/>
      <c r="AE116" s="89"/>
      <c r="AF116" s="99"/>
      <c r="AG116" s="99"/>
      <c r="AH116" s="99"/>
      <c r="AI116" s="100"/>
      <c r="AJ116" s="100" t="s">
        <v>65</v>
      </c>
      <c r="AK116" s="100" t="s">
        <v>66</v>
      </c>
      <c r="AL116" s="45" t="s">
        <v>67</v>
      </c>
      <c r="AM116" s="199" t="str">
        <f t="shared" si="8"/>
        <v>5/2026</v>
      </c>
      <c r="AN116" s="45">
        <f t="shared" si="9"/>
        <v>4</v>
      </c>
      <c r="AO116" s="45" t="str">
        <f t="shared" si="10"/>
        <v>6/2026</v>
      </c>
      <c r="AP116" s="45">
        <f t="shared" si="11"/>
        <v>1</v>
      </c>
      <c r="AQ116" s="45">
        <f t="shared" si="12"/>
        <v>17</v>
      </c>
      <c r="AR116" s="45">
        <f t="shared" si="13"/>
        <v>0</v>
      </c>
      <c r="AS116" s="45">
        <f t="shared" si="14"/>
        <v>11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66</v>
      </c>
      <c r="B117" s="88">
        <v>46161</v>
      </c>
      <c r="C117" s="89" t="s">
        <v>383</v>
      </c>
      <c r="D117" s="89" t="s">
        <v>49</v>
      </c>
      <c r="E117" s="90" t="s">
        <v>411</v>
      </c>
      <c r="F117" s="221" t="s">
        <v>412</v>
      </c>
      <c r="G117" s="92">
        <v>22429602881</v>
      </c>
      <c r="H117" s="93">
        <v>30068</v>
      </c>
      <c r="I117" s="89">
        <v>44</v>
      </c>
      <c r="J117" s="89" t="s">
        <v>391</v>
      </c>
      <c r="K117" s="89" t="s">
        <v>51</v>
      </c>
      <c r="L117" s="89" t="s">
        <v>52</v>
      </c>
      <c r="M117" s="89" t="s">
        <v>413</v>
      </c>
      <c r="N117" s="89">
        <v>380</v>
      </c>
      <c r="O117" s="94" t="s">
        <v>414</v>
      </c>
      <c r="P117" s="95" t="s">
        <v>55</v>
      </c>
      <c r="Q117" s="145" t="s">
        <v>56</v>
      </c>
      <c r="R117" s="96">
        <v>46189</v>
      </c>
      <c r="S117" s="97"/>
      <c r="T117" s="97" t="s">
        <v>57</v>
      </c>
      <c r="U117" s="97" t="s">
        <v>58</v>
      </c>
      <c r="V117" s="93">
        <v>46170</v>
      </c>
      <c r="W117" s="93">
        <v>46181</v>
      </c>
      <c r="X117" s="93"/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 t="s">
        <v>65</v>
      </c>
      <c r="AK117" s="100" t="s">
        <v>66</v>
      </c>
      <c r="AL117" s="45" t="s">
        <v>67</v>
      </c>
      <c r="AM117" s="199" t="str">
        <f t="shared" si="8"/>
        <v>5/2026</v>
      </c>
      <c r="AN117" s="45">
        <f t="shared" si="9"/>
        <v>4</v>
      </c>
      <c r="AO117" s="45" t="str">
        <f t="shared" si="10"/>
        <v>6/2026</v>
      </c>
      <c r="AP117" s="45">
        <f t="shared" si="11"/>
        <v>3</v>
      </c>
      <c r="AQ117" s="45">
        <f t="shared" si="12"/>
        <v>28</v>
      </c>
      <c r="AR117" s="45">
        <f t="shared" si="13"/>
        <v>0</v>
      </c>
      <c r="AS117" s="45">
        <f t="shared" si="14"/>
        <v>11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66</v>
      </c>
      <c r="B118" s="88">
        <v>46162</v>
      </c>
      <c r="C118" s="89" t="s">
        <v>383</v>
      </c>
      <c r="D118" s="89" t="s">
        <v>49</v>
      </c>
      <c r="E118" s="90" t="s">
        <v>415</v>
      </c>
      <c r="F118" s="221" t="s">
        <v>416</v>
      </c>
      <c r="G118" s="92">
        <v>89555562849</v>
      </c>
      <c r="H118" s="93">
        <v>19821</v>
      </c>
      <c r="I118" s="89">
        <v>72</v>
      </c>
      <c r="J118" s="89" t="s">
        <v>386</v>
      </c>
      <c r="K118" s="89" t="s">
        <v>51</v>
      </c>
      <c r="L118" s="89" t="s">
        <v>417</v>
      </c>
      <c r="M118" s="89" t="s">
        <v>418</v>
      </c>
      <c r="N118" s="89">
        <v>400</v>
      </c>
      <c r="O118" s="94">
        <v>11969144568</v>
      </c>
      <c r="P118" s="95" t="s">
        <v>55</v>
      </c>
      <c r="Q118" s="145" t="s">
        <v>400</v>
      </c>
      <c r="R118" s="96"/>
      <c r="S118" s="97"/>
      <c r="T118" s="97" t="s">
        <v>401</v>
      </c>
      <c r="U118" s="97" t="s">
        <v>193</v>
      </c>
      <c r="V118" s="93">
        <v>46170</v>
      </c>
      <c r="W118" s="93">
        <v>46181</v>
      </c>
      <c r="X118" s="93"/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 t="s">
        <v>65</v>
      </c>
      <c r="AK118" s="100" t="s">
        <v>66</v>
      </c>
      <c r="AL118" s="45" t="s">
        <v>67</v>
      </c>
      <c r="AM118" s="199" t="str">
        <f t="shared" si="8"/>
        <v>5/2026</v>
      </c>
      <c r="AN118" s="45">
        <f t="shared" si="9"/>
        <v>4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7" t="s">
        <v>66</v>
      </c>
      <c r="B119" s="88">
        <v>46162</v>
      </c>
      <c r="C119" s="89" t="s">
        <v>383</v>
      </c>
      <c r="D119" s="89" t="s">
        <v>49</v>
      </c>
      <c r="E119" s="90" t="s">
        <v>419</v>
      </c>
      <c r="F119" s="221" t="s">
        <v>420</v>
      </c>
      <c r="G119" s="92">
        <v>27307676818</v>
      </c>
      <c r="H119" s="93">
        <v>29016</v>
      </c>
      <c r="I119" s="89">
        <v>46</v>
      </c>
      <c r="J119" s="89" t="s">
        <v>391</v>
      </c>
      <c r="K119" s="89" t="s">
        <v>51</v>
      </c>
      <c r="L119" s="89" t="s">
        <v>52</v>
      </c>
      <c r="M119" s="89" t="s">
        <v>421</v>
      </c>
      <c r="N119" s="89">
        <v>100</v>
      </c>
      <c r="O119" s="94">
        <v>11997422463</v>
      </c>
      <c r="P119" s="95" t="s">
        <v>55</v>
      </c>
      <c r="Q119" s="145" t="s">
        <v>56</v>
      </c>
      <c r="R119" s="96">
        <v>46171</v>
      </c>
      <c r="S119" s="97"/>
      <c r="T119" s="97" t="s">
        <v>57</v>
      </c>
      <c r="U119" s="97" t="s">
        <v>58</v>
      </c>
      <c r="V119" s="93">
        <v>46170</v>
      </c>
      <c r="W119" s="93" t="s">
        <v>81</v>
      </c>
      <c r="X119" s="93" t="s">
        <v>81</v>
      </c>
      <c r="Y119" s="98"/>
      <c r="Z119" s="89" t="s">
        <v>59</v>
      </c>
      <c r="AA119" s="97">
        <v>46178</v>
      </c>
      <c r="AB119" s="89" t="s">
        <v>88</v>
      </c>
      <c r="AC119" s="120"/>
      <c r="AD119" s="89"/>
      <c r="AE119" s="89"/>
      <c r="AF119" s="99"/>
      <c r="AG119" s="99"/>
      <c r="AH119" s="99"/>
      <c r="AI119" s="100"/>
      <c r="AJ119" s="100" t="s">
        <v>65</v>
      </c>
      <c r="AK119" s="100" t="s">
        <v>66</v>
      </c>
      <c r="AL119" s="45" t="s">
        <v>67</v>
      </c>
      <c r="AM119" s="199" t="str">
        <f t="shared" si="8"/>
        <v>5/2026</v>
      </c>
      <c r="AN119" s="45">
        <f t="shared" si="9"/>
        <v>4</v>
      </c>
      <c r="AO119" s="45" t="str">
        <f t="shared" si="10"/>
        <v>5/2026</v>
      </c>
      <c r="AP119" s="45">
        <f t="shared" si="11"/>
        <v>5</v>
      </c>
      <c r="AQ119" s="45">
        <f t="shared" si="12"/>
        <v>9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7" t="s">
        <v>66</v>
      </c>
      <c r="B120" s="88">
        <v>46163</v>
      </c>
      <c r="C120" s="89" t="s">
        <v>383</v>
      </c>
      <c r="D120" s="89" t="s">
        <v>49</v>
      </c>
      <c r="E120" s="90" t="s">
        <v>422</v>
      </c>
      <c r="F120" s="221" t="s">
        <v>423</v>
      </c>
      <c r="G120" s="92">
        <v>53616499887</v>
      </c>
      <c r="H120" s="93">
        <v>18707</v>
      </c>
      <c r="I120" s="89">
        <v>75</v>
      </c>
      <c r="J120" s="89" t="s">
        <v>386</v>
      </c>
      <c r="K120" s="89" t="s">
        <v>51</v>
      </c>
      <c r="L120" s="89" t="s">
        <v>424</v>
      </c>
      <c r="M120" s="89" t="s">
        <v>425</v>
      </c>
      <c r="N120" s="89">
        <v>400</v>
      </c>
      <c r="O120" s="94">
        <v>11998888424</v>
      </c>
      <c r="P120" s="95" t="s">
        <v>55</v>
      </c>
      <c r="Q120" s="145" t="s">
        <v>56</v>
      </c>
      <c r="R120" s="96">
        <v>46171</v>
      </c>
      <c r="S120" s="97"/>
      <c r="T120" s="97" t="s">
        <v>57</v>
      </c>
      <c r="U120" s="97" t="s">
        <v>58</v>
      </c>
      <c r="V120" s="93">
        <v>46170</v>
      </c>
      <c r="W120" s="93" t="s">
        <v>81</v>
      </c>
      <c r="X120" s="93" t="s">
        <v>81</v>
      </c>
      <c r="Y120" s="98"/>
      <c r="Z120" s="89" t="s">
        <v>59</v>
      </c>
      <c r="AA120" s="97">
        <v>46178</v>
      </c>
      <c r="AB120" s="89" t="s">
        <v>88</v>
      </c>
      <c r="AC120" s="120"/>
      <c r="AD120" s="89"/>
      <c r="AE120" s="89"/>
      <c r="AF120" s="99"/>
      <c r="AG120" s="99"/>
      <c r="AH120" s="99"/>
      <c r="AI120" s="100"/>
      <c r="AJ120" s="100" t="s">
        <v>65</v>
      </c>
      <c r="AK120" s="100" t="s">
        <v>66</v>
      </c>
      <c r="AL120" s="45" t="s">
        <v>67</v>
      </c>
      <c r="AM120" s="199" t="str">
        <f t="shared" si="8"/>
        <v>5/2026</v>
      </c>
      <c r="AN120" s="45">
        <f t="shared" si="9"/>
        <v>4</v>
      </c>
      <c r="AO120" s="45" t="str">
        <f t="shared" si="10"/>
        <v>5/2026</v>
      </c>
      <c r="AP120" s="45">
        <f t="shared" si="11"/>
        <v>5</v>
      </c>
      <c r="AQ120" s="45">
        <f t="shared" si="12"/>
        <v>8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7" t="s">
        <v>66</v>
      </c>
      <c r="B121" s="88">
        <v>46163</v>
      </c>
      <c r="C121" s="89" t="s">
        <v>383</v>
      </c>
      <c r="D121" s="89" t="s">
        <v>49</v>
      </c>
      <c r="E121" s="90" t="s">
        <v>426</v>
      </c>
      <c r="F121" s="221" t="s">
        <v>427</v>
      </c>
      <c r="G121" s="92" t="s">
        <v>428</v>
      </c>
      <c r="H121" s="93">
        <v>21677</v>
      </c>
      <c r="I121" s="89">
        <v>67</v>
      </c>
      <c r="J121" s="89" t="s">
        <v>391</v>
      </c>
      <c r="K121" s="89" t="s">
        <v>51</v>
      </c>
      <c r="L121" s="89" t="s">
        <v>52</v>
      </c>
      <c r="M121" s="89" t="s">
        <v>429</v>
      </c>
      <c r="N121" s="89">
        <v>100</v>
      </c>
      <c r="O121" s="94">
        <v>11993432330</v>
      </c>
      <c r="P121" s="95" t="s">
        <v>55</v>
      </c>
      <c r="Q121" s="145" t="s">
        <v>400</v>
      </c>
      <c r="R121" s="96"/>
      <c r="S121" s="97"/>
      <c r="T121" s="97" t="s">
        <v>401</v>
      </c>
      <c r="U121" s="97" t="s">
        <v>193</v>
      </c>
      <c r="V121" s="93">
        <v>46170</v>
      </c>
      <c r="W121" s="93">
        <v>46181</v>
      </c>
      <c r="X121" s="93"/>
      <c r="Y121" s="98"/>
      <c r="Z121" s="89"/>
      <c r="AA121" s="97"/>
      <c r="AB121" s="89"/>
      <c r="AC121" s="120"/>
      <c r="AD121" s="89"/>
      <c r="AE121" s="89"/>
      <c r="AF121" s="99"/>
      <c r="AG121" s="99"/>
      <c r="AH121" s="99"/>
      <c r="AI121" s="100"/>
      <c r="AJ121" s="100" t="s">
        <v>65</v>
      </c>
      <c r="AK121" s="100" t="s">
        <v>66</v>
      </c>
      <c r="AL121" s="45" t="s">
        <v>67</v>
      </c>
      <c r="AM121" s="199" t="str">
        <f t="shared" si="8"/>
        <v>5/2026</v>
      </c>
      <c r="AN121" s="45">
        <f t="shared" si="9"/>
        <v>4</v>
      </c>
      <c r="AO121" s="45" t="str">
        <f t="shared" si="10"/>
        <v>1/1900</v>
      </c>
      <c r="AP121" s="45" t="e">
        <f t="shared" si="11"/>
        <v>#NUM!</v>
      </c>
      <c r="AQ121" s="45">
        <f t="shared" si="12"/>
        <v>0</v>
      </c>
      <c r="AR121" s="45">
        <f t="shared" si="13"/>
        <v>0</v>
      </c>
      <c r="AS121" s="45">
        <f t="shared" si="14"/>
        <v>0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7" t="s">
        <v>66</v>
      </c>
      <c r="B122" s="88">
        <v>46169</v>
      </c>
      <c r="C122" s="89" t="s">
        <v>383</v>
      </c>
      <c r="D122" s="89" t="s">
        <v>49</v>
      </c>
      <c r="E122" s="112">
        <v>88938477</v>
      </c>
      <c r="F122" s="221" t="s">
        <v>430</v>
      </c>
      <c r="G122" s="113">
        <v>42782454838</v>
      </c>
      <c r="H122" s="98">
        <v>33579</v>
      </c>
      <c r="I122" s="92">
        <v>34</v>
      </c>
      <c r="J122" s="114" t="s">
        <v>386</v>
      </c>
      <c r="K122" s="89" t="s">
        <v>51</v>
      </c>
      <c r="L122" s="89" t="s">
        <v>431</v>
      </c>
      <c r="M122" s="89" t="s">
        <v>432</v>
      </c>
      <c r="N122" s="89">
        <v>40</v>
      </c>
      <c r="O122" s="91">
        <v>11953788874</v>
      </c>
      <c r="P122" s="95" t="s">
        <v>55</v>
      </c>
      <c r="Q122" s="145" t="s">
        <v>56</v>
      </c>
      <c r="R122" s="96">
        <v>46178</v>
      </c>
      <c r="S122" s="97"/>
      <c r="T122" s="97" t="s">
        <v>57</v>
      </c>
      <c r="U122" s="97" t="s">
        <v>58</v>
      </c>
      <c r="V122" s="118">
        <v>46174</v>
      </c>
      <c r="W122" s="93">
        <v>46181</v>
      </c>
      <c r="X122" s="98"/>
      <c r="Y122" s="98"/>
      <c r="Z122" s="89" t="s">
        <v>59</v>
      </c>
      <c r="AA122" s="97">
        <v>46190</v>
      </c>
      <c r="AB122" s="89"/>
      <c r="AC122" s="120"/>
      <c r="AD122" s="89"/>
      <c r="AE122" s="89"/>
      <c r="AF122" s="119"/>
      <c r="AG122" s="119"/>
      <c r="AH122" s="119"/>
      <c r="AI122" s="100"/>
      <c r="AJ122" s="100" t="s">
        <v>65</v>
      </c>
      <c r="AK122" s="100" t="s">
        <v>66</v>
      </c>
      <c r="AL122" s="45" t="s">
        <v>67</v>
      </c>
      <c r="AM122" s="199" t="str">
        <f t="shared" si="8"/>
        <v>5/2026</v>
      </c>
      <c r="AN122" s="45">
        <f t="shared" si="9"/>
        <v>5</v>
      </c>
      <c r="AO122" s="45" t="str">
        <f t="shared" si="10"/>
        <v>6/2026</v>
      </c>
      <c r="AP122" s="45">
        <f t="shared" si="11"/>
        <v>1</v>
      </c>
      <c r="AQ122" s="45">
        <f t="shared" si="12"/>
        <v>9</v>
      </c>
      <c r="AR122" s="45">
        <f t="shared" si="13"/>
        <v>0</v>
      </c>
      <c r="AS122" s="45">
        <f t="shared" si="14"/>
        <v>7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7" t="s">
        <v>66</v>
      </c>
      <c r="B123" s="88">
        <v>46170</v>
      </c>
      <c r="C123" s="89" t="s">
        <v>383</v>
      </c>
      <c r="D123" s="89" t="s">
        <v>49</v>
      </c>
      <c r="E123" s="112">
        <v>593952570</v>
      </c>
      <c r="F123" s="221" t="s">
        <v>433</v>
      </c>
      <c r="G123" s="113">
        <v>9519501851</v>
      </c>
      <c r="H123" s="98">
        <v>25447</v>
      </c>
      <c r="I123" s="92">
        <v>56</v>
      </c>
      <c r="J123" s="114" t="s">
        <v>391</v>
      </c>
      <c r="K123" s="89" t="s">
        <v>51</v>
      </c>
      <c r="L123" s="89" t="s">
        <v>165</v>
      </c>
      <c r="M123" s="89" t="s">
        <v>434</v>
      </c>
      <c r="N123" s="89">
        <v>50</v>
      </c>
      <c r="O123" s="91"/>
      <c r="P123" s="95" t="s">
        <v>55</v>
      </c>
      <c r="Q123" s="145" t="s">
        <v>400</v>
      </c>
      <c r="R123" s="122"/>
      <c r="S123" s="97"/>
      <c r="T123" s="97" t="s">
        <v>401</v>
      </c>
      <c r="U123" s="97" t="s">
        <v>193</v>
      </c>
      <c r="V123" s="118">
        <v>46178</v>
      </c>
      <c r="W123" s="93">
        <v>46181</v>
      </c>
      <c r="X123" s="98"/>
      <c r="Y123" s="98"/>
      <c r="Z123" s="89"/>
      <c r="AA123" s="122"/>
      <c r="AB123" s="89"/>
      <c r="AC123" s="120"/>
      <c r="AD123" s="89"/>
      <c r="AE123" s="89"/>
      <c r="AF123" s="119"/>
      <c r="AG123" s="119"/>
      <c r="AH123" s="119"/>
      <c r="AI123" s="100"/>
      <c r="AJ123" s="100" t="s">
        <v>65</v>
      </c>
      <c r="AK123" s="100" t="s">
        <v>66</v>
      </c>
      <c r="AL123" s="45" t="s">
        <v>67</v>
      </c>
      <c r="AM123" s="199" t="str">
        <f t="shared" si="8"/>
        <v>5/2026</v>
      </c>
      <c r="AN123" s="45">
        <f t="shared" si="9"/>
        <v>5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 x14ac:dyDescent="0.3">
      <c r="A124" s="87" t="s">
        <v>66</v>
      </c>
      <c r="B124" s="88">
        <v>46170</v>
      </c>
      <c r="C124" s="89" t="s">
        <v>383</v>
      </c>
      <c r="D124" s="89" t="s">
        <v>435</v>
      </c>
      <c r="E124" s="112">
        <v>758722346</v>
      </c>
      <c r="F124" s="221" t="s">
        <v>436</v>
      </c>
      <c r="G124" s="113" t="s">
        <v>437</v>
      </c>
      <c r="H124" s="98">
        <v>20074</v>
      </c>
      <c r="I124" s="92">
        <v>71</v>
      </c>
      <c r="J124" s="114" t="s">
        <v>391</v>
      </c>
      <c r="K124" s="89" t="s">
        <v>85</v>
      </c>
      <c r="L124" s="89" t="s">
        <v>438</v>
      </c>
      <c r="M124" s="89" t="s">
        <v>439</v>
      </c>
      <c r="N124" s="89">
        <v>200</v>
      </c>
      <c r="O124" s="91"/>
      <c r="P124" s="95" t="s">
        <v>55</v>
      </c>
      <c r="Q124" s="145" t="s">
        <v>400</v>
      </c>
      <c r="R124" s="122"/>
      <c r="S124" s="97"/>
      <c r="T124" s="97" t="s">
        <v>401</v>
      </c>
      <c r="U124" s="97" t="s">
        <v>193</v>
      </c>
      <c r="V124" s="118">
        <v>46178</v>
      </c>
      <c r="W124" s="93">
        <v>46181</v>
      </c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 t="s">
        <v>65</v>
      </c>
      <c r="AK124" s="100" t="s">
        <v>66</v>
      </c>
      <c r="AL124" s="45" t="s">
        <v>67</v>
      </c>
      <c r="AM124" s="199" t="str">
        <f t="shared" si="8"/>
        <v>5/2026</v>
      </c>
      <c r="AN124" s="45">
        <f t="shared" si="9"/>
        <v>5</v>
      </c>
      <c r="AO124" s="45" t="str">
        <f t="shared" si="10"/>
        <v>1/1900</v>
      </c>
      <c r="AP124" s="45" t="e">
        <f t="shared" si="11"/>
        <v>#NUM!</v>
      </c>
      <c r="AQ124" s="45">
        <f t="shared" si="12"/>
        <v>0</v>
      </c>
      <c r="AR124" s="45">
        <f t="shared" si="13"/>
        <v>0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7" t="s">
        <v>66</v>
      </c>
      <c r="B125" s="93">
        <v>46175</v>
      </c>
      <c r="C125" s="89" t="s">
        <v>440</v>
      </c>
      <c r="D125" s="89" t="s">
        <v>49</v>
      </c>
      <c r="E125" s="112">
        <v>776272918</v>
      </c>
      <c r="F125" s="221" t="s">
        <v>441</v>
      </c>
      <c r="G125" s="113">
        <v>5437947844</v>
      </c>
      <c r="H125" s="98">
        <v>22777</v>
      </c>
      <c r="I125" s="92"/>
      <c r="J125" s="114" t="s">
        <v>391</v>
      </c>
      <c r="K125" s="89" t="s">
        <v>51</v>
      </c>
      <c r="L125" s="89" t="s">
        <v>281</v>
      </c>
      <c r="M125" s="89" t="s">
        <v>442</v>
      </c>
      <c r="N125" s="89">
        <v>100</v>
      </c>
      <c r="O125" s="91" t="s">
        <v>443</v>
      </c>
      <c r="P125" s="95" t="s">
        <v>55</v>
      </c>
      <c r="Q125" s="145" t="s">
        <v>56</v>
      </c>
      <c r="R125" s="122">
        <v>46189</v>
      </c>
      <c r="S125" s="97"/>
      <c r="T125" s="97" t="s">
        <v>57</v>
      </c>
      <c r="U125" s="97" t="s">
        <v>58</v>
      </c>
      <c r="V125" s="118">
        <v>46178</v>
      </c>
      <c r="W125" s="93">
        <v>46181</v>
      </c>
      <c r="X125" s="98"/>
      <c r="Y125" s="98"/>
      <c r="Z125" s="89" t="s">
        <v>59</v>
      </c>
      <c r="AA125" s="97">
        <v>46196</v>
      </c>
      <c r="AB125" s="89"/>
      <c r="AC125" s="120"/>
      <c r="AD125" s="89"/>
      <c r="AE125" s="89"/>
      <c r="AF125" s="119"/>
      <c r="AG125" s="119"/>
      <c r="AH125" s="119"/>
      <c r="AI125" s="100"/>
      <c r="AJ125" s="100" t="s">
        <v>66</v>
      </c>
      <c r="AK125" s="100" t="s">
        <v>66</v>
      </c>
      <c r="AL125" s="45" t="s">
        <v>67</v>
      </c>
      <c r="AM125" s="199" t="str">
        <f t="shared" si="8"/>
        <v>6/2026</v>
      </c>
      <c r="AN125" s="45">
        <f t="shared" si="9"/>
        <v>1</v>
      </c>
      <c r="AO125" s="45" t="str">
        <f t="shared" si="10"/>
        <v>6/2026</v>
      </c>
      <c r="AP125" s="45">
        <f t="shared" si="11"/>
        <v>3</v>
      </c>
      <c r="AQ125" s="45">
        <f t="shared" si="12"/>
        <v>14</v>
      </c>
      <c r="AR125" s="45">
        <f t="shared" si="13"/>
        <v>0</v>
      </c>
      <c r="AS125" s="45">
        <f t="shared" si="14"/>
        <v>3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7" t="s">
        <v>66</v>
      </c>
      <c r="B126" s="93">
        <v>46175</v>
      </c>
      <c r="C126" s="89" t="s">
        <v>440</v>
      </c>
      <c r="D126" s="89" t="s">
        <v>49</v>
      </c>
      <c r="E126" s="112">
        <v>87560959</v>
      </c>
      <c r="F126" s="221" t="s">
        <v>444</v>
      </c>
      <c r="G126" s="113">
        <v>8464128703</v>
      </c>
      <c r="H126" s="98">
        <v>29598</v>
      </c>
      <c r="I126" s="92"/>
      <c r="J126" s="114" t="s">
        <v>391</v>
      </c>
      <c r="K126" s="89" t="s">
        <v>85</v>
      </c>
      <c r="L126" s="89" t="s">
        <v>96</v>
      </c>
      <c r="M126" s="89" t="s">
        <v>445</v>
      </c>
      <c r="N126" s="89">
        <v>380</v>
      </c>
      <c r="O126" s="91" t="s">
        <v>446</v>
      </c>
      <c r="P126" s="95" t="s">
        <v>55</v>
      </c>
      <c r="Q126" s="145" t="s">
        <v>56</v>
      </c>
      <c r="R126" s="96">
        <v>46178</v>
      </c>
      <c r="S126" s="97"/>
      <c r="T126" s="97" t="s">
        <v>57</v>
      </c>
      <c r="U126" s="97" t="s">
        <v>58</v>
      </c>
      <c r="V126" s="118">
        <v>46178</v>
      </c>
      <c r="W126" s="93">
        <v>46181</v>
      </c>
      <c r="X126" s="118"/>
      <c r="Y126" s="118"/>
      <c r="Z126" s="89" t="s">
        <v>59</v>
      </c>
      <c r="AA126" s="97">
        <v>46189</v>
      </c>
      <c r="AB126" s="89"/>
      <c r="AC126" s="120"/>
      <c r="AD126" s="89"/>
      <c r="AE126" s="89"/>
      <c r="AF126" s="119"/>
      <c r="AG126" s="119"/>
      <c r="AH126" s="119"/>
      <c r="AI126" s="100"/>
      <c r="AJ126" s="100" t="s">
        <v>66</v>
      </c>
      <c r="AK126" s="100" t="s">
        <v>66</v>
      </c>
      <c r="AL126" s="45" t="s">
        <v>67</v>
      </c>
      <c r="AM126" s="199" t="str">
        <f t="shared" si="8"/>
        <v>6/2026</v>
      </c>
      <c r="AN126" s="45">
        <f t="shared" si="9"/>
        <v>1</v>
      </c>
      <c r="AO126" s="45" t="str">
        <f t="shared" si="10"/>
        <v>6/2026</v>
      </c>
      <c r="AP126" s="45">
        <f t="shared" si="11"/>
        <v>1</v>
      </c>
      <c r="AQ126" s="45">
        <f t="shared" si="12"/>
        <v>3</v>
      </c>
      <c r="AR126" s="45">
        <f t="shared" si="13"/>
        <v>0</v>
      </c>
      <c r="AS126" s="45">
        <f t="shared" si="14"/>
        <v>3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7" t="s">
        <v>66</v>
      </c>
      <c r="B127" s="93">
        <v>46175</v>
      </c>
      <c r="C127" s="89" t="s">
        <v>440</v>
      </c>
      <c r="D127" s="89" t="s">
        <v>447</v>
      </c>
      <c r="E127" s="112">
        <v>86202834</v>
      </c>
      <c r="F127" s="221" t="s">
        <v>448</v>
      </c>
      <c r="G127" s="113" t="s">
        <v>449</v>
      </c>
      <c r="H127" s="98">
        <v>25843</v>
      </c>
      <c r="I127" s="92"/>
      <c r="J127" s="114" t="s">
        <v>450</v>
      </c>
      <c r="K127" s="89" t="s">
        <v>51</v>
      </c>
      <c r="L127" s="89" t="s">
        <v>451</v>
      </c>
      <c r="M127" s="89" t="s">
        <v>452</v>
      </c>
      <c r="N127" s="89">
        <v>80</v>
      </c>
      <c r="O127" s="91">
        <v>11984495850</v>
      </c>
      <c r="P127" s="95" t="s">
        <v>55</v>
      </c>
      <c r="Q127" s="145" t="s">
        <v>56</v>
      </c>
      <c r="R127" s="96">
        <v>46178</v>
      </c>
      <c r="S127" s="97"/>
      <c r="T127" s="97" t="s">
        <v>57</v>
      </c>
      <c r="U127" s="97" t="s">
        <v>58</v>
      </c>
      <c r="V127" s="118">
        <v>46178</v>
      </c>
      <c r="W127" s="93">
        <v>46181</v>
      </c>
      <c r="X127" s="98"/>
      <c r="Y127" s="98"/>
      <c r="Z127" s="89" t="s">
        <v>59</v>
      </c>
      <c r="AA127" s="97">
        <v>46190</v>
      </c>
      <c r="AB127" s="89"/>
      <c r="AC127" s="120"/>
      <c r="AD127" s="89"/>
      <c r="AE127" s="89"/>
      <c r="AF127" s="119"/>
      <c r="AG127" s="119"/>
      <c r="AH127" s="119"/>
      <c r="AI127" s="100"/>
      <c r="AJ127" s="100" t="s">
        <v>66</v>
      </c>
      <c r="AK127" s="100" t="s">
        <v>66</v>
      </c>
      <c r="AL127" s="45" t="s">
        <v>67</v>
      </c>
      <c r="AM127" s="199" t="str">
        <f t="shared" si="8"/>
        <v>6/2026</v>
      </c>
      <c r="AN127" s="45">
        <f t="shared" si="9"/>
        <v>1</v>
      </c>
      <c r="AO127" s="45" t="str">
        <f t="shared" si="10"/>
        <v>6/2026</v>
      </c>
      <c r="AP127" s="45">
        <f t="shared" si="11"/>
        <v>1</v>
      </c>
      <c r="AQ127" s="45">
        <f t="shared" si="12"/>
        <v>3</v>
      </c>
      <c r="AR127" s="45">
        <f t="shared" si="13"/>
        <v>0</v>
      </c>
      <c r="AS127" s="45">
        <f t="shared" si="14"/>
        <v>3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7" t="s">
        <v>66</v>
      </c>
      <c r="B128" s="93">
        <v>46175</v>
      </c>
      <c r="C128" s="89" t="s">
        <v>440</v>
      </c>
      <c r="D128" s="89" t="s">
        <v>447</v>
      </c>
      <c r="E128" s="112">
        <v>96245353</v>
      </c>
      <c r="F128" s="221" t="s">
        <v>453</v>
      </c>
      <c r="G128" s="113" t="s">
        <v>454</v>
      </c>
      <c r="H128" s="98">
        <v>28023</v>
      </c>
      <c r="I128" s="92"/>
      <c r="J128" s="114" t="s">
        <v>455</v>
      </c>
      <c r="K128" s="89" t="s">
        <v>85</v>
      </c>
      <c r="L128" s="89" t="s">
        <v>86</v>
      </c>
      <c r="M128" s="89" t="s">
        <v>456</v>
      </c>
      <c r="N128" s="89">
        <v>75</v>
      </c>
      <c r="O128" s="91" t="s">
        <v>457</v>
      </c>
      <c r="P128" s="95" t="s">
        <v>55</v>
      </c>
      <c r="Q128" s="145" t="s">
        <v>56</v>
      </c>
      <c r="R128" s="96">
        <v>46178</v>
      </c>
      <c r="S128" s="97"/>
      <c r="T128" s="97" t="s">
        <v>57</v>
      </c>
      <c r="U128" s="97" t="s">
        <v>58</v>
      </c>
      <c r="V128" s="118">
        <v>46178</v>
      </c>
      <c r="W128" s="93">
        <v>46181</v>
      </c>
      <c r="X128" s="98"/>
      <c r="Y128" s="98"/>
      <c r="Z128" s="89" t="s">
        <v>59</v>
      </c>
      <c r="AA128" s="97">
        <v>46188</v>
      </c>
      <c r="AB128" s="89"/>
      <c r="AC128" s="120"/>
      <c r="AD128" s="89"/>
      <c r="AE128" s="89"/>
      <c r="AF128" s="119"/>
      <c r="AG128" s="119"/>
      <c r="AH128" s="119"/>
      <c r="AI128" s="100"/>
      <c r="AJ128" s="100" t="s">
        <v>66</v>
      </c>
      <c r="AK128" s="100" t="s">
        <v>66</v>
      </c>
      <c r="AL128" s="45" t="s">
        <v>67</v>
      </c>
      <c r="AM128" s="199" t="str">
        <f t="shared" si="8"/>
        <v>6/2026</v>
      </c>
      <c r="AN128" s="45">
        <f t="shared" si="9"/>
        <v>1</v>
      </c>
      <c r="AO128" s="45" t="str">
        <f t="shared" si="10"/>
        <v>6/2026</v>
      </c>
      <c r="AP128" s="45">
        <f t="shared" si="11"/>
        <v>1</v>
      </c>
      <c r="AQ128" s="45">
        <f t="shared" si="12"/>
        <v>3</v>
      </c>
      <c r="AR128" s="45">
        <f t="shared" si="13"/>
        <v>0</v>
      </c>
      <c r="AS128" s="45">
        <f t="shared" si="14"/>
        <v>3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7" t="s">
        <v>66</v>
      </c>
      <c r="B129" s="93">
        <v>46176</v>
      </c>
      <c r="C129" s="89" t="s">
        <v>440</v>
      </c>
      <c r="D129" s="89" t="s">
        <v>49</v>
      </c>
      <c r="E129" s="112">
        <v>92751038</v>
      </c>
      <c r="F129" s="221" t="s">
        <v>458</v>
      </c>
      <c r="G129" s="113">
        <v>11071488716</v>
      </c>
      <c r="H129" s="98">
        <v>31679</v>
      </c>
      <c r="I129" s="92"/>
      <c r="J129" s="114" t="s">
        <v>391</v>
      </c>
      <c r="K129" s="89" t="s">
        <v>85</v>
      </c>
      <c r="L129" s="89" t="s">
        <v>96</v>
      </c>
      <c r="M129" s="89" t="s">
        <v>459</v>
      </c>
      <c r="N129" s="89">
        <v>450</v>
      </c>
      <c r="O129" s="91">
        <v>21995401338</v>
      </c>
      <c r="P129" s="95" t="s">
        <v>55</v>
      </c>
      <c r="Q129" s="145" t="s">
        <v>56</v>
      </c>
      <c r="R129" s="96">
        <v>46178</v>
      </c>
      <c r="S129" s="97"/>
      <c r="T129" s="97" t="s">
        <v>57</v>
      </c>
      <c r="U129" s="97" t="s">
        <v>58</v>
      </c>
      <c r="V129" s="118">
        <v>46178</v>
      </c>
      <c r="W129" s="93">
        <v>46181</v>
      </c>
      <c r="X129" s="98"/>
      <c r="Y129" s="98"/>
      <c r="Z129" s="89" t="s">
        <v>59</v>
      </c>
      <c r="AA129" s="97">
        <v>46188</v>
      </c>
      <c r="AB129" s="89" t="s">
        <v>60</v>
      </c>
      <c r="AC129" s="120"/>
      <c r="AD129" s="89"/>
      <c r="AE129" s="89"/>
      <c r="AF129" s="119"/>
      <c r="AG129" s="119"/>
      <c r="AH129" s="119"/>
      <c r="AI129" s="100"/>
      <c r="AJ129" s="100" t="s">
        <v>66</v>
      </c>
      <c r="AK129" s="100" t="s">
        <v>66</v>
      </c>
      <c r="AL129" s="45" t="s">
        <v>67</v>
      </c>
      <c r="AM129" s="199" t="str">
        <f t="shared" si="8"/>
        <v>6/2026</v>
      </c>
      <c r="AN129" s="45">
        <f t="shared" si="9"/>
        <v>1</v>
      </c>
      <c r="AO129" s="45" t="str">
        <f t="shared" si="10"/>
        <v>6/2026</v>
      </c>
      <c r="AP129" s="45">
        <f t="shared" si="11"/>
        <v>1</v>
      </c>
      <c r="AQ129" s="45">
        <f t="shared" si="12"/>
        <v>2</v>
      </c>
      <c r="AR129" s="45">
        <f t="shared" si="13"/>
        <v>0</v>
      </c>
      <c r="AS129" s="45">
        <f t="shared" si="14"/>
        <v>3</v>
      </c>
      <c r="AT129" s="45">
        <f t="shared" si="15"/>
        <v>10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7" t="s">
        <v>66</v>
      </c>
      <c r="B130" s="93">
        <v>46181</v>
      </c>
      <c r="C130" s="89" t="s">
        <v>440</v>
      </c>
      <c r="D130" s="89" t="s">
        <v>49</v>
      </c>
      <c r="E130" s="112">
        <v>777709511</v>
      </c>
      <c r="F130" s="221" t="s">
        <v>460</v>
      </c>
      <c r="G130" s="113">
        <v>47769319820</v>
      </c>
      <c r="H130" s="98">
        <v>19161</v>
      </c>
      <c r="I130" s="92"/>
      <c r="J130" s="114" t="s">
        <v>391</v>
      </c>
      <c r="K130" s="89" t="s">
        <v>51</v>
      </c>
      <c r="L130" s="89" t="s">
        <v>52</v>
      </c>
      <c r="M130" s="89" t="s">
        <v>461</v>
      </c>
      <c r="N130" s="89">
        <v>100</v>
      </c>
      <c r="O130" s="91" t="s">
        <v>462</v>
      </c>
      <c r="P130" s="95" t="s">
        <v>55</v>
      </c>
      <c r="Q130" s="145" t="s">
        <v>56</v>
      </c>
      <c r="R130" s="96">
        <v>46178</v>
      </c>
      <c r="S130" s="97"/>
      <c r="T130" s="97" t="s">
        <v>57</v>
      </c>
      <c r="U130" s="97" t="s">
        <v>58</v>
      </c>
      <c r="V130" s="118">
        <v>46181</v>
      </c>
      <c r="W130" s="93"/>
      <c r="X130" s="98"/>
      <c r="Y130" s="98"/>
      <c r="Z130" s="89" t="s">
        <v>59</v>
      </c>
      <c r="AA130" s="122">
        <v>46190</v>
      </c>
      <c r="AB130" s="89"/>
      <c r="AC130" s="120"/>
      <c r="AD130" s="89"/>
      <c r="AE130" s="89"/>
      <c r="AF130" s="119"/>
      <c r="AG130" s="119"/>
      <c r="AH130" s="119"/>
      <c r="AI130" s="100"/>
      <c r="AJ130" s="100" t="s">
        <v>66</v>
      </c>
      <c r="AK130" s="100" t="s">
        <v>66</v>
      </c>
      <c r="AL130" s="45" t="s">
        <v>67</v>
      </c>
      <c r="AM130" s="199" t="str">
        <f t="shared" ref="AM130:AM193" si="16">MONTH(B130)&amp;"/"&amp;YEAR(B130)</f>
        <v>6/2026</v>
      </c>
      <c r="AN130" s="45">
        <f t="shared" ref="AN130:AN193" si="17">WEEKNUM(B130)-WEEKNUM(EOMONTH(B130,-1)+1)+1</f>
        <v>2</v>
      </c>
      <c r="AO130" s="45" t="str">
        <f t="shared" ref="AO130:AO193" si="18">MONTH(R130)&amp;"/"&amp;YEAR(R130)</f>
        <v>6/2026</v>
      </c>
      <c r="AP130" s="45">
        <f t="shared" ref="AP130:AP193" si="19">WEEKNUM(R130)-WEEKNUM(EOMONTH(R130,-1)+1)+1</f>
        <v>1</v>
      </c>
      <c r="AQ130" s="45">
        <f t="shared" ref="AQ130:AQ193" si="20">IF(AU130="S",IF(Q130="1. Aceitou o programa",R130-B130,0),0)</f>
        <v>-3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7" t="s">
        <v>66</v>
      </c>
      <c r="B131" s="93">
        <v>46182</v>
      </c>
      <c r="C131" s="89" t="s">
        <v>440</v>
      </c>
      <c r="D131" s="89" t="s">
        <v>49</v>
      </c>
      <c r="E131" s="112">
        <v>94006037</v>
      </c>
      <c r="F131" s="221" t="s">
        <v>463</v>
      </c>
      <c r="G131" s="113">
        <v>952367750</v>
      </c>
      <c r="H131" s="98">
        <v>26177</v>
      </c>
      <c r="I131" s="92"/>
      <c r="J131" s="114" t="s">
        <v>386</v>
      </c>
      <c r="K131" s="89" t="s">
        <v>85</v>
      </c>
      <c r="L131" s="89" t="s">
        <v>96</v>
      </c>
      <c r="M131" s="89" t="s">
        <v>464</v>
      </c>
      <c r="N131" s="89">
        <v>750</v>
      </c>
      <c r="O131" s="91" t="s">
        <v>465</v>
      </c>
      <c r="P131" s="95" t="s">
        <v>55</v>
      </c>
      <c r="Q131" s="145" t="s">
        <v>400</v>
      </c>
      <c r="R131" s="122"/>
      <c r="S131" s="97"/>
      <c r="T131" s="97"/>
      <c r="U131" s="97"/>
      <c r="V131" s="118">
        <v>46188</v>
      </c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 t="s">
        <v>66</v>
      </c>
      <c r="AK131" s="100" t="s">
        <v>66</v>
      </c>
      <c r="AL131" s="45" t="s">
        <v>67</v>
      </c>
      <c r="AM131" s="199" t="str">
        <f t="shared" si="16"/>
        <v>6/2026</v>
      </c>
      <c r="AN131" s="45">
        <f t="shared" si="17"/>
        <v>2</v>
      </c>
      <c r="AO131" s="45" t="str">
        <f t="shared" si="18"/>
        <v>1/1900</v>
      </c>
      <c r="AP131" s="45" t="e">
        <f t="shared" si="19"/>
        <v>#NUM!</v>
      </c>
      <c r="AQ131" s="45">
        <f t="shared" si="20"/>
        <v>0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7" t="s">
        <v>66</v>
      </c>
      <c r="B132" s="93">
        <v>46184</v>
      </c>
      <c r="C132" s="89" t="s">
        <v>440</v>
      </c>
      <c r="D132" s="89" t="s">
        <v>447</v>
      </c>
      <c r="E132" s="112">
        <v>95328186</v>
      </c>
      <c r="F132" s="221" t="s">
        <v>466</v>
      </c>
      <c r="G132" s="113" t="s">
        <v>467</v>
      </c>
      <c r="H132" s="98">
        <v>30815</v>
      </c>
      <c r="I132" s="92"/>
      <c r="J132" s="114" t="s">
        <v>386</v>
      </c>
      <c r="K132" s="89" t="s">
        <v>85</v>
      </c>
      <c r="L132" s="89" t="s">
        <v>86</v>
      </c>
      <c r="M132" s="89" t="s">
        <v>468</v>
      </c>
      <c r="N132" s="89">
        <v>450</v>
      </c>
      <c r="O132" s="91" t="s">
        <v>469</v>
      </c>
      <c r="P132" s="95" t="s">
        <v>55</v>
      </c>
      <c r="Q132" s="145" t="s">
        <v>56</v>
      </c>
      <c r="R132" s="122">
        <v>46189</v>
      </c>
      <c r="S132" s="97"/>
      <c r="T132" s="97" t="s">
        <v>57</v>
      </c>
      <c r="U132" s="97" t="s">
        <v>58</v>
      </c>
      <c r="V132" s="118">
        <v>46188</v>
      </c>
      <c r="W132" s="118"/>
      <c r="X132" s="98"/>
      <c r="Y132" s="98"/>
      <c r="Z132" s="89" t="s">
        <v>59</v>
      </c>
      <c r="AA132" s="97">
        <v>46196</v>
      </c>
      <c r="AB132" s="89"/>
      <c r="AC132" s="120"/>
      <c r="AD132" s="89"/>
      <c r="AE132" s="89"/>
      <c r="AF132" s="119"/>
      <c r="AG132" s="119"/>
      <c r="AH132" s="119"/>
      <c r="AI132" s="100"/>
      <c r="AJ132" s="100" t="s">
        <v>66</v>
      </c>
      <c r="AK132" s="100" t="s">
        <v>66</v>
      </c>
      <c r="AL132" s="45" t="s">
        <v>67</v>
      </c>
      <c r="AM132" s="199" t="str">
        <f t="shared" si="16"/>
        <v>6/2026</v>
      </c>
      <c r="AN132" s="45">
        <f t="shared" si="17"/>
        <v>2</v>
      </c>
      <c r="AO132" s="45" t="str">
        <f t="shared" si="18"/>
        <v>6/2026</v>
      </c>
      <c r="AP132" s="45">
        <f t="shared" si="19"/>
        <v>3</v>
      </c>
      <c r="AQ132" s="45">
        <f t="shared" si="20"/>
        <v>5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7" t="s">
        <v>66</v>
      </c>
      <c r="B133" s="93">
        <v>46188</v>
      </c>
      <c r="C133" s="89" t="s">
        <v>440</v>
      </c>
      <c r="D133" s="89" t="s">
        <v>49</v>
      </c>
      <c r="E133" s="112">
        <v>94048807</v>
      </c>
      <c r="F133" s="221" t="s">
        <v>470</v>
      </c>
      <c r="G133" s="113">
        <v>25077361860</v>
      </c>
      <c r="H133" s="98">
        <v>27199</v>
      </c>
      <c r="I133" s="92"/>
      <c r="J133" s="114" t="s">
        <v>391</v>
      </c>
      <c r="K133" s="89" t="s">
        <v>51</v>
      </c>
      <c r="L133" s="89" t="s">
        <v>52</v>
      </c>
      <c r="M133" s="89" t="s">
        <v>471</v>
      </c>
      <c r="N133" s="89">
        <v>110</v>
      </c>
      <c r="O133" s="91" t="s">
        <v>472</v>
      </c>
      <c r="P133" s="95" t="s">
        <v>55</v>
      </c>
      <c r="Q133" s="145" t="s">
        <v>56</v>
      </c>
      <c r="R133" s="122">
        <v>46189</v>
      </c>
      <c r="S133" s="97"/>
      <c r="T133" s="97" t="s">
        <v>57</v>
      </c>
      <c r="U133" s="97" t="s">
        <v>58</v>
      </c>
      <c r="V133" s="118">
        <v>46188</v>
      </c>
      <c r="W133" s="118"/>
      <c r="X133" s="98"/>
      <c r="Y133" s="118"/>
      <c r="Z133" s="89" t="s">
        <v>59</v>
      </c>
      <c r="AA133" s="122">
        <v>46189</v>
      </c>
      <c r="AB133" s="89"/>
      <c r="AC133" s="120"/>
      <c r="AD133" s="89"/>
      <c r="AE133" s="89"/>
      <c r="AF133" s="119"/>
      <c r="AG133" s="119"/>
      <c r="AH133" s="119"/>
      <c r="AI133" s="100"/>
      <c r="AJ133" s="100" t="s">
        <v>66</v>
      </c>
      <c r="AK133" s="100" t="s">
        <v>66</v>
      </c>
      <c r="AL133" s="45" t="s">
        <v>67</v>
      </c>
      <c r="AM133" s="199" t="str">
        <f t="shared" si="16"/>
        <v>6/2026</v>
      </c>
      <c r="AN133" s="45">
        <f t="shared" si="17"/>
        <v>3</v>
      </c>
      <c r="AO133" s="45" t="str">
        <f t="shared" si="18"/>
        <v>6/2026</v>
      </c>
      <c r="AP133" s="45">
        <f t="shared" si="19"/>
        <v>3</v>
      </c>
      <c r="AQ133" s="45">
        <f t="shared" si="20"/>
        <v>1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7" t="s">
        <v>66</v>
      </c>
      <c r="B134" s="93">
        <v>46189</v>
      </c>
      <c r="C134" s="89" t="s">
        <v>440</v>
      </c>
      <c r="D134" s="89" t="s">
        <v>49</v>
      </c>
      <c r="E134" s="112">
        <v>452530547</v>
      </c>
      <c r="F134" s="221" t="s">
        <v>473</v>
      </c>
      <c r="G134" s="113">
        <v>27391376809</v>
      </c>
      <c r="H134" s="98">
        <v>28397</v>
      </c>
      <c r="I134" s="92"/>
      <c r="J134" s="114" t="s">
        <v>391</v>
      </c>
      <c r="K134" s="89" t="s">
        <v>51</v>
      </c>
      <c r="L134" s="89" t="s">
        <v>309</v>
      </c>
      <c r="M134" s="89" t="s">
        <v>474</v>
      </c>
      <c r="N134" s="89">
        <v>400</v>
      </c>
      <c r="O134" s="91">
        <v>11983115434</v>
      </c>
      <c r="P134" s="95" t="s">
        <v>55</v>
      </c>
      <c r="Q134" s="145" t="s">
        <v>400</v>
      </c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 t="s">
        <v>66</v>
      </c>
      <c r="AK134" s="100" t="s">
        <v>66</v>
      </c>
      <c r="AL134" s="45" t="s">
        <v>67</v>
      </c>
      <c r="AM134" s="199" t="str">
        <f t="shared" si="16"/>
        <v>6/2026</v>
      </c>
      <c r="AN134" s="45">
        <f t="shared" si="17"/>
        <v>3</v>
      </c>
      <c r="AO134" s="45" t="str">
        <f t="shared" si="18"/>
        <v>1/1900</v>
      </c>
      <c r="AP134" s="45" t="e">
        <f t="shared" si="19"/>
        <v>#NUM!</v>
      </c>
      <c r="AQ134" s="45">
        <f t="shared" si="20"/>
        <v>0</v>
      </c>
      <c r="AR134" s="45">
        <f t="shared" si="21"/>
        <v>0</v>
      </c>
      <c r="AS134" s="45">
        <f t="shared" si="22"/>
        <v>0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7" t="s">
        <v>66</v>
      </c>
      <c r="B135" s="93">
        <v>46189</v>
      </c>
      <c r="C135" s="89" t="s">
        <v>440</v>
      </c>
      <c r="D135" s="89" t="s">
        <v>49</v>
      </c>
      <c r="E135" s="112">
        <v>86564244</v>
      </c>
      <c r="F135" s="221" t="s">
        <v>475</v>
      </c>
      <c r="G135" s="113">
        <v>26027366869</v>
      </c>
      <c r="H135" s="98">
        <v>28827</v>
      </c>
      <c r="I135" s="92"/>
      <c r="J135" s="114" t="s">
        <v>386</v>
      </c>
      <c r="K135" s="89" t="s">
        <v>51</v>
      </c>
      <c r="L135" s="89" t="s">
        <v>52</v>
      </c>
      <c r="M135" s="89" t="s">
        <v>476</v>
      </c>
      <c r="N135" s="89">
        <v>60</v>
      </c>
      <c r="O135" s="91">
        <v>11974299276</v>
      </c>
      <c r="P135" s="95" t="s">
        <v>55</v>
      </c>
      <c r="Q135" s="145" t="s">
        <v>400</v>
      </c>
      <c r="R135" s="122"/>
      <c r="S135" s="121"/>
      <c r="T135" s="97"/>
      <c r="U135" s="97"/>
      <c r="V135" s="118"/>
      <c r="W135" s="118"/>
      <c r="X135" s="118"/>
      <c r="Y135" s="9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 t="s">
        <v>66</v>
      </c>
      <c r="AK135" s="100" t="s">
        <v>66</v>
      </c>
      <c r="AL135" s="45" t="s">
        <v>67</v>
      </c>
      <c r="AM135" s="199" t="str">
        <f t="shared" si="16"/>
        <v>6/2026</v>
      </c>
      <c r="AN135" s="45">
        <f t="shared" si="17"/>
        <v>3</v>
      </c>
      <c r="AO135" s="45" t="str">
        <f t="shared" si="18"/>
        <v>1/1900</v>
      </c>
      <c r="AP135" s="45" t="e">
        <f t="shared" si="19"/>
        <v>#NUM!</v>
      </c>
      <c r="AQ135" s="45">
        <f t="shared" si="20"/>
        <v>0</v>
      </c>
      <c r="AR135" s="45">
        <f t="shared" si="21"/>
        <v>0</v>
      </c>
      <c r="AS135" s="45">
        <f t="shared" si="22"/>
        <v>0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7" t="s">
        <v>66</v>
      </c>
      <c r="B136" s="93">
        <v>46191</v>
      </c>
      <c r="C136" s="89" t="s">
        <v>440</v>
      </c>
      <c r="D136" s="89" t="s">
        <v>447</v>
      </c>
      <c r="E136" s="112">
        <v>94300457</v>
      </c>
      <c r="F136" s="221" t="s">
        <v>477</v>
      </c>
      <c r="G136" s="113" t="s">
        <v>478</v>
      </c>
      <c r="H136" s="98">
        <v>28306</v>
      </c>
      <c r="I136" s="92"/>
      <c r="J136" s="114" t="s">
        <v>386</v>
      </c>
      <c r="K136" s="89" t="s">
        <v>85</v>
      </c>
      <c r="L136" s="89" t="s">
        <v>96</v>
      </c>
      <c r="M136" s="89" t="s">
        <v>479</v>
      </c>
      <c r="N136" s="89">
        <v>120</v>
      </c>
      <c r="O136" s="91">
        <v>21965328172</v>
      </c>
      <c r="P136" s="95"/>
      <c r="Q136" s="145"/>
      <c r="R136" s="122"/>
      <c r="S136" s="97"/>
      <c r="T136" s="97"/>
      <c r="U136" s="97"/>
      <c r="V136" s="118"/>
      <c r="W136" s="118"/>
      <c r="X136" s="98"/>
      <c r="Y136" s="11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 t="s">
        <v>66</v>
      </c>
      <c r="AK136" s="100" t="s">
        <v>66</v>
      </c>
      <c r="AL136" s="45" t="s">
        <v>67</v>
      </c>
      <c r="AM136" s="199" t="str">
        <f t="shared" si="16"/>
        <v>6/2026</v>
      </c>
      <c r="AN136" s="45">
        <f t="shared" si="17"/>
        <v>3</v>
      </c>
      <c r="AO136" s="45" t="str">
        <f t="shared" si="18"/>
        <v>1/1900</v>
      </c>
      <c r="AP136" s="45" t="e">
        <f t="shared" si="19"/>
        <v>#NUM!</v>
      </c>
      <c r="AQ136" s="45">
        <f t="shared" si="20"/>
        <v>0</v>
      </c>
      <c r="AR136" s="45">
        <f t="shared" si="21"/>
        <v>0</v>
      </c>
      <c r="AS136" s="45">
        <f t="shared" si="22"/>
        <v>0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7"/>
      <c r="B137" s="93"/>
      <c r="C137" s="89"/>
      <c r="D137" s="89"/>
      <c r="E137" s="112"/>
      <c r="F137" s="221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67</v>
      </c>
      <c r="AM137" s="199" t="str">
        <f t="shared" si="16"/>
        <v>1/1900</v>
      </c>
      <c r="AN137" s="45" t="e">
        <f t="shared" si="17"/>
        <v>#NUM!</v>
      </c>
      <c r="AO137" s="45" t="str">
        <f t="shared" si="18"/>
        <v>1/1900</v>
      </c>
      <c r="AP137" s="45" t="e">
        <f t="shared" si="19"/>
        <v>#NUM!</v>
      </c>
      <c r="AQ137" s="45">
        <f t="shared" si="20"/>
        <v>0</v>
      </c>
      <c r="AR137" s="45">
        <f t="shared" si="21"/>
        <v>0</v>
      </c>
      <c r="AS137" s="45">
        <f t="shared" si="22"/>
        <v>0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7"/>
      <c r="B138" s="93"/>
      <c r="C138" s="89"/>
      <c r="D138" s="89"/>
      <c r="E138" s="112"/>
      <c r="F138" s="221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67</v>
      </c>
      <c r="AM138" s="199" t="str">
        <f t="shared" si="16"/>
        <v>1/1900</v>
      </c>
      <c r="AN138" s="45" t="e">
        <f t="shared" si="17"/>
        <v>#NUM!</v>
      </c>
      <c r="AO138" s="45" t="str">
        <f t="shared" si="18"/>
        <v>1/1900</v>
      </c>
      <c r="AP138" s="45" t="e">
        <f t="shared" si="19"/>
        <v>#NUM!</v>
      </c>
      <c r="AQ138" s="45">
        <f t="shared" si="20"/>
        <v>0</v>
      </c>
      <c r="AR138" s="45">
        <f t="shared" si="21"/>
        <v>0</v>
      </c>
      <c r="AS138" s="45">
        <f t="shared" si="22"/>
        <v>0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7"/>
      <c r="B139" s="93"/>
      <c r="C139" s="89"/>
      <c r="D139" s="89"/>
      <c r="E139" s="112"/>
      <c r="F139" s="221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122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L139" s="45" t="s">
        <v>67</v>
      </c>
      <c r="AM139" s="199" t="str">
        <f t="shared" si="16"/>
        <v>1/1900</v>
      </c>
      <c r="AN139" s="45" t="e">
        <f t="shared" si="17"/>
        <v>#NUM!</v>
      </c>
      <c r="AO139" s="45" t="str">
        <f t="shared" si="18"/>
        <v>1/1900</v>
      </c>
      <c r="AP139" s="45" t="e">
        <f t="shared" si="19"/>
        <v>#NUM!</v>
      </c>
      <c r="AQ139" s="45">
        <f t="shared" si="20"/>
        <v>0</v>
      </c>
      <c r="AR139" s="45">
        <f t="shared" si="21"/>
        <v>0</v>
      </c>
      <c r="AS139" s="45">
        <f t="shared" si="22"/>
        <v>0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7"/>
      <c r="B140" s="93"/>
      <c r="C140" s="89"/>
      <c r="D140" s="89"/>
      <c r="E140" s="112"/>
      <c r="F140" s="221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97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L140" s="45" t="s">
        <v>67</v>
      </c>
      <c r="AM140" s="199" t="str">
        <f t="shared" si="16"/>
        <v>1/1900</v>
      </c>
      <c r="AN140" s="45" t="e">
        <f t="shared" si="17"/>
        <v>#NUM!</v>
      </c>
      <c r="AO140" s="45" t="str">
        <f t="shared" si="18"/>
        <v>1/1900</v>
      </c>
      <c r="AP140" s="45" t="e">
        <f t="shared" si="19"/>
        <v>#NUM!</v>
      </c>
      <c r="AQ140" s="45">
        <f t="shared" si="20"/>
        <v>0</v>
      </c>
      <c r="AR140" s="45">
        <f t="shared" si="21"/>
        <v>0</v>
      </c>
      <c r="AS140" s="45">
        <f t="shared" si="22"/>
        <v>0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7"/>
      <c r="B141" s="93"/>
      <c r="C141" s="89"/>
      <c r="D141" s="89"/>
      <c r="E141" s="112"/>
      <c r="F141" s="221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98"/>
      <c r="Y141" s="9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67</v>
      </c>
      <c r="AM141" s="199" t="str">
        <f t="shared" si="16"/>
        <v>1/1900</v>
      </c>
      <c r="AN141" s="45" t="e">
        <f t="shared" si="17"/>
        <v>#NUM!</v>
      </c>
      <c r="AO141" s="45" t="str">
        <f t="shared" si="18"/>
        <v>1/1900</v>
      </c>
      <c r="AP141" s="45" t="e">
        <f t="shared" si="19"/>
        <v>#NUM!</v>
      </c>
      <c r="AQ141" s="45">
        <f t="shared" si="20"/>
        <v>0</v>
      </c>
      <c r="AR141" s="45">
        <f t="shared" si="21"/>
        <v>0</v>
      </c>
      <c r="AS141" s="45">
        <f t="shared" si="22"/>
        <v>0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7"/>
      <c r="B142" s="93"/>
      <c r="C142" s="89"/>
      <c r="D142" s="89"/>
      <c r="E142" s="112"/>
      <c r="F142" s="221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118"/>
      <c r="Y142" s="11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67</v>
      </c>
      <c r="AM142" s="199" t="str">
        <f t="shared" si="16"/>
        <v>1/1900</v>
      </c>
      <c r="AN142" s="45" t="e">
        <f t="shared" si="17"/>
        <v>#NUM!</v>
      </c>
      <c r="AO142" s="45" t="str">
        <f t="shared" si="18"/>
        <v>1/1900</v>
      </c>
      <c r="AP142" s="45" t="e">
        <f t="shared" si="19"/>
        <v>#NUM!</v>
      </c>
      <c r="AQ142" s="45">
        <f t="shared" si="20"/>
        <v>0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7"/>
      <c r="B143" s="93"/>
      <c r="C143" s="89"/>
      <c r="D143" s="89"/>
      <c r="E143" s="112"/>
      <c r="F143" s="221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L143" s="45" t="s">
        <v>67</v>
      </c>
      <c r="AM143" s="199" t="str">
        <f t="shared" si="16"/>
        <v>1/1900</v>
      </c>
      <c r="AN143" s="45" t="e">
        <f t="shared" si="17"/>
        <v>#NUM!</v>
      </c>
      <c r="AO143" s="45" t="str">
        <f t="shared" si="18"/>
        <v>1/1900</v>
      </c>
      <c r="AP143" s="45" t="e">
        <f t="shared" si="19"/>
        <v>#NUM!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7"/>
      <c r="B144" s="93"/>
      <c r="C144" s="89"/>
      <c r="D144" s="89"/>
      <c r="E144" s="112"/>
      <c r="F144" s="221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122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L144" s="45" t="s">
        <v>67</v>
      </c>
      <c r="AM144" s="199" t="str">
        <f t="shared" si="16"/>
        <v>1/1900</v>
      </c>
      <c r="AN144" s="45" t="e">
        <f t="shared" si="17"/>
        <v>#NUM!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7"/>
      <c r="B145" s="93"/>
      <c r="C145" s="89"/>
      <c r="D145" s="89"/>
      <c r="E145" s="112"/>
      <c r="F145" s="221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97"/>
      <c r="T145" s="97"/>
      <c r="U145" s="97"/>
      <c r="V145" s="118"/>
      <c r="W145" s="118"/>
      <c r="X145" s="98"/>
      <c r="Y145" s="98"/>
      <c r="Z145" s="89"/>
      <c r="AA145" s="97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67</v>
      </c>
      <c r="AM145" s="199" t="str">
        <f t="shared" si="16"/>
        <v>1/1900</v>
      </c>
      <c r="AN145" s="45" t="e">
        <f t="shared" si="17"/>
        <v>#NUM!</v>
      </c>
      <c r="AO145" s="45" t="str">
        <f t="shared" si="18"/>
        <v>1/1900</v>
      </c>
      <c r="AP145" s="45" t="e">
        <f t="shared" si="19"/>
        <v>#NUM!</v>
      </c>
      <c r="AQ145" s="45">
        <f t="shared" si="20"/>
        <v>0</v>
      </c>
      <c r="AR145" s="45">
        <f t="shared" si="21"/>
        <v>0</v>
      </c>
      <c r="AS145" s="45">
        <f t="shared" si="22"/>
        <v>0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7"/>
      <c r="B146" s="93"/>
      <c r="C146" s="89"/>
      <c r="D146" s="89"/>
      <c r="E146" s="112"/>
      <c r="F146" s="221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L146" s="45" t="s">
        <v>67</v>
      </c>
      <c r="AM146" s="199" t="str">
        <f t="shared" si="16"/>
        <v>1/1900</v>
      </c>
      <c r="AN146" s="45" t="e">
        <f t="shared" si="17"/>
        <v>#NUM!</v>
      </c>
      <c r="AO146" s="45" t="str">
        <f t="shared" si="18"/>
        <v>1/1900</v>
      </c>
      <c r="AP146" s="45" t="e">
        <f t="shared" si="19"/>
        <v>#NUM!</v>
      </c>
      <c r="AQ146" s="45">
        <f t="shared" si="20"/>
        <v>0</v>
      </c>
      <c r="AR146" s="45">
        <f t="shared" si="21"/>
        <v>0</v>
      </c>
      <c r="AS146" s="45">
        <f t="shared" si="22"/>
        <v>0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7"/>
      <c r="B147" s="93"/>
      <c r="C147" s="89"/>
      <c r="D147" s="89"/>
      <c r="E147" s="112"/>
      <c r="F147" s="221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L147" s="45" t="s">
        <v>67</v>
      </c>
      <c r="AM147" s="199" t="str">
        <f t="shared" si="16"/>
        <v>1/1900</v>
      </c>
      <c r="AN147" s="45" t="e">
        <f t="shared" si="17"/>
        <v>#NUM!</v>
      </c>
      <c r="AO147" s="45" t="str">
        <f t="shared" si="18"/>
        <v>1/1900</v>
      </c>
      <c r="AP147" s="45" t="e">
        <f t="shared" si="19"/>
        <v>#NUM!</v>
      </c>
      <c r="AQ147" s="45">
        <f t="shared" si="20"/>
        <v>0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7"/>
      <c r="B148" s="93"/>
      <c r="C148" s="89"/>
      <c r="D148" s="89"/>
      <c r="E148" s="112"/>
      <c r="F148" s="221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67</v>
      </c>
      <c r="AM148" s="199" t="str">
        <f t="shared" si="16"/>
        <v>1/1900</v>
      </c>
      <c r="AN148" s="45" t="e">
        <f t="shared" si="17"/>
        <v>#NUM!</v>
      </c>
      <c r="AO148" s="45" t="str">
        <f t="shared" si="18"/>
        <v>1/1900</v>
      </c>
      <c r="AP148" s="45" t="e">
        <f t="shared" si="19"/>
        <v>#NUM!</v>
      </c>
      <c r="AQ148" s="45">
        <f t="shared" si="20"/>
        <v>0</v>
      </c>
      <c r="AR148" s="45">
        <f t="shared" si="21"/>
        <v>0</v>
      </c>
      <c r="AS148" s="45">
        <f t="shared" si="22"/>
        <v>0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7"/>
      <c r="B149" s="93"/>
      <c r="C149" s="89"/>
      <c r="D149" s="89"/>
      <c r="E149" s="112"/>
      <c r="F149" s="221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67</v>
      </c>
      <c r="AM149" s="199" t="str">
        <f t="shared" si="16"/>
        <v>1/1900</v>
      </c>
      <c r="AN149" s="45" t="e">
        <f t="shared" si="17"/>
        <v>#NUM!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7"/>
      <c r="B150" s="93"/>
      <c r="C150" s="89"/>
      <c r="D150" s="89"/>
      <c r="E150" s="112"/>
      <c r="F150" s="221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67</v>
      </c>
      <c r="AM150" s="199" t="str">
        <f t="shared" si="16"/>
        <v>1/1900</v>
      </c>
      <c r="AN150" s="45" t="e">
        <f t="shared" si="17"/>
        <v>#NUM!</v>
      </c>
      <c r="AO150" s="45" t="str">
        <f t="shared" si="18"/>
        <v>1/1900</v>
      </c>
      <c r="AP150" s="45" t="e">
        <f t="shared" si="19"/>
        <v>#NUM!</v>
      </c>
      <c r="AQ150" s="45">
        <f t="shared" si="20"/>
        <v>0</v>
      </c>
      <c r="AR150" s="45">
        <f t="shared" si="21"/>
        <v>0</v>
      </c>
      <c r="AS150" s="45">
        <f t="shared" si="22"/>
        <v>0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7"/>
      <c r="B151" s="93"/>
      <c r="C151" s="89"/>
      <c r="D151" s="89"/>
      <c r="E151" s="112"/>
      <c r="F151" s="221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67</v>
      </c>
      <c r="AM151" s="199" t="str">
        <f t="shared" si="16"/>
        <v>1/1900</v>
      </c>
      <c r="AN151" s="45" t="e">
        <f t="shared" si="17"/>
        <v>#NUM!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7"/>
      <c r="B152" s="93"/>
      <c r="C152" s="89"/>
      <c r="D152" s="89"/>
      <c r="E152" s="112"/>
      <c r="F152" s="221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121"/>
      <c r="T152" s="97"/>
      <c r="U152" s="97"/>
      <c r="V152" s="118"/>
      <c r="W152" s="118"/>
      <c r="X152" s="11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L152" s="45" t="s">
        <v>67</v>
      </c>
      <c r="AM152" s="199" t="str">
        <f t="shared" si="16"/>
        <v>1/1900</v>
      </c>
      <c r="AN152" s="45" t="e">
        <f t="shared" si="17"/>
        <v>#NUM!</v>
      </c>
      <c r="AO152" s="45" t="str">
        <f t="shared" si="18"/>
        <v>1/1900</v>
      </c>
      <c r="AP152" s="45" t="e">
        <f t="shared" si="19"/>
        <v>#NUM!</v>
      </c>
      <c r="AQ152" s="45">
        <f t="shared" si="20"/>
        <v>0</v>
      </c>
      <c r="AR152" s="45">
        <f t="shared" si="21"/>
        <v>0</v>
      </c>
      <c r="AS152" s="45">
        <f t="shared" si="22"/>
        <v>0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7"/>
      <c r="B153" s="93"/>
      <c r="C153" s="89"/>
      <c r="D153" s="89"/>
      <c r="E153" s="112"/>
      <c r="F153" s="221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122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67</v>
      </c>
      <c r="AM153" s="199" t="str">
        <f t="shared" si="16"/>
        <v>1/1900</v>
      </c>
      <c r="AN153" s="45" t="e">
        <f t="shared" si="17"/>
        <v>#NUM!</v>
      </c>
      <c r="AO153" s="45" t="str">
        <f t="shared" si="18"/>
        <v>1/1900</v>
      </c>
      <c r="AP153" s="45" t="e">
        <f t="shared" si="19"/>
        <v>#NUM!</v>
      </c>
      <c r="AQ153" s="45">
        <f t="shared" si="20"/>
        <v>0</v>
      </c>
      <c r="AR153" s="45">
        <f t="shared" si="21"/>
        <v>0</v>
      </c>
      <c r="AS153" s="45">
        <f t="shared" si="22"/>
        <v>0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7"/>
      <c r="B154" s="93"/>
      <c r="C154" s="89"/>
      <c r="D154" s="89"/>
      <c r="E154" s="112"/>
      <c r="F154" s="221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L154" s="45" t="s">
        <v>67</v>
      </c>
      <c r="AM154" s="199" t="str">
        <f t="shared" si="16"/>
        <v>1/1900</v>
      </c>
      <c r="AN154" s="45" t="e">
        <f t="shared" si="17"/>
        <v>#NUM!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 x14ac:dyDescent="0.3">
      <c r="A155" s="87"/>
      <c r="B155" s="93"/>
      <c r="C155" s="89"/>
      <c r="D155" s="89"/>
      <c r="E155" s="112"/>
      <c r="F155" s="221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L155" s="45" t="s">
        <v>67</v>
      </c>
      <c r="AM155" s="199" t="str">
        <f t="shared" si="16"/>
        <v>1/1900</v>
      </c>
      <c r="AN155" s="45" t="e">
        <f t="shared" si="17"/>
        <v>#NUM!</v>
      </c>
      <c r="AO155" s="45" t="str">
        <f t="shared" si="18"/>
        <v>1/1900</v>
      </c>
      <c r="AP155" s="45" t="e">
        <f t="shared" si="19"/>
        <v>#NUM!</v>
      </c>
      <c r="AQ155" s="45">
        <f t="shared" si="20"/>
        <v>0</v>
      </c>
      <c r="AR155" s="45">
        <f t="shared" si="21"/>
        <v>0</v>
      </c>
      <c r="AS155" s="45">
        <f t="shared" si="22"/>
        <v>0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 x14ac:dyDescent="0.3">
      <c r="A156" s="87"/>
      <c r="B156" s="93"/>
      <c r="C156" s="89"/>
      <c r="D156" s="89"/>
      <c r="E156" s="112"/>
      <c r="F156" s="221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67</v>
      </c>
      <c r="AM156" s="199" t="str">
        <f t="shared" si="16"/>
        <v>1/1900</v>
      </c>
      <c r="AN156" s="45" t="e">
        <f t="shared" si="17"/>
        <v>#NUM!</v>
      </c>
      <c r="AO156" s="45" t="str">
        <f t="shared" si="18"/>
        <v>1/1900</v>
      </c>
      <c r="AP156" s="45" t="e">
        <f t="shared" si="19"/>
        <v>#NUM!</v>
      </c>
      <c r="AQ156" s="45">
        <f t="shared" si="20"/>
        <v>0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7"/>
      <c r="B157" s="93"/>
      <c r="C157" s="89"/>
      <c r="D157" s="89"/>
      <c r="E157" s="112"/>
      <c r="F157" s="221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L157" s="45" t="s">
        <v>67</v>
      </c>
      <c r="AM157" s="199" t="str">
        <f t="shared" si="16"/>
        <v>1/1900</v>
      </c>
      <c r="AN157" s="45" t="e">
        <f t="shared" si="17"/>
        <v>#NUM!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7"/>
      <c r="B158" s="93"/>
      <c r="C158" s="89"/>
      <c r="D158" s="89"/>
      <c r="E158" s="112"/>
      <c r="F158" s="221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67</v>
      </c>
      <c r="AM158" s="199" t="str">
        <f t="shared" si="16"/>
        <v>1/1900</v>
      </c>
      <c r="AN158" s="45" t="e">
        <f t="shared" si="17"/>
        <v>#NUM!</v>
      </c>
      <c r="AO158" s="45" t="str">
        <f t="shared" si="18"/>
        <v>1/1900</v>
      </c>
      <c r="AP158" s="45" t="e">
        <f t="shared" si="19"/>
        <v>#NUM!</v>
      </c>
      <c r="AQ158" s="45">
        <f t="shared" si="20"/>
        <v>0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7"/>
      <c r="B159" s="93"/>
      <c r="C159" s="89"/>
      <c r="D159" s="89"/>
      <c r="E159" s="112"/>
      <c r="F159" s="221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97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L159" s="45" t="s">
        <v>67</v>
      </c>
      <c r="AM159" s="199" t="str">
        <f t="shared" si="16"/>
        <v>1/1900</v>
      </c>
      <c r="AN159" s="45" t="e">
        <f t="shared" si="17"/>
        <v>#NUM!</v>
      </c>
      <c r="AO159" s="45" t="str">
        <f t="shared" si="18"/>
        <v>1/1900</v>
      </c>
      <c r="AP159" s="45" t="e">
        <f t="shared" si="19"/>
        <v>#NUM!</v>
      </c>
      <c r="AQ159" s="45">
        <f t="shared" si="20"/>
        <v>0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7"/>
      <c r="B160" s="93"/>
      <c r="C160" s="89"/>
      <c r="D160" s="89"/>
      <c r="E160" s="112"/>
      <c r="F160" s="221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122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L160" s="45" t="s">
        <v>67</v>
      </c>
      <c r="AM160" s="199" t="str">
        <f t="shared" si="16"/>
        <v>1/1900</v>
      </c>
      <c r="AN160" s="45" t="e">
        <f t="shared" si="17"/>
        <v>#NUM!</v>
      </c>
      <c r="AO160" s="45" t="str">
        <f t="shared" si="18"/>
        <v>1/1900</v>
      </c>
      <c r="AP160" s="45" t="e">
        <f t="shared" si="19"/>
        <v>#NUM!</v>
      </c>
      <c r="AQ160" s="45">
        <f t="shared" si="20"/>
        <v>0</v>
      </c>
      <c r="AR160" s="45">
        <f t="shared" si="21"/>
        <v>0</v>
      </c>
      <c r="AS160" s="45">
        <f t="shared" si="22"/>
        <v>0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7"/>
      <c r="B161" s="93"/>
      <c r="C161" s="89"/>
      <c r="D161" s="89"/>
      <c r="E161" s="112"/>
      <c r="F161" s="221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L161" s="45" t="s">
        <v>67</v>
      </c>
      <c r="AM161" s="199" t="str">
        <f t="shared" si="16"/>
        <v>1/1900</v>
      </c>
      <c r="AN161" s="45" t="e">
        <f t="shared" si="17"/>
        <v>#NUM!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7"/>
      <c r="B162" s="93"/>
      <c r="C162" s="89"/>
      <c r="D162" s="89"/>
      <c r="E162" s="112"/>
      <c r="F162" s="221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98"/>
      <c r="X162" s="98"/>
      <c r="Y162" s="98"/>
      <c r="Z162" s="89"/>
      <c r="AA162" s="97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67</v>
      </c>
      <c r="AM162" s="199" t="str">
        <f t="shared" si="16"/>
        <v>1/1900</v>
      </c>
      <c r="AN162" s="45" t="e">
        <f t="shared" si="17"/>
        <v>#NUM!</v>
      </c>
      <c r="AO162" s="45" t="str">
        <f t="shared" si="18"/>
        <v>1/1900</v>
      </c>
      <c r="AP162" s="45" t="e">
        <f t="shared" si="19"/>
        <v>#NUM!</v>
      </c>
      <c r="AQ162" s="45">
        <f t="shared" si="20"/>
        <v>0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7"/>
      <c r="B163" s="93"/>
      <c r="C163" s="89"/>
      <c r="D163" s="89"/>
      <c r="E163" s="112"/>
      <c r="F163" s="221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122"/>
      <c r="S163" s="97"/>
      <c r="T163" s="97"/>
      <c r="U163" s="97"/>
      <c r="V163" s="118"/>
      <c r="W163" s="118"/>
      <c r="X163" s="118"/>
      <c r="Y163" s="11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67</v>
      </c>
      <c r="AM163" s="199" t="str">
        <f t="shared" si="16"/>
        <v>1/1900</v>
      </c>
      <c r="AN163" s="45" t="e">
        <f t="shared" si="17"/>
        <v>#NUM!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7"/>
      <c r="B164" s="93"/>
      <c r="C164" s="89"/>
      <c r="D164" s="89"/>
      <c r="E164" s="112"/>
      <c r="F164" s="221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5"/>
      <c r="R164" s="97"/>
      <c r="S164" s="97"/>
      <c r="T164" s="97"/>
      <c r="U164" s="97"/>
      <c r="V164" s="118"/>
      <c r="W164" s="124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67</v>
      </c>
      <c r="AM164" s="199" t="str">
        <f t="shared" si="16"/>
        <v>1/1900</v>
      </c>
      <c r="AN164" s="45" t="e">
        <f t="shared" si="17"/>
        <v>#NUM!</v>
      </c>
      <c r="AO164" s="45" t="str">
        <f t="shared" si="18"/>
        <v>1/1900</v>
      </c>
      <c r="AP164" s="45" t="e">
        <f t="shared" si="19"/>
        <v>#NUM!</v>
      </c>
      <c r="AQ164" s="45">
        <f t="shared" si="20"/>
        <v>0</v>
      </c>
      <c r="AR164" s="45">
        <f t="shared" si="21"/>
        <v>0</v>
      </c>
      <c r="AS164" s="45">
        <f t="shared" si="22"/>
        <v>0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7"/>
      <c r="B165" s="93"/>
      <c r="C165" s="89"/>
      <c r="D165" s="89"/>
      <c r="E165" s="112"/>
      <c r="F165" s="221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6"/>
      <c r="R165" s="122"/>
      <c r="S165" s="95"/>
      <c r="T165" s="97"/>
      <c r="U165" s="97"/>
      <c r="V165" s="118"/>
      <c r="W165" s="98"/>
      <c r="X165" s="98"/>
      <c r="Y165" s="9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L165" s="45" t="s">
        <v>67</v>
      </c>
      <c r="AM165" s="199" t="str">
        <f t="shared" si="16"/>
        <v>1/1900</v>
      </c>
      <c r="AN165" s="45" t="e">
        <f t="shared" si="17"/>
        <v>#NUM!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7"/>
      <c r="B166" s="93"/>
      <c r="C166" s="89"/>
      <c r="D166" s="89"/>
      <c r="E166" s="112"/>
      <c r="F166" s="221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97"/>
      <c r="T166" s="97"/>
      <c r="U166" s="97"/>
      <c r="V166" s="118"/>
      <c r="W166" s="118"/>
      <c r="X166" s="118"/>
      <c r="Y166" s="11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L166" s="45" t="s">
        <v>67</v>
      </c>
      <c r="AM166" s="199" t="str">
        <f t="shared" si="16"/>
        <v>1/1900</v>
      </c>
      <c r="AN166" s="45" t="e">
        <f t="shared" si="17"/>
        <v>#NUM!</v>
      </c>
      <c r="AO166" s="45" t="str">
        <f t="shared" si="18"/>
        <v>1/1900</v>
      </c>
      <c r="AP166" s="45" t="e">
        <f t="shared" si="19"/>
        <v>#NUM!</v>
      </c>
      <c r="AQ166" s="45">
        <f t="shared" si="20"/>
        <v>0</v>
      </c>
      <c r="AR166" s="45">
        <f t="shared" si="21"/>
        <v>0</v>
      </c>
      <c r="AS166" s="45">
        <f t="shared" si="22"/>
        <v>0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7"/>
      <c r="B167" s="93"/>
      <c r="C167" s="89"/>
      <c r="D167" s="89"/>
      <c r="E167" s="112"/>
      <c r="F167" s="221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2"/>
      <c r="T167" s="97"/>
      <c r="U167" s="97"/>
      <c r="V167" s="118"/>
      <c r="W167" s="124"/>
      <c r="X167" s="9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L167" s="45" t="s">
        <v>67</v>
      </c>
      <c r="AM167" s="199" t="str">
        <f t="shared" si="16"/>
        <v>1/1900</v>
      </c>
      <c r="AN167" s="45" t="e">
        <f t="shared" si="17"/>
        <v>#NUM!</v>
      </c>
      <c r="AO167" s="45" t="str">
        <f t="shared" si="18"/>
        <v>1/1900</v>
      </c>
      <c r="AP167" s="45" t="e">
        <f t="shared" si="19"/>
        <v>#NUM!</v>
      </c>
      <c r="AQ167" s="45">
        <f t="shared" si="20"/>
        <v>0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7"/>
      <c r="B168" s="93"/>
      <c r="C168" s="89"/>
      <c r="D168" s="89"/>
      <c r="E168" s="112"/>
      <c r="F168" s="221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67</v>
      </c>
      <c r="AM168" s="199" t="str">
        <f t="shared" si="16"/>
        <v>1/1900</v>
      </c>
      <c r="AN168" s="45" t="e">
        <f t="shared" si="17"/>
        <v>#NUM!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9"/>
      <c r="B169" s="93"/>
      <c r="C169" s="89"/>
      <c r="D169" s="89"/>
      <c r="E169" s="112"/>
      <c r="F169" s="221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121"/>
      <c r="T169" s="97"/>
      <c r="U169" s="97"/>
      <c r="V169" s="118"/>
      <c r="W169" s="118"/>
      <c r="X169" s="118"/>
      <c r="Y169" s="98"/>
      <c r="Z169" s="89"/>
      <c r="AA169" s="122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L169" s="45" t="s">
        <v>67</v>
      </c>
      <c r="AM169" s="199" t="str">
        <f t="shared" si="16"/>
        <v>1/1900</v>
      </c>
      <c r="AN169" s="45" t="e">
        <f t="shared" si="17"/>
        <v>#NUM!</v>
      </c>
      <c r="AO169" s="45" t="str">
        <f t="shared" si="18"/>
        <v>1/1900</v>
      </c>
      <c r="AP169" s="45" t="e">
        <f t="shared" si="19"/>
        <v>#NUM!</v>
      </c>
      <c r="AQ169" s="45">
        <f t="shared" si="20"/>
        <v>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7"/>
      <c r="B170" s="93"/>
      <c r="C170" s="89"/>
      <c r="D170" s="89"/>
      <c r="E170" s="112"/>
      <c r="F170" s="221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7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67</v>
      </c>
      <c r="AM170" s="199" t="str">
        <f t="shared" si="16"/>
        <v>1/1900</v>
      </c>
      <c r="AN170" s="45" t="e">
        <f t="shared" si="17"/>
        <v>#NUM!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7"/>
      <c r="B171" s="93"/>
      <c r="C171" s="89"/>
      <c r="D171" s="89"/>
      <c r="E171" s="112"/>
      <c r="F171" s="221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L171" s="45" t="s">
        <v>67</v>
      </c>
      <c r="AM171" s="199" t="str">
        <f t="shared" si="16"/>
        <v>1/1900</v>
      </c>
      <c r="AN171" s="45" t="e">
        <f t="shared" si="17"/>
        <v>#NUM!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7"/>
      <c r="B172" s="93"/>
      <c r="C172" s="89"/>
      <c r="D172" s="89"/>
      <c r="E172" s="112"/>
      <c r="F172" s="221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67</v>
      </c>
      <c r="AM172" s="199" t="str">
        <f t="shared" si="16"/>
        <v>1/1900</v>
      </c>
      <c r="AN172" s="45" t="e">
        <f t="shared" si="17"/>
        <v>#NUM!</v>
      </c>
      <c r="AO172" s="45" t="str">
        <f t="shared" si="18"/>
        <v>1/1900</v>
      </c>
      <c r="AP172" s="45" t="e">
        <f t="shared" si="19"/>
        <v>#NUM!</v>
      </c>
      <c r="AQ172" s="45">
        <f t="shared" si="20"/>
        <v>0</v>
      </c>
      <c r="AR172" s="45">
        <f t="shared" si="21"/>
        <v>0</v>
      </c>
      <c r="AS172" s="45">
        <f t="shared" si="22"/>
        <v>0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customHeight="1" x14ac:dyDescent="0.3">
      <c r="A173" s="87"/>
      <c r="B173" s="93"/>
      <c r="C173" s="89"/>
      <c r="D173" s="89"/>
      <c r="E173" s="112"/>
      <c r="F173" s="221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67</v>
      </c>
      <c r="AM173" s="199" t="str">
        <f t="shared" si="16"/>
        <v>1/1900</v>
      </c>
      <c r="AN173" s="45" t="e">
        <f t="shared" si="17"/>
        <v>#NUM!</v>
      </c>
      <c r="AO173" s="45" t="str">
        <f t="shared" si="18"/>
        <v>1/1900</v>
      </c>
      <c r="AP173" s="45" t="e">
        <f t="shared" si="19"/>
        <v>#NUM!</v>
      </c>
      <c r="AQ173" s="45">
        <f t="shared" si="20"/>
        <v>0</v>
      </c>
      <c r="AR173" s="45">
        <f t="shared" si="21"/>
        <v>0</v>
      </c>
      <c r="AS173" s="45">
        <f t="shared" si="22"/>
        <v>0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7"/>
      <c r="B174" s="93"/>
      <c r="C174" s="89"/>
      <c r="D174" s="89"/>
      <c r="E174" s="112"/>
      <c r="F174" s="221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5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67</v>
      </c>
      <c r="AM174" s="199" t="str">
        <f t="shared" si="16"/>
        <v>1/1900</v>
      </c>
      <c r="AN174" s="45" t="e">
        <f t="shared" si="17"/>
        <v>#NUM!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9"/>
      <c r="B175" s="93"/>
      <c r="C175" s="89"/>
      <c r="D175" s="89"/>
      <c r="E175" s="112"/>
      <c r="F175" s="221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L175" s="45" t="s">
        <v>67</v>
      </c>
      <c r="AM175" s="199" t="str">
        <f t="shared" si="16"/>
        <v>1/1900</v>
      </c>
      <c r="AN175" s="45" t="e">
        <f t="shared" si="17"/>
        <v>#NUM!</v>
      </c>
      <c r="AO175" s="45" t="str">
        <f t="shared" si="18"/>
        <v>1/1900</v>
      </c>
      <c r="AP175" s="45" t="e">
        <f t="shared" si="19"/>
        <v>#NUM!</v>
      </c>
      <c r="AQ175" s="45">
        <f t="shared" si="20"/>
        <v>0</v>
      </c>
      <c r="AR175" s="45">
        <f t="shared" si="21"/>
        <v>0</v>
      </c>
      <c r="AS175" s="45">
        <f t="shared" si="22"/>
        <v>0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 x14ac:dyDescent="0.3">
      <c r="A176" s="89"/>
      <c r="B176" s="93"/>
      <c r="C176" s="89"/>
      <c r="D176" s="89"/>
      <c r="E176" s="112"/>
      <c r="F176" s="221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67</v>
      </c>
      <c r="AM176" s="199" t="str">
        <f t="shared" si="16"/>
        <v>1/1900</v>
      </c>
      <c r="AN176" s="45" t="e">
        <f t="shared" si="17"/>
        <v>#NUM!</v>
      </c>
      <c r="AO176" s="45" t="str">
        <f t="shared" si="18"/>
        <v>1/1900</v>
      </c>
      <c r="AP176" s="45" t="e">
        <f t="shared" si="19"/>
        <v>#NUM!</v>
      </c>
      <c r="AQ176" s="45">
        <f t="shared" si="20"/>
        <v>0</v>
      </c>
      <c r="AR176" s="45">
        <f t="shared" si="21"/>
        <v>0</v>
      </c>
      <c r="AS176" s="45">
        <f t="shared" si="22"/>
        <v>0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9"/>
      <c r="B177" s="93"/>
      <c r="C177" s="89"/>
      <c r="D177" s="89"/>
      <c r="E177" s="112"/>
      <c r="F177" s="221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6"/>
      <c r="R177" s="122"/>
      <c r="S177" s="95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L177" s="45" t="s">
        <v>67</v>
      </c>
      <c r="AM177" s="199" t="str">
        <f t="shared" si="16"/>
        <v>1/1900</v>
      </c>
      <c r="AN177" s="45" t="e">
        <f t="shared" si="17"/>
        <v>#NUM!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7"/>
      <c r="B178" s="93"/>
      <c r="C178" s="89"/>
      <c r="D178" s="89"/>
      <c r="E178" s="112"/>
      <c r="F178" s="221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L178" s="45" t="s">
        <v>67</v>
      </c>
      <c r="AM178" s="199" t="str">
        <f t="shared" si="16"/>
        <v>1/1900</v>
      </c>
      <c r="AN178" s="45" t="e">
        <f t="shared" si="17"/>
        <v>#NUM!</v>
      </c>
      <c r="AO178" s="45" t="str">
        <f t="shared" si="18"/>
        <v>1/1900</v>
      </c>
      <c r="AP178" s="45" t="e">
        <f t="shared" si="19"/>
        <v>#NUM!</v>
      </c>
      <c r="AQ178" s="45">
        <f t="shared" si="20"/>
        <v>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7"/>
      <c r="B179" s="93"/>
      <c r="C179" s="89"/>
      <c r="D179" s="89"/>
      <c r="E179" s="112"/>
      <c r="F179" s="221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67</v>
      </c>
      <c r="AM179" s="199" t="str">
        <f t="shared" si="16"/>
        <v>1/1900</v>
      </c>
      <c r="AN179" s="45" t="e">
        <f t="shared" si="17"/>
        <v>#NUM!</v>
      </c>
      <c r="AO179" s="45" t="str">
        <f t="shared" si="18"/>
        <v>1/1900</v>
      </c>
      <c r="AP179" s="45" t="e">
        <f t="shared" si="19"/>
        <v>#NUM!</v>
      </c>
      <c r="AQ179" s="45">
        <f t="shared" si="20"/>
        <v>0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7"/>
      <c r="B180" s="93"/>
      <c r="C180" s="89"/>
      <c r="D180" s="89"/>
      <c r="E180" s="112"/>
      <c r="F180" s="221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L180" s="45" t="s">
        <v>67</v>
      </c>
      <c r="AM180" s="199" t="str">
        <f t="shared" si="16"/>
        <v>1/1900</v>
      </c>
      <c r="AN180" s="45" t="e">
        <f t="shared" si="17"/>
        <v>#NUM!</v>
      </c>
      <c r="AO180" s="45" t="str">
        <f t="shared" si="18"/>
        <v>1/1900</v>
      </c>
      <c r="AP180" s="45" t="e">
        <f t="shared" si="19"/>
        <v>#NUM!</v>
      </c>
      <c r="AQ180" s="45">
        <f t="shared" si="20"/>
        <v>0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7"/>
      <c r="B181" s="93"/>
      <c r="C181" s="89"/>
      <c r="D181" s="89"/>
      <c r="E181" s="112"/>
      <c r="F181" s="221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67</v>
      </c>
      <c r="AM181" s="199" t="str">
        <f t="shared" si="16"/>
        <v>1/1900</v>
      </c>
      <c r="AN181" s="45" t="e">
        <f t="shared" si="17"/>
        <v>#NUM!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7"/>
      <c r="B182" s="93"/>
      <c r="C182" s="89"/>
      <c r="D182" s="89"/>
      <c r="E182" s="112"/>
      <c r="F182" s="221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7"/>
      <c r="T182" s="97"/>
      <c r="U182" s="97"/>
      <c r="V182" s="118"/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67</v>
      </c>
      <c r="AM182" s="199" t="str">
        <f t="shared" si="16"/>
        <v>1/1900</v>
      </c>
      <c r="AN182" s="45" t="e">
        <f t="shared" si="17"/>
        <v>#NUM!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9"/>
      <c r="B183" s="93"/>
      <c r="C183" s="89"/>
      <c r="D183" s="89"/>
      <c r="E183" s="112"/>
      <c r="F183" s="221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67</v>
      </c>
      <c r="AM183" s="199" t="str">
        <f t="shared" si="16"/>
        <v>1/1900</v>
      </c>
      <c r="AN183" s="45" t="e">
        <f t="shared" si="17"/>
        <v>#NUM!</v>
      </c>
      <c r="AO183" s="45" t="str">
        <f t="shared" si="18"/>
        <v>1/1900</v>
      </c>
      <c r="AP183" s="45" t="e">
        <f t="shared" si="19"/>
        <v>#NUM!</v>
      </c>
      <c r="AQ183" s="45">
        <f t="shared" si="20"/>
        <v>0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9"/>
      <c r="B184" s="93"/>
      <c r="C184" s="89"/>
      <c r="D184" s="89"/>
      <c r="E184" s="112"/>
      <c r="F184" s="221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2"/>
      <c r="S184" s="95"/>
      <c r="T184" s="97"/>
      <c r="U184" s="97"/>
      <c r="V184" s="118"/>
      <c r="W184" s="118"/>
      <c r="X184" s="98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67</v>
      </c>
      <c r="AM184" s="199" t="str">
        <f t="shared" si="16"/>
        <v>1/1900</v>
      </c>
      <c r="AN184" s="45" t="e">
        <f t="shared" si="17"/>
        <v>#NUM!</v>
      </c>
      <c r="AO184" s="45" t="str">
        <f t="shared" si="18"/>
        <v>1/1900</v>
      </c>
      <c r="AP184" s="45" t="e">
        <f t="shared" si="19"/>
        <v>#NUM!</v>
      </c>
      <c r="AQ184" s="45">
        <f t="shared" si="20"/>
        <v>0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9"/>
      <c r="B185" s="93"/>
      <c r="C185" s="89"/>
      <c r="D185" s="89"/>
      <c r="E185" s="112"/>
      <c r="F185" s="221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67</v>
      </c>
      <c r="AM185" s="199" t="str">
        <f t="shared" si="16"/>
        <v>1/1900</v>
      </c>
      <c r="AN185" s="45" t="e">
        <f t="shared" si="17"/>
        <v>#NUM!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9"/>
      <c r="B186" s="93"/>
      <c r="C186" s="89"/>
      <c r="D186" s="89"/>
      <c r="E186" s="112"/>
      <c r="F186" s="221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67</v>
      </c>
      <c r="AM186" s="199" t="str">
        <f t="shared" si="16"/>
        <v>1/1900</v>
      </c>
      <c r="AN186" s="45" t="e">
        <f t="shared" si="17"/>
        <v>#NUM!</v>
      </c>
      <c r="AO186" s="45" t="str">
        <f t="shared" si="18"/>
        <v>1/1900</v>
      </c>
      <c r="AP186" s="45" t="e">
        <f t="shared" si="19"/>
        <v>#NUM!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7"/>
      <c r="B187" s="93"/>
      <c r="C187" s="89"/>
      <c r="D187" s="89"/>
      <c r="E187" s="112"/>
      <c r="F187" s="221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5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67</v>
      </c>
      <c r="AM187" s="199" t="str">
        <f t="shared" si="16"/>
        <v>1/1900</v>
      </c>
      <c r="AN187" s="45" t="e">
        <f t="shared" si="17"/>
        <v>#NUM!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9"/>
      <c r="B188" s="93"/>
      <c r="C188" s="89"/>
      <c r="D188" s="89"/>
      <c r="E188" s="112"/>
      <c r="F188" s="221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67</v>
      </c>
      <c r="AM188" s="199" t="str">
        <f t="shared" si="16"/>
        <v>1/1900</v>
      </c>
      <c r="AN188" s="45" t="e">
        <f t="shared" si="17"/>
        <v>#NUM!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9"/>
      <c r="B189" s="93"/>
      <c r="C189" s="89"/>
      <c r="D189" s="89"/>
      <c r="E189" s="112"/>
      <c r="F189" s="221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6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67</v>
      </c>
      <c r="AM189" s="199" t="str">
        <f t="shared" si="16"/>
        <v>1/1900</v>
      </c>
      <c r="AN189" s="45" t="e">
        <f t="shared" si="17"/>
        <v>#NUM!</v>
      </c>
      <c r="AO189" s="45" t="str">
        <f t="shared" si="18"/>
        <v>1/1900</v>
      </c>
      <c r="AP189" s="45" t="e">
        <f t="shared" si="19"/>
        <v>#NUM!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7"/>
      <c r="B190" s="93"/>
      <c r="C190" s="89"/>
      <c r="D190" s="89"/>
      <c r="E190" s="112"/>
      <c r="F190" s="221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5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67</v>
      </c>
      <c r="AM190" s="199" t="str">
        <f t="shared" si="16"/>
        <v>1/1900</v>
      </c>
      <c r="AN190" s="45" t="e">
        <f t="shared" si="17"/>
        <v>#NUM!</v>
      </c>
      <c r="AO190" s="45" t="str">
        <f t="shared" si="18"/>
        <v>1/1900</v>
      </c>
      <c r="AP190" s="45" t="e">
        <f t="shared" si="19"/>
        <v>#NUM!</v>
      </c>
      <c r="AQ190" s="45">
        <f t="shared" si="20"/>
        <v>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 x14ac:dyDescent="0.3">
      <c r="A191" s="89"/>
      <c r="B191" s="93"/>
      <c r="C191" s="89"/>
      <c r="D191" s="89"/>
      <c r="E191" s="112"/>
      <c r="F191" s="221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67</v>
      </c>
      <c r="AM191" s="199" t="str">
        <f t="shared" si="16"/>
        <v>1/1900</v>
      </c>
      <c r="AN191" s="45" t="e">
        <f t="shared" si="17"/>
        <v>#NUM!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9"/>
      <c r="B192" s="93"/>
      <c r="C192" s="89"/>
      <c r="D192" s="89"/>
      <c r="E192" s="112"/>
      <c r="F192" s="221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6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67</v>
      </c>
      <c r="AM192" s="199" t="str">
        <f t="shared" si="16"/>
        <v>1/1900</v>
      </c>
      <c r="AN192" s="45" t="e">
        <f t="shared" si="17"/>
        <v>#NUM!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9"/>
      <c r="B193" s="93"/>
      <c r="C193" s="89"/>
      <c r="D193" s="89"/>
      <c r="E193" s="112"/>
      <c r="F193" s="221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67</v>
      </c>
      <c r="AM193" s="199" t="str">
        <f t="shared" si="16"/>
        <v>1/1900</v>
      </c>
      <c r="AN193" s="45" t="e">
        <f t="shared" si="17"/>
        <v>#NUM!</v>
      </c>
      <c r="AO193" s="45" t="str">
        <f t="shared" si="18"/>
        <v>1/1900</v>
      </c>
      <c r="AP193" s="45" t="e">
        <f t="shared" si="19"/>
        <v>#NUM!</v>
      </c>
      <c r="AQ193" s="45">
        <f t="shared" si="20"/>
        <v>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 x14ac:dyDescent="0.3">
      <c r="A194" s="89"/>
      <c r="B194" s="93"/>
      <c r="C194" s="89"/>
      <c r="D194" s="89"/>
      <c r="E194" s="112"/>
      <c r="F194" s="221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67</v>
      </c>
      <c r="AM194" s="199" t="str">
        <f t="shared" ref="AM194:AM220" si="24">MONTH(B194)&amp;"/"&amp;YEAR(B194)</f>
        <v>1/1900</v>
      </c>
      <c r="AN194" s="45" t="e">
        <f t="shared" ref="AN194:AN220" si="25">WEEKNUM(B194)-WEEKNUM(EOMONTH(B194,-1)+1)+1</f>
        <v>#NUM!</v>
      </c>
      <c r="AO194" s="45" t="str">
        <f t="shared" ref="AO194:AO220" si="26">MONTH(R194)&amp;"/"&amp;YEAR(R194)</f>
        <v>1/1900</v>
      </c>
      <c r="AP194" s="45" t="e">
        <f t="shared" ref="AP194:AP220" si="27">WEEKNUM(R194)-WEEKNUM(EOMONTH(R194,-1)+1)+1</f>
        <v>#NUM!</v>
      </c>
      <c r="AQ194" s="45">
        <f t="shared" ref="AQ194:AQ240" si="28">IF(AU194="S",IF(Q194="1. Aceitou o programa",R194-B194,0),0)</f>
        <v>0</v>
      </c>
      <c r="AR194" s="45">
        <f t="shared" ref="AR194:AR240" si="29">IF(AU194="S",IF(AND(S194&lt;&gt;"",R194&lt;&gt;""),S194-R194,0),0)</f>
        <v>0</v>
      </c>
      <c r="AS194" s="45">
        <f t="shared" ref="AS194:AS240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 x14ac:dyDescent="0.3">
      <c r="A195" s="89"/>
      <c r="B195" s="93"/>
      <c r="C195" s="89"/>
      <c r="D195" s="89"/>
      <c r="E195" s="112"/>
      <c r="F195" s="221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67</v>
      </c>
      <c r="AM195" s="199" t="str">
        <f t="shared" si="24"/>
        <v>1/1900</v>
      </c>
      <c r="AN195" s="45" t="e">
        <f t="shared" si="25"/>
        <v>#NUM!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9"/>
      <c r="B196" s="93"/>
      <c r="C196" s="89"/>
      <c r="D196" s="89"/>
      <c r="E196" s="112"/>
      <c r="F196" s="221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67</v>
      </c>
      <c r="AM196" s="199" t="str">
        <f t="shared" si="24"/>
        <v>1/1900</v>
      </c>
      <c r="AN196" s="45" t="e">
        <f t="shared" si="25"/>
        <v>#NUM!</v>
      </c>
      <c r="AO196" s="45" t="str">
        <f t="shared" si="26"/>
        <v>1/1900</v>
      </c>
      <c r="AP196" s="45" t="e">
        <f t="shared" si="27"/>
        <v>#NUM!</v>
      </c>
      <c r="AQ196" s="45">
        <f t="shared" si="28"/>
        <v>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9"/>
      <c r="B197" s="93"/>
      <c r="C197" s="89"/>
      <c r="D197" s="89"/>
      <c r="E197" s="112"/>
      <c r="F197" s="221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67</v>
      </c>
      <c r="AM197" s="199" t="str">
        <f t="shared" si="24"/>
        <v>1/1900</v>
      </c>
      <c r="AN197" s="45" t="e">
        <f t="shared" si="25"/>
        <v>#NUM!</v>
      </c>
      <c r="AO197" s="45" t="str">
        <f t="shared" si="26"/>
        <v>1/1900</v>
      </c>
      <c r="AP197" s="45" t="e">
        <f t="shared" si="27"/>
        <v>#NUM!</v>
      </c>
      <c r="AQ197" s="45">
        <f t="shared" si="28"/>
        <v>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 x14ac:dyDescent="0.3">
      <c r="A198" s="89"/>
      <c r="B198" s="93"/>
      <c r="C198" s="89"/>
      <c r="D198" s="89"/>
      <c r="E198" s="112"/>
      <c r="F198" s="221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67</v>
      </c>
      <c r="AM198" s="199" t="str">
        <f t="shared" si="24"/>
        <v>1/1900</v>
      </c>
      <c r="AN198" s="45" t="e">
        <f t="shared" si="25"/>
        <v>#NUM!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 x14ac:dyDescent="0.3">
      <c r="A199" s="89"/>
      <c r="B199" s="93"/>
      <c r="C199" s="89"/>
      <c r="D199" s="89"/>
      <c r="E199" s="112"/>
      <c r="F199" s="221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67</v>
      </c>
      <c r="AM199" s="199" t="str">
        <f t="shared" si="24"/>
        <v>1/1900</v>
      </c>
      <c r="AN199" s="45" t="e">
        <f t="shared" si="25"/>
        <v>#NUM!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 x14ac:dyDescent="0.3">
      <c r="A200" s="89"/>
      <c r="B200" s="93"/>
      <c r="C200" s="89"/>
      <c r="D200" s="89"/>
      <c r="E200" s="112"/>
      <c r="F200" s="221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67</v>
      </c>
      <c r="AM200" s="199" t="str">
        <f t="shared" si="24"/>
        <v>1/1900</v>
      </c>
      <c r="AN200" s="45" t="e">
        <f t="shared" si="25"/>
        <v>#NUM!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9"/>
      <c r="B201" s="93"/>
      <c r="C201" s="89"/>
      <c r="D201" s="89"/>
      <c r="E201" s="112"/>
      <c r="F201" s="221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67</v>
      </c>
      <c r="AM201" s="199" t="str">
        <f t="shared" si="24"/>
        <v>1/1900</v>
      </c>
      <c r="AN201" s="45" t="e">
        <f t="shared" si="25"/>
        <v>#NUM!</v>
      </c>
      <c r="AO201" s="45" t="str">
        <f t="shared" si="26"/>
        <v>1/1900</v>
      </c>
      <c r="AP201" s="45" t="e">
        <f t="shared" si="27"/>
        <v>#NUM!</v>
      </c>
      <c r="AQ201" s="45">
        <f t="shared" si="28"/>
        <v>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 x14ac:dyDescent="0.3">
      <c r="A202" s="89"/>
      <c r="B202" s="93"/>
      <c r="C202" s="89"/>
      <c r="D202" s="89"/>
      <c r="E202" s="112"/>
      <c r="F202" s="221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5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67</v>
      </c>
      <c r="AM202" s="199" t="str">
        <f t="shared" si="24"/>
        <v>1/1900</v>
      </c>
      <c r="AN202" s="45" t="e">
        <f t="shared" si="25"/>
        <v>#NUM!</v>
      </c>
      <c r="AO202" s="45" t="str">
        <f t="shared" si="26"/>
        <v>1/1900</v>
      </c>
      <c r="AP202" s="45" t="e">
        <f t="shared" si="27"/>
        <v>#NUM!</v>
      </c>
      <c r="AQ202" s="45">
        <f t="shared" si="28"/>
        <v>0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 x14ac:dyDescent="0.3">
      <c r="A203" s="89"/>
      <c r="B203" s="93"/>
      <c r="C203" s="89"/>
      <c r="D203" s="89"/>
      <c r="E203" s="112"/>
      <c r="F203" s="221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67</v>
      </c>
      <c r="AM203" s="199" t="str">
        <f t="shared" si="24"/>
        <v>1/1900</v>
      </c>
      <c r="AN203" s="45" t="e">
        <f t="shared" si="25"/>
        <v>#NUM!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 x14ac:dyDescent="0.3">
      <c r="A204" s="89"/>
      <c r="B204" s="93"/>
      <c r="C204" s="89"/>
      <c r="D204" s="89"/>
      <c r="E204" s="112"/>
      <c r="F204" s="221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67</v>
      </c>
      <c r="AM204" s="199" t="str">
        <f t="shared" si="24"/>
        <v>1/1900</v>
      </c>
      <c r="AN204" s="45" t="e">
        <f t="shared" si="25"/>
        <v>#NUM!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9"/>
      <c r="B205" s="93"/>
      <c r="C205" s="89"/>
      <c r="D205" s="89"/>
      <c r="E205" s="112"/>
      <c r="F205" s="221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67</v>
      </c>
      <c r="AM205" s="199" t="str">
        <f t="shared" si="24"/>
        <v>1/1900</v>
      </c>
      <c r="AN205" s="45" t="e">
        <f t="shared" si="25"/>
        <v>#NUM!</v>
      </c>
      <c r="AO205" s="45" t="str">
        <f t="shared" si="26"/>
        <v>1/1900</v>
      </c>
      <c r="AP205" s="45" t="e">
        <f t="shared" si="27"/>
        <v>#NUM!</v>
      </c>
      <c r="AQ205" s="45">
        <f t="shared" si="28"/>
        <v>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9"/>
      <c r="B206" s="93"/>
      <c r="C206" s="89"/>
      <c r="D206" s="89"/>
      <c r="E206" s="112"/>
      <c r="F206" s="221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67</v>
      </c>
      <c r="AM206" s="199" t="str">
        <f t="shared" si="24"/>
        <v>1/1900</v>
      </c>
      <c r="AN206" s="45" t="e">
        <f t="shared" si="25"/>
        <v>#NUM!</v>
      </c>
      <c r="AO206" s="45" t="str">
        <f t="shared" si="26"/>
        <v>1/1900</v>
      </c>
      <c r="AP206" s="45" t="e">
        <f t="shared" si="27"/>
        <v>#NUM!</v>
      </c>
      <c r="AQ206" s="45">
        <f t="shared" si="28"/>
        <v>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9"/>
      <c r="B207" s="93"/>
      <c r="C207" s="89"/>
      <c r="D207" s="89"/>
      <c r="E207" s="112"/>
      <c r="F207" s="221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67</v>
      </c>
      <c r="AM207" s="199" t="str">
        <f t="shared" si="24"/>
        <v>1/1900</v>
      </c>
      <c r="AN207" s="45" t="e">
        <f t="shared" si="25"/>
        <v>#NUM!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9"/>
      <c r="B208" s="93"/>
      <c r="C208" s="89"/>
      <c r="D208" s="89"/>
      <c r="E208" s="112"/>
      <c r="F208" s="221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67</v>
      </c>
      <c r="AM208" s="199" t="str">
        <f t="shared" si="24"/>
        <v>1/1900</v>
      </c>
      <c r="AN208" s="45" t="e">
        <f t="shared" si="25"/>
        <v>#NUM!</v>
      </c>
      <c r="AO208" s="45" t="str">
        <f t="shared" si="26"/>
        <v>1/1900</v>
      </c>
      <c r="AP208" s="45" t="e">
        <f t="shared" si="27"/>
        <v>#NUM!</v>
      </c>
      <c r="AQ208" s="45">
        <f t="shared" si="28"/>
        <v>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9"/>
      <c r="B209" s="93"/>
      <c r="C209" s="89"/>
      <c r="D209" s="89"/>
      <c r="E209" s="112"/>
      <c r="F209" s="221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67</v>
      </c>
      <c r="AM209" s="199" t="str">
        <f t="shared" si="24"/>
        <v>1/1900</v>
      </c>
      <c r="AN209" s="45" t="e">
        <f t="shared" si="25"/>
        <v>#NUM!</v>
      </c>
      <c r="AO209" s="45" t="str">
        <f t="shared" si="26"/>
        <v>1/1900</v>
      </c>
      <c r="AP209" s="45" t="e">
        <f t="shared" si="27"/>
        <v>#NUM!</v>
      </c>
      <c r="AQ209" s="45">
        <f t="shared" si="28"/>
        <v>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9"/>
      <c r="B210" s="93"/>
      <c r="C210" s="89"/>
      <c r="D210" s="89"/>
      <c r="E210" s="112"/>
      <c r="F210" s="221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L210" s="45" t="s">
        <v>67</v>
      </c>
      <c r="AM210" s="199" t="str">
        <f t="shared" si="24"/>
        <v>1/1900</v>
      </c>
      <c r="AN210" s="45" t="e">
        <f t="shared" si="25"/>
        <v>#NUM!</v>
      </c>
      <c r="AO210" s="45" t="str">
        <f t="shared" si="26"/>
        <v>1/1900</v>
      </c>
      <c r="AP210" s="45" t="e">
        <f t="shared" si="27"/>
        <v>#NUM!</v>
      </c>
      <c r="AQ210" s="45">
        <f t="shared" si="28"/>
        <v>0</v>
      </c>
      <c r="AR210" s="45">
        <f t="shared" si="29"/>
        <v>0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9"/>
      <c r="B211" s="93"/>
      <c r="C211" s="89"/>
      <c r="D211" s="89"/>
      <c r="E211" s="112"/>
      <c r="F211" s="221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L211" s="45" t="s">
        <v>67</v>
      </c>
      <c r="AM211" s="199" t="str">
        <f t="shared" si="24"/>
        <v>1/1900</v>
      </c>
      <c r="AN211" s="45" t="e">
        <f t="shared" si="25"/>
        <v>#NUM!</v>
      </c>
      <c r="AO211" s="45" t="str">
        <f t="shared" si="26"/>
        <v>1/1900</v>
      </c>
      <c r="AP211" s="45" t="e">
        <f t="shared" si="27"/>
        <v>#NUM!</v>
      </c>
      <c r="AQ211" s="45">
        <f t="shared" si="28"/>
        <v>0</v>
      </c>
      <c r="AR211" s="45">
        <f t="shared" si="29"/>
        <v>0</v>
      </c>
      <c r="AS211" s="45">
        <f t="shared" si="30"/>
        <v>0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9"/>
      <c r="B212" s="93"/>
      <c r="C212" s="89"/>
      <c r="D212" s="89"/>
      <c r="E212" s="112"/>
      <c r="F212" s="221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67</v>
      </c>
      <c r="AM212" s="199" t="str">
        <f t="shared" si="24"/>
        <v>1/1900</v>
      </c>
      <c r="AN212" s="45" t="e">
        <f t="shared" si="25"/>
        <v>#NUM!</v>
      </c>
      <c r="AO212" s="45" t="str">
        <f t="shared" si="26"/>
        <v>1/1900</v>
      </c>
      <c r="AP212" s="45" t="e">
        <f t="shared" si="27"/>
        <v>#NUM!</v>
      </c>
      <c r="AQ212" s="45">
        <f t="shared" si="28"/>
        <v>0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9"/>
      <c r="B213" s="93"/>
      <c r="C213" s="89"/>
      <c r="D213" s="89"/>
      <c r="E213" s="112"/>
      <c r="F213" s="221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L213" s="45" t="s">
        <v>67</v>
      </c>
      <c r="AM213" s="199" t="str">
        <f t="shared" si="24"/>
        <v>1/1900</v>
      </c>
      <c r="AN213" s="45" t="e">
        <f t="shared" si="25"/>
        <v>#NUM!</v>
      </c>
      <c r="AO213" s="45" t="str">
        <f t="shared" si="26"/>
        <v>1/1900</v>
      </c>
      <c r="AP213" s="45" t="e">
        <f t="shared" si="27"/>
        <v>#NUM!</v>
      </c>
      <c r="AQ213" s="45">
        <f t="shared" si="28"/>
        <v>0</v>
      </c>
      <c r="AR213" s="45">
        <f t="shared" si="29"/>
        <v>0</v>
      </c>
      <c r="AS213" s="45">
        <f t="shared" si="30"/>
        <v>0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9"/>
      <c r="B214" s="93"/>
      <c r="C214" s="89"/>
      <c r="D214" s="89"/>
      <c r="E214" s="112"/>
      <c r="F214" s="221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L214" s="45" t="s">
        <v>67</v>
      </c>
      <c r="AM214" s="199" t="str">
        <f t="shared" si="24"/>
        <v>1/1900</v>
      </c>
      <c r="AN214" s="45" t="e">
        <f t="shared" si="25"/>
        <v>#NUM!</v>
      </c>
      <c r="AO214" s="45" t="str">
        <f t="shared" si="26"/>
        <v>1/1900</v>
      </c>
      <c r="AP214" s="45" t="e">
        <f t="shared" si="27"/>
        <v>#NUM!</v>
      </c>
      <c r="AQ214" s="45">
        <f t="shared" si="28"/>
        <v>0</v>
      </c>
      <c r="AR214" s="45">
        <f t="shared" si="29"/>
        <v>0</v>
      </c>
      <c r="AS214" s="45">
        <f t="shared" si="30"/>
        <v>0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9"/>
      <c r="B215" s="93"/>
      <c r="C215" s="89"/>
      <c r="D215" s="89"/>
      <c r="E215" s="112"/>
      <c r="F215" s="221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L215" s="45" t="s">
        <v>67</v>
      </c>
      <c r="AM215" s="199" t="str">
        <f t="shared" si="24"/>
        <v>1/1900</v>
      </c>
      <c r="AN215" s="45" t="e">
        <f t="shared" si="25"/>
        <v>#NUM!</v>
      </c>
      <c r="AO215" s="45" t="str">
        <f t="shared" si="26"/>
        <v>1/1900</v>
      </c>
      <c r="AP215" s="45" t="e">
        <f t="shared" si="27"/>
        <v>#NUM!</v>
      </c>
      <c r="AQ215" s="45">
        <f t="shared" si="28"/>
        <v>0</v>
      </c>
      <c r="AR215" s="45">
        <f t="shared" si="29"/>
        <v>0</v>
      </c>
      <c r="AS215" s="45">
        <f t="shared" si="30"/>
        <v>0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9"/>
      <c r="B216" s="93"/>
      <c r="C216" s="89"/>
      <c r="D216" s="89"/>
      <c r="E216" s="112"/>
      <c r="F216" s="221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67</v>
      </c>
      <c r="AM216" s="199" t="str">
        <f t="shared" si="24"/>
        <v>1/1900</v>
      </c>
      <c r="AN216" s="45" t="e">
        <f t="shared" si="25"/>
        <v>#NUM!</v>
      </c>
      <c r="AO216" s="45" t="str">
        <f t="shared" si="26"/>
        <v>1/1900</v>
      </c>
      <c r="AP216" s="45" t="e">
        <f t="shared" si="27"/>
        <v>#NUM!</v>
      </c>
      <c r="AQ216" s="45">
        <f t="shared" si="28"/>
        <v>0</v>
      </c>
      <c r="AR216" s="45">
        <f t="shared" si="29"/>
        <v>0</v>
      </c>
      <c r="AS216" s="45">
        <f t="shared" si="30"/>
        <v>0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9"/>
      <c r="B217" s="93"/>
      <c r="C217" s="89"/>
      <c r="D217" s="89"/>
      <c r="E217" s="112"/>
      <c r="F217" s="221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L217" s="45" t="s">
        <v>67</v>
      </c>
      <c r="AM217" s="199" t="str">
        <f t="shared" si="24"/>
        <v>1/1900</v>
      </c>
      <c r="AN217" s="45" t="e">
        <f t="shared" si="25"/>
        <v>#NUM!</v>
      </c>
      <c r="AO217" s="45" t="str">
        <f t="shared" si="26"/>
        <v>1/1900</v>
      </c>
      <c r="AP217" s="45" t="e">
        <f t="shared" si="27"/>
        <v>#NUM!</v>
      </c>
      <c r="AQ217" s="45">
        <f t="shared" si="28"/>
        <v>0</v>
      </c>
      <c r="AR217" s="45">
        <f t="shared" si="29"/>
        <v>0</v>
      </c>
      <c r="AS217" s="45">
        <f t="shared" si="30"/>
        <v>0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customHeight="1" x14ac:dyDescent="0.3">
      <c r="A218" s="89"/>
      <c r="B218" s="93"/>
      <c r="C218" s="89"/>
      <c r="D218" s="89"/>
      <c r="E218" s="112"/>
      <c r="F218" s="221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67</v>
      </c>
      <c r="AM218" s="199" t="str">
        <f t="shared" si="24"/>
        <v>1/1900</v>
      </c>
      <c r="AN218" s="45" t="e">
        <f t="shared" si="25"/>
        <v>#NUM!</v>
      </c>
      <c r="AO218" s="45" t="str">
        <f t="shared" si="26"/>
        <v>1/1900</v>
      </c>
      <c r="AP218" s="45" t="e">
        <f t="shared" si="27"/>
        <v>#NUM!</v>
      </c>
      <c r="AQ218" s="45">
        <f t="shared" si="28"/>
        <v>0</v>
      </c>
      <c r="AR218" s="45">
        <f t="shared" si="29"/>
        <v>0</v>
      </c>
      <c r="AS218" s="45">
        <f t="shared" si="30"/>
        <v>0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customHeight="1" x14ac:dyDescent="0.3">
      <c r="A219" s="89"/>
      <c r="B219" s="93"/>
      <c r="C219" s="89"/>
      <c r="D219" s="89"/>
      <c r="E219" s="112"/>
      <c r="F219" s="221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L219" s="45" t="s">
        <v>67</v>
      </c>
      <c r="AM219" s="199" t="str">
        <f t="shared" si="24"/>
        <v>1/1900</v>
      </c>
      <c r="AN219" s="45" t="e">
        <f t="shared" si="25"/>
        <v>#NUM!</v>
      </c>
      <c r="AO219" s="45" t="str">
        <f t="shared" si="26"/>
        <v>1/1900</v>
      </c>
      <c r="AP219" s="45" t="e">
        <f t="shared" si="27"/>
        <v>#NUM!</v>
      </c>
      <c r="AQ219" s="45">
        <f t="shared" si="28"/>
        <v>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9"/>
      <c r="B220" s="93"/>
      <c r="C220" s="89"/>
      <c r="D220" s="89"/>
      <c r="E220" s="112"/>
      <c r="F220" s="221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6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67</v>
      </c>
      <c r="AM220" s="199" t="str">
        <f t="shared" si="24"/>
        <v>1/1900</v>
      </c>
      <c r="AN220" s="45" t="e">
        <f t="shared" si="25"/>
        <v>#NUM!</v>
      </c>
      <c r="AO220" s="45" t="str">
        <f t="shared" si="26"/>
        <v>1/1900</v>
      </c>
      <c r="AP220" s="45" t="e">
        <f t="shared" si="27"/>
        <v>#NUM!</v>
      </c>
      <c r="AQ220" s="45">
        <f t="shared" si="28"/>
        <v>0</v>
      </c>
      <c r="AR220" s="45">
        <f t="shared" si="29"/>
        <v>0</v>
      </c>
      <c r="AS220" s="45">
        <f t="shared" si="30"/>
        <v>0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9"/>
      <c r="B221" s="93"/>
      <c r="C221" s="89"/>
      <c r="D221" s="89"/>
      <c r="E221" s="112"/>
      <c r="F221" s="221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5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L221" s="45" t="s">
        <v>67</v>
      </c>
      <c r="AM221" s="199" t="str">
        <f t="shared" ref="AM221:AM240" si="32">MONTH(B221)&amp;"/"&amp;YEAR(B221)</f>
        <v>1/1900</v>
      </c>
      <c r="AN221" s="45" t="e">
        <f t="shared" ref="AN221:AN240" si="33">WEEKNUM(B221)-WEEKNUM(EOMONTH(B221,-1)+1)+1</f>
        <v>#NUM!</v>
      </c>
      <c r="AO221" s="45" t="str">
        <f t="shared" ref="AO221:AO240" si="34">MONTH(R221)&amp;"/"&amp;YEAR(R221)</f>
        <v>1/1900</v>
      </c>
      <c r="AP221" s="45" t="e">
        <f t="shared" ref="AP221:AP240" si="35">WEEKNUM(R221)-WEEKNUM(EOMONTH(R221,-1)+1)+1</f>
        <v>#NUM!</v>
      </c>
      <c r="AQ221" s="45">
        <f t="shared" si="28"/>
        <v>0</v>
      </c>
      <c r="AR221" s="45">
        <f t="shared" si="29"/>
        <v>0</v>
      </c>
      <c r="AS221" s="45">
        <f t="shared" si="30"/>
        <v>0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9"/>
      <c r="B222" s="93"/>
      <c r="C222" s="89"/>
      <c r="D222" s="89"/>
      <c r="E222" s="112"/>
      <c r="F222" s="221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67</v>
      </c>
      <c r="AM222" s="199" t="str">
        <f t="shared" si="32"/>
        <v>1/1900</v>
      </c>
      <c r="AN222" s="45" t="e">
        <f t="shared" si="33"/>
        <v>#NUM!</v>
      </c>
      <c r="AO222" s="45" t="str">
        <f t="shared" si="34"/>
        <v>1/1900</v>
      </c>
      <c r="AP222" s="45" t="e">
        <f t="shared" si="35"/>
        <v>#NUM!</v>
      </c>
      <c r="AQ222" s="45">
        <f t="shared" si="28"/>
        <v>0</v>
      </c>
      <c r="AR222" s="45">
        <f t="shared" si="29"/>
        <v>0</v>
      </c>
      <c r="AS222" s="45">
        <f t="shared" si="30"/>
        <v>0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9"/>
      <c r="B223" s="93"/>
      <c r="C223" s="89"/>
      <c r="D223" s="89"/>
      <c r="E223" s="112"/>
      <c r="F223" s="221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6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L223" s="45" t="s">
        <v>67</v>
      </c>
      <c r="AM223" s="199" t="str">
        <f t="shared" si="32"/>
        <v>1/1900</v>
      </c>
      <c r="AN223" s="45" t="e">
        <f t="shared" si="33"/>
        <v>#NUM!</v>
      </c>
      <c r="AO223" s="45" t="str">
        <f t="shared" si="34"/>
        <v>1/1900</v>
      </c>
      <c r="AP223" s="45" t="e">
        <f t="shared" si="35"/>
        <v>#NUM!</v>
      </c>
      <c r="AQ223" s="45">
        <f t="shared" si="28"/>
        <v>0</v>
      </c>
      <c r="AR223" s="45">
        <f t="shared" si="29"/>
        <v>0</v>
      </c>
      <c r="AS223" s="45">
        <f t="shared" si="30"/>
        <v>0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9"/>
      <c r="B224" s="93"/>
      <c r="C224" s="89"/>
      <c r="D224" s="89"/>
      <c r="E224" s="112"/>
      <c r="F224" s="221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L224" s="45" t="s">
        <v>67</v>
      </c>
      <c r="AM224" s="199" t="str">
        <f t="shared" si="32"/>
        <v>1/1900</v>
      </c>
      <c r="AN224" s="45" t="e">
        <f t="shared" si="33"/>
        <v>#NUM!</v>
      </c>
      <c r="AO224" s="45" t="str">
        <f t="shared" si="34"/>
        <v>1/1900</v>
      </c>
      <c r="AP224" s="45" t="e">
        <f t="shared" si="35"/>
        <v>#NUM!</v>
      </c>
      <c r="AQ224" s="45">
        <f t="shared" si="28"/>
        <v>0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9"/>
      <c r="B225" s="93"/>
      <c r="C225" s="89"/>
      <c r="D225" s="89"/>
      <c r="E225" s="112"/>
      <c r="F225" s="221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L225" s="45" t="s">
        <v>67</v>
      </c>
      <c r="AM225" s="199" t="str">
        <f t="shared" si="32"/>
        <v>1/1900</v>
      </c>
      <c r="AN225" s="45" t="e">
        <f t="shared" si="33"/>
        <v>#NUM!</v>
      </c>
      <c r="AO225" s="45" t="str">
        <f t="shared" si="34"/>
        <v>1/1900</v>
      </c>
      <c r="AP225" s="45" t="e">
        <f t="shared" si="35"/>
        <v>#NUM!</v>
      </c>
      <c r="AQ225" s="45">
        <f t="shared" si="28"/>
        <v>0</v>
      </c>
      <c r="AR225" s="45">
        <f t="shared" si="29"/>
        <v>0</v>
      </c>
      <c r="AS225" s="45">
        <f t="shared" si="30"/>
        <v>0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customHeight="1" x14ac:dyDescent="0.3">
      <c r="A226" s="89"/>
      <c r="B226" s="93"/>
      <c r="C226" s="89"/>
      <c r="D226" s="89"/>
      <c r="E226" s="112"/>
      <c r="F226" s="221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67</v>
      </c>
      <c r="AM226" s="199" t="str">
        <f t="shared" si="32"/>
        <v>1/1900</v>
      </c>
      <c r="AN226" s="45" t="e">
        <f t="shared" si="33"/>
        <v>#NUM!</v>
      </c>
      <c r="AO226" s="45" t="str">
        <f t="shared" si="34"/>
        <v>1/1900</v>
      </c>
      <c r="AP226" s="45" t="e">
        <f t="shared" si="35"/>
        <v>#NUM!</v>
      </c>
      <c r="AQ226" s="45">
        <f t="shared" si="28"/>
        <v>0</v>
      </c>
      <c r="AR226" s="45">
        <f t="shared" si="29"/>
        <v>0</v>
      </c>
      <c r="AS226" s="45">
        <f t="shared" si="30"/>
        <v>0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customHeight="1" x14ac:dyDescent="0.3">
      <c r="A227" s="89"/>
      <c r="B227" s="93"/>
      <c r="C227" s="89"/>
      <c r="D227" s="89"/>
      <c r="E227" s="112"/>
      <c r="F227" s="221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67</v>
      </c>
      <c r="AM227" s="199" t="str">
        <f t="shared" si="32"/>
        <v>1/1900</v>
      </c>
      <c r="AN227" s="45" t="e">
        <f t="shared" si="33"/>
        <v>#NUM!</v>
      </c>
      <c r="AO227" s="45" t="str">
        <f t="shared" si="34"/>
        <v>1/1900</v>
      </c>
      <c r="AP227" s="45" t="e">
        <f t="shared" si="35"/>
        <v>#NUM!</v>
      </c>
      <c r="AQ227" s="45">
        <f t="shared" si="28"/>
        <v>0</v>
      </c>
      <c r="AR227" s="45">
        <f t="shared" si="29"/>
        <v>0</v>
      </c>
      <c r="AS227" s="45">
        <f t="shared" si="30"/>
        <v>0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customHeight="1" x14ac:dyDescent="0.3">
      <c r="A228" s="89"/>
      <c r="B228" s="93"/>
      <c r="C228" s="89"/>
      <c r="D228" s="89"/>
      <c r="E228" s="112"/>
      <c r="F228" s="221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5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67</v>
      </c>
      <c r="AM228" s="199" t="str">
        <f t="shared" si="32"/>
        <v>1/1900</v>
      </c>
      <c r="AN228" s="45" t="e">
        <f t="shared" si="33"/>
        <v>#NUM!</v>
      </c>
      <c r="AO228" s="45" t="str">
        <f t="shared" si="34"/>
        <v>1/1900</v>
      </c>
      <c r="AP228" s="45" t="e">
        <f t="shared" si="35"/>
        <v>#NUM!</v>
      </c>
      <c r="AQ228" s="45">
        <f t="shared" si="28"/>
        <v>0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customHeight="1" x14ac:dyDescent="0.3">
      <c r="A229" s="89"/>
      <c r="B229" s="93"/>
      <c r="C229" s="89"/>
      <c r="D229" s="89"/>
      <c r="E229" s="112"/>
      <c r="F229" s="221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L229" s="45" t="s">
        <v>67</v>
      </c>
      <c r="AM229" s="199" t="str">
        <f t="shared" si="32"/>
        <v>1/1900</v>
      </c>
      <c r="AN229" s="45" t="e">
        <f t="shared" si="33"/>
        <v>#NUM!</v>
      </c>
      <c r="AO229" s="45" t="str">
        <f t="shared" si="34"/>
        <v>1/1900</v>
      </c>
      <c r="AP229" s="45" t="e">
        <f t="shared" si="35"/>
        <v>#NUM!</v>
      </c>
      <c r="AQ229" s="45">
        <f t="shared" si="28"/>
        <v>0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customHeight="1" x14ac:dyDescent="0.3">
      <c r="A230" s="89"/>
      <c r="B230" s="93"/>
      <c r="C230" s="89"/>
      <c r="D230" s="89"/>
      <c r="E230" s="112"/>
      <c r="F230" s="221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L230" s="45" t="s">
        <v>67</v>
      </c>
      <c r="AM230" s="199" t="str">
        <f t="shared" si="32"/>
        <v>1/1900</v>
      </c>
      <c r="AN230" s="45" t="e">
        <f t="shared" si="33"/>
        <v>#NUM!</v>
      </c>
      <c r="AO230" s="45" t="str">
        <f t="shared" si="34"/>
        <v>1/1900</v>
      </c>
      <c r="AP230" s="45" t="e">
        <f t="shared" si="35"/>
        <v>#NUM!</v>
      </c>
      <c r="AQ230" s="45">
        <f t="shared" si="28"/>
        <v>0</v>
      </c>
      <c r="AR230" s="45">
        <f t="shared" si="29"/>
        <v>0</v>
      </c>
      <c r="AS230" s="45">
        <f t="shared" si="30"/>
        <v>0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customHeight="1" x14ac:dyDescent="0.3">
      <c r="A231" s="89"/>
      <c r="B231" s="93"/>
      <c r="C231" s="89"/>
      <c r="D231" s="89"/>
      <c r="E231" s="112"/>
      <c r="F231" s="221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L231" s="45" t="s">
        <v>67</v>
      </c>
      <c r="AM231" s="199" t="str">
        <f t="shared" si="32"/>
        <v>1/1900</v>
      </c>
      <c r="AN231" s="45" t="e">
        <f t="shared" si="33"/>
        <v>#NUM!</v>
      </c>
      <c r="AO231" s="45" t="str">
        <f t="shared" si="34"/>
        <v>1/1900</v>
      </c>
      <c r="AP231" s="45" t="e">
        <f t="shared" si="35"/>
        <v>#NUM!</v>
      </c>
      <c r="AQ231" s="45">
        <f t="shared" si="28"/>
        <v>0</v>
      </c>
      <c r="AR231" s="45">
        <f t="shared" si="29"/>
        <v>0</v>
      </c>
      <c r="AS231" s="45">
        <f t="shared" si="30"/>
        <v>0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9"/>
      <c r="B232" s="93"/>
      <c r="C232" s="89"/>
      <c r="D232" s="89"/>
      <c r="E232" s="112"/>
      <c r="F232" s="221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L232" s="45" t="s">
        <v>67</v>
      </c>
      <c r="AM232" s="199" t="str">
        <f t="shared" si="32"/>
        <v>1/1900</v>
      </c>
      <c r="AN232" s="45" t="e">
        <f t="shared" si="33"/>
        <v>#NUM!</v>
      </c>
      <c r="AO232" s="45" t="str">
        <f t="shared" si="34"/>
        <v>1/1900</v>
      </c>
      <c r="AP232" s="45" t="e">
        <f t="shared" si="35"/>
        <v>#NUM!</v>
      </c>
      <c r="AQ232" s="45">
        <f t="shared" si="28"/>
        <v>0</v>
      </c>
      <c r="AR232" s="45">
        <f t="shared" si="29"/>
        <v>0</v>
      </c>
      <c r="AS232" s="45">
        <f t="shared" si="30"/>
        <v>0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customHeight="1" x14ac:dyDescent="0.3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67</v>
      </c>
      <c r="AM233" s="199" t="str">
        <f t="shared" si="32"/>
        <v>1/1900</v>
      </c>
      <c r="AN233" s="45" t="e">
        <f t="shared" si="33"/>
        <v>#NUM!</v>
      </c>
      <c r="AO233" s="45" t="str">
        <f t="shared" si="34"/>
        <v>1/1900</v>
      </c>
      <c r="AP233" s="45" t="e">
        <f t="shared" si="35"/>
        <v>#NUM!</v>
      </c>
      <c r="AQ233" s="45">
        <f t="shared" si="28"/>
        <v>0</v>
      </c>
      <c r="AR233" s="45">
        <f t="shared" si="29"/>
        <v>0</v>
      </c>
      <c r="AS233" s="45">
        <f t="shared" si="30"/>
        <v>0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customHeight="1" x14ac:dyDescent="0.3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67</v>
      </c>
      <c r="AM234" s="199" t="str">
        <f t="shared" si="32"/>
        <v>1/1900</v>
      </c>
      <c r="AN234" s="45" t="e">
        <f t="shared" si="33"/>
        <v>#NUM!</v>
      </c>
      <c r="AO234" s="45" t="str">
        <f t="shared" si="34"/>
        <v>1/1900</v>
      </c>
      <c r="AP234" s="45" t="e">
        <f t="shared" si="35"/>
        <v>#NUM!</v>
      </c>
      <c r="AQ234" s="45">
        <f t="shared" si="28"/>
        <v>0</v>
      </c>
      <c r="AR234" s="45">
        <f t="shared" si="29"/>
        <v>0</v>
      </c>
      <c r="AS234" s="45">
        <f t="shared" si="30"/>
        <v>0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67</v>
      </c>
      <c r="AM235" s="199" t="str">
        <f t="shared" si="32"/>
        <v>1/1900</v>
      </c>
      <c r="AN235" s="45" t="e">
        <f t="shared" si="33"/>
        <v>#NUM!</v>
      </c>
      <c r="AO235" s="45" t="str">
        <f t="shared" si="34"/>
        <v>1/1900</v>
      </c>
      <c r="AP235" s="45" t="e">
        <f t="shared" si="35"/>
        <v>#NUM!</v>
      </c>
      <c r="AQ235" s="45">
        <f t="shared" si="28"/>
        <v>0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67</v>
      </c>
      <c r="AM236" s="199" t="str">
        <f t="shared" si="32"/>
        <v>1/1900</v>
      </c>
      <c r="AN236" s="45" t="e">
        <f t="shared" si="33"/>
        <v>#NUM!</v>
      </c>
      <c r="AO236" s="45" t="str">
        <f t="shared" si="34"/>
        <v>1/1900</v>
      </c>
      <c r="AP236" s="45" t="e">
        <f t="shared" si="35"/>
        <v>#NUM!</v>
      </c>
      <c r="AQ236" s="45">
        <f t="shared" si="28"/>
        <v>0</v>
      </c>
      <c r="AR236" s="45">
        <f t="shared" si="29"/>
        <v>0</v>
      </c>
      <c r="AS236" s="45">
        <f t="shared" si="30"/>
        <v>0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customHeight="1" x14ac:dyDescent="0.3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67</v>
      </c>
      <c r="AM237" s="199" t="str">
        <f t="shared" si="32"/>
        <v>1/1900</v>
      </c>
      <c r="AN237" s="45" t="e">
        <f t="shared" si="33"/>
        <v>#NUM!</v>
      </c>
      <c r="AO237" s="45" t="str">
        <f t="shared" si="34"/>
        <v>1/1900</v>
      </c>
      <c r="AP237" s="45" t="e">
        <f t="shared" si="35"/>
        <v>#NUM!</v>
      </c>
      <c r="AQ237" s="45">
        <f t="shared" si="28"/>
        <v>0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customHeight="1" x14ac:dyDescent="0.3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67</v>
      </c>
      <c r="AM238" s="199" t="str">
        <f t="shared" si="32"/>
        <v>1/1900</v>
      </c>
      <c r="AN238" s="45" t="e">
        <f t="shared" si="33"/>
        <v>#NUM!</v>
      </c>
      <c r="AO238" s="45" t="str">
        <f t="shared" si="34"/>
        <v>1/1900</v>
      </c>
      <c r="AP238" s="45" t="e">
        <f t="shared" si="35"/>
        <v>#NUM!</v>
      </c>
      <c r="AQ238" s="45">
        <f t="shared" si="28"/>
        <v>0</v>
      </c>
      <c r="AR238" s="45">
        <f t="shared" si="29"/>
        <v>0</v>
      </c>
      <c r="AS238" s="45">
        <f t="shared" si="30"/>
        <v>0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67</v>
      </c>
      <c r="AM239" s="199" t="str">
        <f t="shared" si="32"/>
        <v>1/1900</v>
      </c>
      <c r="AN239" s="45" t="e">
        <f t="shared" si="33"/>
        <v>#NUM!</v>
      </c>
      <c r="AO239" s="45" t="str">
        <f t="shared" si="34"/>
        <v>1/1900</v>
      </c>
      <c r="AP239" s="45" t="e">
        <f t="shared" si="35"/>
        <v>#NUM!</v>
      </c>
      <c r="AQ239" s="45">
        <f t="shared" si="28"/>
        <v>0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67</v>
      </c>
      <c r="AM240" s="199" t="str">
        <f t="shared" si="32"/>
        <v>1/1900</v>
      </c>
      <c r="AN240" s="45" t="e">
        <f t="shared" si="33"/>
        <v>#NUM!</v>
      </c>
      <c r="AO240" s="45" t="str">
        <f t="shared" si="34"/>
        <v>1/1900</v>
      </c>
      <c r="AP240" s="45" t="e">
        <f t="shared" si="35"/>
        <v>#NUM!</v>
      </c>
      <c r="AQ240" s="45">
        <f t="shared" si="28"/>
        <v>0</v>
      </c>
      <c r="AR240" s="45">
        <f t="shared" si="29"/>
        <v>0</v>
      </c>
      <c r="AS240" s="45">
        <f t="shared" si="30"/>
        <v>0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 x14ac:dyDescent="0.3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 x14ac:dyDescent="0.3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6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 x14ac:dyDescent="0.3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 x14ac:dyDescent="0.3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 x14ac:dyDescent="0.3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 x14ac:dyDescent="0.3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 x14ac:dyDescent="0.3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6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 x14ac:dyDescent="0.3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 x14ac:dyDescent="0.3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 x14ac:dyDescent="0.3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 x14ac:dyDescent="0.3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 x14ac:dyDescent="0.3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 x14ac:dyDescent="0.3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 x14ac:dyDescent="0.3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 x14ac:dyDescent="0.3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 x14ac:dyDescent="0.3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 x14ac:dyDescent="0.3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 x14ac:dyDescent="0.3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 x14ac:dyDescent="0.3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 x14ac:dyDescent="0.3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 x14ac:dyDescent="0.3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 x14ac:dyDescent="0.3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 x14ac:dyDescent="0.3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 x14ac:dyDescent="0.3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 x14ac:dyDescent="0.3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 x14ac:dyDescent="0.3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 x14ac:dyDescent="0.3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 x14ac:dyDescent="0.3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 x14ac:dyDescent="0.3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 x14ac:dyDescent="0.3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 x14ac:dyDescent="0.3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 x14ac:dyDescent="0.3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 x14ac:dyDescent="0.3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 x14ac:dyDescent="0.3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 x14ac:dyDescent="0.3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 x14ac:dyDescent="0.3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5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 x14ac:dyDescent="0.3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 x14ac:dyDescent="0.3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 x14ac:dyDescent="0.3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 x14ac:dyDescent="0.3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 x14ac:dyDescent="0.3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 x14ac:dyDescent="0.3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 x14ac:dyDescent="0.3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 x14ac:dyDescent="0.3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 x14ac:dyDescent="0.3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 x14ac:dyDescent="0.3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 x14ac:dyDescent="0.3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 x14ac:dyDescent="0.3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 x14ac:dyDescent="0.3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 x14ac:dyDescent="0.3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 x14ac:dyDescent="0.3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 x14ac:dyDescent="0.3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6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 x14ac:dyDescent="0.3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 x14ac:dyDescent="0.3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 x14ac:dyDescent="0.3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 x14ac:dyDescent="0.3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 x14ac:dyDescent="0.3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 x14ac:dyDescent="0.3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 x14ac:dyDescent="0.3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 x14ac:dyDescent="0.3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 x14ac:dyDescent="0.3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 x14ac:dyDescent="0.3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 x14ac:dyDescent="0.3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 x14ac:dyDescent="0.3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 x14ac:dyDescent="0.3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 x14ac:dyDescent="0.3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 x14ac:dyDescent="0.3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 x14ac:dyDescent="0.3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 x14ac:dyDescent="0.3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 x14ac:dyDescent="0.3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 x14ac:dyDescent="0.3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 x14ac:dyDescent="0.3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 x14ac:dyDescent="0.3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 x14ac:dyDescent="0.3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 x14ac:dyDescent="0.3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 x14ac:dyDescent="0.3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 x14ac:dyDescent="0.3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 x14ac:dyDescent="0.3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 x14ac:dyDescent="0.3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 x14ac:dyDescent="0.3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 x14ac:dyDescent="0.3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 x14ac:dyDescent="0.3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5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 x14ac:dyDescent="0.3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 x14ac:dyDescent="0.3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 x14ac:dyDescent="0.3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6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 x14ac:dyDescent="0.3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 x14ac:dyDescent="0.3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 x14ac:dyDescent="0.3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 x14ac:dyDescent="0.3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 x14ac:dyDescent="0.3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 x14ac:dyDescent="0.3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 x14ac:dyDescent="0.3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 x14ac:dyDescent="0.3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 x14ac:dyDescent="0.3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6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 x14ac:dyDescent="0.3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 x14ac:dyDescent="0.3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 x14ac:dyDescent="0.3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 x14ac:dyDescent="0.3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 x14ac:dyDescent="0.3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 x14ac:dyDescent="0.3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5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 x14ac:dyDescent="0.3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 x14ac:dyDescent="0.3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 x14ac:dyDescent="0.3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 x14ac:dyDescent="0.3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5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 x14ac:dyDescent="0.3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 x14ac:dyDescent="0.3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5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 x14ac:dyDescent="0.3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 x14ac:dyDescent="0.3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 x14ac:dyDescent="0.3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 x14ac:dyDescent="0.3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5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 x14ac:dyDescent="0.3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 x14ac:dyDescent="0.3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 x14ac:dyDescent="0.3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 x14ac:dyDescent="0.3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 x14ac:dyDescent="0.3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 x14ac:dyDescent="0.3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 x14ac:dyDescent="0.3">
      <c r="A358" s="89"/>
      <c r="B358" s="93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 x14ac:dyDescent="0.3">
      <c r="A359" s="89"/>
      <c r="B359" s="93"/>
      <c r="C359" s="89"/>
      <c r="D359" s="89"/>
      <c r="E359" s="112"/>
      <c r="F359" s="221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 x14ac:dyDescent="0.3">
      <c r="A360" s="89"/>
      <c r="B360" s="93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 x14ac:dyDescent="0.3">
      <c r="A361" s="89"/>
      <c r="B361" s="93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 x14ac:dyDescent="0.3">
      <c r="A362" s="89"/>
      <c r="B362" s="93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 x14ac:dyDescent="0.3">
      <c r="A363" s="89"/>
      <c r="B363" s="93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 x14ac:dyDescent="0.3">
      <c r="A364" s="89"/>
      <c r="B364" s="93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 x14ac:dyDescent="0.3">
      <c r="A365" s="89"/>
      <c r="B365" s="93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 x14ac:dyDescent="0.3">
      <c r="A366" s="89"/>
      <c r="B366" s="93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 x14ac:dyDescent="0.3">
      <c r="A367" s="89"/>
      <c r="B367" s="93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 x14ac:dyDescent="0.3">
      <c r="A368" s="89"/>
      <c r="B368" s="93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 x14ac:dyDescent="0.3">
      <c r="A369" s="89"/>
      <c r="B369" s="93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 x14ac:dyDescent="0.3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 x14ac:dyDescent="0.3">
      <c r="A371" s="89"/>
      <c r="B371" s="198"/>
      <c r="C371" s="89"/>
      <c r="D371" s="89"/>
      <c r="E371" s="112"/>
      <c r="F371" s="221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 x14ac:dyDescent="0.3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 x14ac:dyDescent="0.3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 x14ac:dyDescent="0.3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 x14ac:dyDescent="0.3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 x14ac:dyDescent="0.3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 x14ac:dyDescent="0.3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 x14ac:dyDescent="0.3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 x14ac:dyDescent="0.3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 x14ac:dyDescent="0.3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 x14ac:dyDescent="0.3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 x14ac:dyDescent="0.3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 x14ac:dyDescent="0.3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 x14ac:dyDescent="0.3">
      <c r="A384" s="89"/>
      <c r="B384" s="198"/>
      <c r="C384" s="89"/>
      <c r="D384" s="89"/>
      <c r="E384" s="112"/>
      <c r="F384" s="221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 x14ac:dyDescent="0.3">
      <c r="A385" s="89"/>
      <c r="B385" s="198"/>
      <c r="C385" s="89"/>
      <c r="D385" s="89"/>
      <c r="E385" s="112"/>
      <c r="F385" s="221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 x14ac:dyDescent="0.3">
      <c r="A386" s="89"/>
      <c r="B386" s="198"/>
      <c r="C386" s="89"/>
      <c r="D386" s="89"/>
      <c r="E386" s="112"/>
      <c r="F386" s="221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 x14ac:dyDescent="0.3">
      <c r="A387" s="89"/>
      <c r="B387" s="198"/>
      <c r="C387" s="89"/>
      <c r="D387" s="89"/>
      <c r="E387" s="112"/>
      <c r="F387" s="221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 x14ac:dyDescent="0.3">
      <c r="A388" s="89"/>
      <c r="B388" s="198"/>
      <c r="C388" s="89"/>
      <c r="D388" s="89"/>
      <c r="E388" s="112"/>
      <c r="F388" s="221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 x14ac:dyDescent="0.3">
      <c r="A389" s="89"/>
      <c r="B389" s="198"/>
      <c r="C389" s="89"/>
      <c r="D389" s="89"/>
      <c r="E389" s="112"/>
      <c r="F389" s="221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 x14ac:dyDescent="0.3">
      <c r="A390" s="89"/>
      <c r="B390" s="198"/>
      <c r="C390" s="89"/>
      <c r="D390" s="89"/>
      <c r="E390" s="112"/>
      <c r="F390" s="221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 x14ac:dyDescent="0.3">
      <c r="A391" s="89"/>
      <c r="B391" s="198"/>
      <c r="C391" s="89"/>
      <c r="D391" s="89"/>
      <c r="E391" s="112"/>
      <c r="F391" s="221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 x14ac:dyDescent="0.3">
      <c r="A392" s="89"/>
      <c r="B392" s="198"/>
      <c r="C392" s="89"/>
      <c r="D392" s="89"/>
      <c r="E392" s="112"/>
      <c r="F392" s="221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 x14ac:dyDescent="0.3">
      <c r="A393" s="89"/>
      <c r="B393" s="198"/>
      <c r="C393" s="89"/>
      <c r="D393" s="89"/>
      <c r="E393" s="112"/>
      <c r="F393" s="221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 x14ac:dyDescent="0.3">
      <c r="A394" s="89"/>
      <c r="B394" s="198"/>
      <c r="C394" s="89"/>
      <c r="D394" s="89"/>
      <c r="E394" s="112"/>
      <c r="F394" s="221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 x14ac:dyDescent="0.3">
      <c r="A395" s="89"/>
      <c r="B395" s="198"/>
      <c r="C395" s="89"/>
      <c r="D395" s="89"/>
      <c r="E395" s="112"/>
      <c r="F395" s="221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6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8"/>
      <c r="AG399" s="99"/>
      <c r="AH399" s="99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88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88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88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88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88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88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93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88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88"/>
      <c r="C423" s="89"/>
      <c r="D423" s="89"/>
      <c r="E423" s="112"/>
      <c r="F423" s="221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88"/>
      <c r="C424" s="89"/>
      <c r="D424" s="89"/>
      <c r="E424" s="112"/>
      <c r="F424" s="221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88"/>
      <c r="C425" s="89"/>
      <c r="D425" s="89"/>
      <c r="E425" s="112"/>
      <c r="F425" s="221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125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88"/>
      <c r="C426" s="89"/>
      <c r="D426" s="89"/>
      <c r="E426" s="112"/>
      <c r="F426" s="221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88"/>
      <c r="C427" s="89"/>
      <c r="D427" s="89"/>
      <c r="E427" s="112"/>
      <c r="F427" s="221"/>
      <c r="G427" s="92"/>
      <c r="H427" s="93"/>
      <c r="I427" s="92"/>
      <c r="J427" s="127"/>
      <c r="K427" s="114"/>
      <c r="L427" s="89"/>
      <c r="M427" s="89"/>
      <c r="N427" s="89"/>
      <c r="O427" s="94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8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8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8"/>
      <c r="AI469" s="100"/>
      <c r="AJ469" s="100"/>
      <c r="AK469" s="129"/>
      <c r="AU469" s="45"/>
    </row>
    <row r="470" spans="1:47" ht="12" customHeight="1" x14ac:dyDescent="0.3">
      <c r="A470" s="126"/>
      <c r="B470" s="93"/>
      <c r="C470" s="89"/>
      <c r="D470" s="89"/>
      <c r="E470" s="112"/>
      <c r="F470" s="221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 x14ac:dyDescent="0.3">
      <c r="A471" s="126"/>
      <c r="B471" s="93"/>
      <c r="C471" s="89"/>
      <c r="D471" s="89"/>
      <c r="E471" s="112"/>
      <c r="F471" s="221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26"/>
      <c r="B472" s="93"/>
      <c r="C472" s="89"/>
      <c r="D472" s="89"/>
      <c r="E472" s="112"/>
      <c r="F472" s="221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26"/>
      <c r="B473" s="93"/>
      <c r="C473" s="89"/>
      <c r="D473" s="89"/>
      <c r="E473" s="112"/>
      <c r="F473" s="221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 x14ac:dyDescent="0.3">
      <c r="A474" s="126"/>
      <c r="B474" s="93"/>
      <c r="C474" s="89"/>
      <c r="D474" s="89"/>
      <c r="E474" s="112"/>
      <c r="F474" s="221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9"/>
      <c r="AU474" s="45"/>
    </row>
    <row r="475" spans="1:47" ht="12" customHeight="1" x14ac:dyDescent="0.3">
      <c r="A475" s="126"/>
      <c r="B475" s="93"/>
      <c r="C475" s="89"/>
      <c r="D475" s="89"/>
      <c r="E475" s="112"/>
      <c r="F475" s="221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 x14ac:dyDescent="0.3">
      <c r="A476" s="126"/>
      <c r="B476" s="93"/>
      <c r="C476" s="89"/>
      <c r="D476" s="89"/>
      <c r="E476" s="112"/>
      <c r="F476" s="221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9"/>
      <c r="AU476" s="45"/>
    </row>
    <row r="477" spans="1:47" ht="12" customHeight="1" x14ac:dyDescent="0.3">
      <c r="A477" s="126"/>
      <c r="B477" s="93"/>
      <c r="C477" s="89"/>
      <c r="D477" s="89"/>
      <c r="E477" s="112"/>
      <c r="F477" s="221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 x14ac:dyDescent="0.3">
      <c r="A478" s="126"/>
      <c r="B478" s="93"/>
      <c r="C478" s="89"/>
      <c r="D478" s="89"/>
      <c r="E478" s="112"/>
      <c r="F478" s="221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9"/>
      <c r="AU478" s="45"/>
    </row>
    <row r="479" spans="1:47" ht="12" customHeight="1" x14ac:dyDescent="0.3">
      <c r="A479" s="126"/>
      <c r="B479" s="93"/>
      <c r="C479" s="89"/>
      <c r="D479" s="89"/>
      <c r="E479" s="112"/>
      <c r="F479" s="221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 x14ac:dyDescent="0.3">
      <c r="A480" s="126"/>
      <c r="B480" s="93"/>
      <c r="C480" s="89"/>
      <c r="D480" s="89"/>
      <c r="E480" s="112"/>
      <c r="F480" s="221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9"/>
      <c r="AU480" s="45"/>
    </row>
    <row r="481" spans="1:47" ht="12" customHeight="1" x14ac:dyDescent="0.3">
      <c r="A481" s="126"/>
      <c r="B481" s="93"/>
      <c r="C481" s="89"/>
      <c r="D481" s="89"/>
      <c r="E481" s="112"/>
      <c r="F481" s="221"/>
      <c r="G481" s="92"/>
      <c r="H481" s="93"/>
      <c r="I481" s="92"/>
      <c r="J481" s="127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 x14ac:dyDescent="0.3">
      <c r="A482" s="130"/>
      <c r="B482" s="131"/>
      <c r="C482" s="132"/>
      <c r="D482" s="132"/>
      <c r="E482" s="133"/>
      <c r="F482" s="222"/>
      <c r="G482" s="135"/>
      <c r="H482" s="131"/>
      <c r="I482" s="135"/>
      <c r="J482" s="136"/>
      <c r="K482" s="132"/>
      <c r="L482" s="132"/>
      <c r="M482" s="132"/>
      <c r="N482" s="132"/>
      <c r="O482" s="134"/>
      <c r="P482" s="137"/>
      <c r="Q482" s="147"/>
      <c r="R482" s="138"/>
      <c r="S482" s="139"/>
      <c r="T482" s="139"/>
      <c r="U482" s="139"/>
      <c r="V482" s="131"/>
      <c r="W482" s="140"/>
      <c r="X482" s="132"/>
      <c r="Y482" s="141"/>
      <c r="Z482" s="132"/>
      <c r="AA482" s="139"/>
      <c r="AB482" s="132"/>
      <c r="AC482" s="191"/>
      <c r="AD482" s="132"/>
      <c r="AE482" s="132"/>
      <c r="AF482" s="137"/>
      <c r="AG482" s="137"/>
      <c r="AH482" s="137"/>
      <c r="AI482" s="142"/>
      <c r="AJ482" s="142"/>
      <c r="AK482" s="143"/>
      <c r="AU482" s="45"/>
    </row>
    <row r="483" spans="1:47" ht="12" customHeight="1" x14ac:dyDescent="0.3">
      <c r="A483" s="130"/>
      <c r="B483" s="93"/>
      <c r="C483" s="132"/>
      <c r="D483" s="132"/>
      <c r="E483" s="112"/>
      <c r="F483" s="221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 x14ac:dyDescent="0.3">
      <c r="A484" s="130"/>
      <c r="B484" s="93"/>
      <c r="C484" s="132"/>
      <c r="D484" s="132"/>
      <c r="E484" s="112"/>
      <c r="F484" s="221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 x14ac:dyDescent="0.3">
      <c r="A485" s="130"/>
      <c r="B485" s="93"/>
      <c r="C485" s="132"/>
      <c r="D485" s="132"/>
      <c r="E485" s="112"/>
      <c r="F485" s="221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 x14ac:dyDescent="0.3">
      <c r="A486" s="130"/>
      <c r="B486" s="93"/>
      <c r="C486" s="132"/>
      <c r="D486" s="132"/>
      <c r="E486" s="112"/>
      <c r="F486" s="221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 x14ac:dyDescent="0.3">
      <c r="A487" s="130"/>
      <c r="B487" s="93"/>
      <c r="C487" s="132"/>
      <c r="D487" s="132"/>
      <c r="E487" s="112"/>
      <c r="F487" s="221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 x14ac:dyDescent="0.3">
      <c r="A488" s="130"/>
      <c r="B488" s="93"/>
      <c r="C488" s="132"/>
      <c r="D488" s="132"/>
      <c r="E488" s="112"/>
      <c r="F488" s="221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 x14ac:dyDescent="0.3">
      <c r="A489" s="130"/>
      <c r="B489" s="93"/>
      <c r="C489" s="132"/>
      <c r="D489" s="132"/>
      <c r="E489" s="112"/>
      <c r="F489" s="221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 x14ac:dyDescent="0.3">
      <c r="A490" s="130"/>
      <c r="B490" s="93"/>
      <c r="C490" s="132"/>
      <c r="D490" s="132"/>
      <c r="E490" s="112"/>
      <c r="F490" s="221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 x14ac:dyDescent="0.3">
      <c r="A491" s="130"/>
      <c r="B491" s="93"/>
      <c r="C491" s="132"/>
      <c r="D491" s="132"/>
      <c r="E491" s="112"/>
      <c r="F491" s="221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 x14ac:dyDescent="0.3">
      <c r="A492" s="130"/>
      <c r="B492" s="93"/>
      <c r="C492" s="132"/>
      <c r="D492" s="132"/>
      <c r="E492" s="112"/>
      <c r="F492" s="221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 x14ac:dyDescent="0.3">
      <c r="A493" s="130"/>
      <c r="B493" s="93"/>
      <c r="C493" s="132"/>
      <c r="D493" s="132"/>
      <c r="E493" s="112"/>
      <c r="F493" s="221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 x14ac:dyDescent="0.3">
      <c r="A494" s="130"/>
      <c r="B494" s="93"/>
      <c r="C494" s="132"/>
      <c r="D494" s="132"/>
      <c r="E494" s="112"/>
      <c r="F494" s="221"/>
      <c r="G494" s="92"/>
      <c r="H494" s="93"/>
      <c r="I494" s="92"/>
      <c r="J494" s="136"/>
      <c r="K494" s="89"/>
      <c r="L494" s="89"/>
      <c r="M494" s="89"/>
      <c r="N494" s="89"/>
      <c r="O494" s="91"/>
      <c r="P494" s="95"/>
      <c r="Q494" s="145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9"/>
      <c r="AU494" s="45"/>
    </row>
    <row r="495" spans="1:47" ht="12" customHeight="1" x14ac:dyDescent="0.3">
      <c r="A495" s="130"/>
      <c r="B495" s="93"/>
      <c r="C495" s="132"/>
      <c r="D495" s="132"/>
      <c r="E495" s="133"/>
      <c r="F495" s="222"/>
      <c r="G495" s="135"/>
      <c r="H495" s="131"/>
      <c r="I495" s="135"/>
      <c r="J495" s="136"/>
      <c r="K495" s="132"/>
      <c r="L495" s="132"/>
      <c r="M495" s="132"/>
      <c r="N495" s="132"/>
      <c r="O495" s="134"/>
      <c r="P495" s="137"/>
      <c r="Q495" s="145"/>
      <c r="R495" s="138"/>
      <c r="S495" s="139"/>
      <c r="T495" s="97"/>
      <c r="U495" s="97"/>
      <c r="V495" s="131"/>
      <c r="W495" s="140"/>
      <c r="X495" s="132"/>
      <c r="Y495" s="141"/>
      <c r="Z495" s="132"/>
      <c r="AA495" s="139"/>
      <c r="AB495" s="132"/>
      <c r="AC495" s="191"/>
      <c r="AD495" s="132"/>
      <c r="AE495" s="132"/>
      <c r="AF495" s="137"/>
      <c r="AG495" s="137"/>
      <c r="AH495" s="137"/>
      <c r="AI495" s="142"/>
      <c r="AJ495" s="142"/>
      <c r="AK495" s="143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125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88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93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88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88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88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88"/>
      <c r="W519" s="125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88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88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88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93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88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88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88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88"/>
      <c r="C526" s="91"/>
      <c r="D526" s="89"/>
      <c r="E526" s="112"/>
      <c r="F526" s="221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88"/>
      <c r="C527" s="91"/>
      <c r="D527" s="89"/>
      <c r="E527" s="112"/>
      <c r="F527" s="221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5"/>
      <c r="R527" s="96"/>
      <c r="S527" s="97"/>
      <c r="T527" s="97"/>
      <c r="U527" s="97"/>
      <c r="V527" s="88"/>
      <c r="W527" s="125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557" s="87"/>
      <c r="B557" s="93"/>
      <c r="C557" s="91"/>
      <c r="D557" s="89"/>
      <c r="E557" s="112"/>
      <c r="F557" s="221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 x14ac:dyDescent="0.3">
      <c r="A558" s="87"/>
      <c r="B558" s="93"/>
      <c r="C558" s="91"/>
      <c r="D558" s="89"/>
      <c r="E558" s="112"/>
      <c r="F558" s="221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 x14ac:dyDescent="0.3">
      <c r="A559" s="87"/>
      <c r="B559" s="93"/>
      <c r="C559" s="91"/>
      <c r="D559" s="89"/>
      <c r="E559" s="112"/>
      <c r="F559" s="221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5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 x14ac:dyDescent="0.3">
      <c r="A560" s="87"/>
      <c r="B560" s="93"/>
      <c r="C560" s="91"/>
      <c r="D560" s="89"/>
      <c r="E560" s="112"/>
      <c r="F560" s="221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 x14ac:dyDescent="0.3">
      <c r="A561" s="87"/>
      <c r="B561" s="93"/>
      <c r="C561" s="91"/>
      <c r="D561" s="89"/>
      <c r="E561" s="112"/>
      <c r="F561" s="221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 x14ac:dyDescent="0.3">
      <c r="A562" s="87"/>
      <c r="B562" s="93"/>
      <c r="C562" s="91"/>
      <c r="D562" s="89"/>
      <c r="E562" s="112"/>
      <c r="F562" s="221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 x14ac:dyDescent="0.3">
      <c r="A563" s="87"/>
      <c r="B563" s="93"/>
      <c r="C563" s="91"/>
      <c r="D563" s="89"/>
      <c r="E563" s="112"/>
      <c r="F563" s="221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 x14ac:dyDescent="0.3">
      <c r="A564" s="87"/>
      <c r="B564" s="93"/>
      <c r="C564" s="91"/>
      <c r="D564" s="89"/>
      <c r="E564" s="112"/>
      <c r="F564" s="221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 x14ac:dyDescent="0.3">
      <c r="A565" s="87"/>
      <c r="B565" s="93"/>
      <c r="C565" s="91"/>
      <c r="D565" s="89"/>
      <c r="E565" s="112"/>
      <c r="F565" s="221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 x14ac:dyDescent="0.3">
      <c r="A566" s="87"/>
      <c r="B566" s="93"/>
      <c r="C566" s="91"/>
      <c r="D566" s="89"/>
      <c r="E566" s="112"/>
      <c r="F566" s="221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 x14ac:dyDescent="0.3">
      <c r="A567" s="87"/>
      <c r="B567" s="93"/>
      <c r="C567" s="91"/>
      <c r="D567" s="89"/>
      <c r="E567" s="112"/>
      <c r="F567" s="221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 x14ac:dyDescent="0.3">
      <c r="A568" s="87"/>
      <c r="B568" s="93"/>
      <c r="C568" s="91"/>
      <c r="D568" s="89"/>
      <c r="E568" s="112"/>
      <c r="F568" s="221"/>
      <c r="G568" s="92"/>
      <c r="H568" s="93"/>
      <c r="I568" s="92"/>
      <c r="J568" s="89"/>
      <c r="K568" s="89"/>
      <c r="L568" s="89"/>
      <c r="M568" s="89"/>
      <c r="N568" s="89"/>
      <c r="O568" s="91"/>
      <c r="P568" s="144"/>
      <c r="Q568" s="145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 x14ac:dyDescent="0.3">
      <c r="AU569" s="45"/>
    </row>
    <row r="570" spans="1:47" ht="12" customHeight="1" x14ac:dyDescent="0.3">
      <c r="AU570" s="45"/>
    </row>
    <row r="571" spans="1:47" ht="12" customHeight="1" x14ac:dyDescent="0.3">
      <c r="AU571" s="45"/>
    </row>
    <row r="572" spans="1:47" ht="12" customHeight="1" x14ac:dyDescent="0.3">
      <c r="AU572" s="45"/>
    </row>
    <row r="573" spans="1:47" ht="12" customHeight="1" x14ac:dyDescent="0.3">
      <c r="AU573" s="45"/>
    </row>
    <row r="574" spans="1:47" ht="12" customHeight="1" x14ac:dyDescent="0.3">
      <c r="AU574" s="45"/>
    </row>
    <row r="575" spans="1:47" ht="12" customHeight="1" x14ac:dyDescent="0.3">
      <c r="AU575" s="45"/>
    </row>
    <row r="576" spans="1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  <row r="6865" spans="47:47" ht="12" customHeight="1" x14ac:dyDescent="0.3">
      <c r="AU6865" s="45"/>
    </row>
    <row r="6866" spans="47:47" ht="12" customHeight="1" x14ac:dyDescent="0.3">
      <c r="AU6866" s="45"/>
    </row>
    <row r="6867" spans="47:47" ht="12" customHeight="1" x14ac:dyDescent="0.3">
      <c r="AU6867" s="45"/>
    </row>
  </sheetData>
  <autoFilter ref="A1:AU240" xr:uid="{9931A248-8A11-4D8E-BACD-A0C0D59E4D18}"/>
  <conditionalFormatting sqref="A1:A568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9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121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121">
    <cfRule type="duplicateValues" dxfId="16" priority="17"/>
  </conditionalFormatting>
  <conditionalFormatting sqref="F24:F395">
    <cfRule type="duplicateValues" dxfId="15" priority="145"/>
  </conditionalFormatting>
  <conditionalFormatting sqref="F396:F495">
    <cfRule type="duplicateValues" dxfId="14" priority="19"/>
    <cfRule type="duplicateValues" dxfId="13" priority="20"/>
  </conditionalFormatting>
  <conditionalFormatting sqref="F496:F568">
    <cfRule type="duplicateValues" dxfId="12" priority="21"/>
  </conditionalFormatting>
  <conditionalFormatting sqref="F569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5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AF2:AF77 AG96:AG97 AG11 AG42 AG55 AG35 AG4 AF79:AG79 AG100 AF111:AF1048576 AG88:AG90 AG24 AG32 AG28 AG65 AF82:AF109 AG38 AG109 AG44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AF78 AG39:AG41 AG5:AG10 AG110:AG1048576 AG80:AG87 AG2:AG3 AF80:AF81 AG56:AG64 AF110 AG91:AG95 AG66:AG78 AG29:AG31 AG12:AG23 AG33:AG34 AG25:AG27 AG98:AG99 AG36:AG37 AG101:AG108 AG43 AG45:AG54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C11" sqref="C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1" t="s">
        <v>37</v>
      </c>
      <c r="C2" s="81" t="s">
        <v>67</v>
      </c>
    </row>
    <row r="3" spans="1:31" x14ac:dyDescent="0.3">
      <c r="B3" s="211" t="s">
        <v>2</v>
      </c>
      <c r="C3" s="81"/>
      <c r="F3" s="40"/>
    </row>
    <row r="4" spans="1:31" x14ac:dyDescent="0.3">
      <c r="B4" s="211" t="s">
        <v>480</v>
      </c>
      <c r="C4" s="81" t="s">
        <v>481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2" t="s">
        <v>38</v>
      </c>
      <c r="C7" s="82">
        <v>46143</v>
      </c>
      <c r="D7" t="s">
        <v>482</v>
      </c>
    </row>
    <row r="9" spans="1:31" x14ac:dyDescent="0.3">
      <c r="B9" s="213" t="s">
        <v>483</v>
      </c>
      <c r="C9" s="78">
        <v>46023</v>
      </c>
    </row>
    <row r="10" spans="1:31" x14ac:dyDescent="0.3">
      <c r="B10" s="213" t="s">
        <v>484</v>
      </c>
      <c r="C10" s="78">
        <v>46181</v>
      </c>
    </row>
    <row r="12" spans="1:31" s="219" customFormat="1" x14ac:dyDescent="0.3">
      <c r="A12" s="217"/>
      <c r="B12" s="218" t="s">
        <v>485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 x14ac:dyDescent="0.3">
      <c r="B14" s="237" t="s">
        <v>16</v>
      </c>
      <c r="C14" s="176" t="s">
        <v>39</v>
      </c>
      <c r="D14" s="176"/>
      <c r="E14" s="176"/>
      <c r="F14" s="176"/>
      <c r="G14" s="176"/>
      <c r="H14" s="176" t="s">
        <v>486</v>
      </c>
      <c r="I14" s="176"/>
      <c r="K14" s="237" t="s">
        <v>487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488</v>
      </c>
      <c r="U14" s="77" t="s">
        <v>489</v>
      </c>
      <c r="W14" s="186" t="s">
        <v>487</v>
      </c>
      <c r="X14" s="186"/>
      <c r="Y14" s="186"/>
    </row>
    <row r="15" spans="1:31" x14ac:dyDescent="0.3">
      <c r="B15" s="237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488</v>
      </c>
      <c r="I15" s="176" t="s">
        <v>489</v>
      </c>
      <c r="K15" s="237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486</v>
      </c>
      <c r="S15" s="193" t="s">
        <v>56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116</v>
      </c>
      <c r="U15" s="80">
        <f t="shared" ref="U15:U40" si="0">IFERROR(T15/$T$40,0)</f>
        <v>0.89922480620155043</v>
      </c>
      <c r="W15" s="187" t="s">
        <v>490</v>
      </c>
      <c r="X15" s="187"/>
      <c r="Y15" s="188">
        <f>IFERROR(T15/T40,0)</f>
        <v>0.89922480620155043</v>
      </c>
    </row>
    <row r="16" spans="1:31" x14ac:dyDescent="0.3">
      <c r="B16" s="194" t="s">
        <v>56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101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8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1</v>
      </c>
      <c r="H16" s="44">
        <f>SUM(C16:G16)</f>
        <v>110</v>
      </c>
      <c r="I16" s="49">
        <f t="shared" ref="I16:I41" si="1">+IFERROR(H16/$H$41,0)</f>
        <v>0.89430894308943087</v>
      </c>
      <c r="K16" s="36" t="s">
        <v>481</v>
      </c>
      <c r="L16" s="36">
        <f t="shared" ref="L16:Q16" si="2">+C41</f>
        <v>0</v>
      </c>
      <c r="M16" s="36">
        <f t="shared" si="2"/>
        <v>109</v>
      </c>
      <c r="N16" s="36">
        <f t="shared" si="2"/>
        <v>0</v>
      </c>
      <c r="O16" s="36">
        <f t="shared" si="2"/>
        <v>11</v>
      </c>
      <c r="P16" s="36">
        <f t="shared" si="2"/>
        <v>3</v>
      </c>
      <c r="Q16" s="44">
        <f t="shared" si="2"/>
        <v>123</v>
      </c>
      <c r="S16" s="206" t="s">
        <v>491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492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6.9482758620689653</v>
      </c>
    </row>
    <row r="17" spans="2:25" x14ac:dyDescent="0.3">
      <c r="B17" s="195" t="s">
        <v>491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56</v>
      </c>
      <c r="L17" s="38">
        <f t="shared" ref="L17:Q17" si="4">+C16</f>
        <v>0</v>
      </c>
      <c r="M17" s="38">
        <f t="shared" si="4"/>
        <v>101</v>
      </c>
      <c r="N17" s="38">
        <f t="shared" si="4"/>
        <v>0</v>
      </c>
      <c r="O17" s="38">
        <f t="shared" si="4"/>
        <v>8</v>
      </c>
      <c r="P17" s="38">
        <f t="shared" si="4"/>
        <v>1</v>
      </c>
      <c r="Q17" s="39">
        <f t="shared" si="4"/>
        <v>110</v>
      </c>
      <c r="S17" s="193" t="s">
        <v>493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494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6.2857142857142856</v>
      </c>
    </row>
    <row r="18" spans="2:25" x14ac:dyDescent="0.3">
      <c r="B18" s="194" t="s">
        <v>493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490</v>
      </c>
      <c r="L18" s="41" t="str">
        <f t="shared" ref="L18:Q18" si="5">IFERROR(L17/L16,"")</f>
        <v/>
      </c>
      <c r="M18" s="41">
        <f t="shared" si="5"/>
        <v>0.92660550458715596</v>
      </c>
      <c r="N18" s="41" t="str">
        <f t="shared" si="5"/>
        <v/>
      </c>
      <c r="O18" s="41">
        <f t="shared" si="5"/>
        <v>0.72727272727272729</v>
      </c>
      <c r="P18" s="41">
        <f t="shared" si="5"/>
        <v>0.33333333333333331</v>
      </c>
      <c r="Q18" s="49">
        <f t="shared" si="5"/>
        <v>0.89430894308943087</v>
      </c>
      <c r="S18" s="206" t="s">
        <v>495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496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13.373765432098622</v>
      </c>
    </row>
    <row r="19" spans="2:25" x14ac:dyDescent="0.3">
      <c r="B19" s="195" t="s">
        <v>495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492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6.4851485148514856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15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9</v>
      </c>
      <c r="Q19" s="181">
        <f>IFERROR(SUMIFS(Consolidado!AQ:AQ,Consolidado!$AM:$AM,Análise!$C$7,Consolidado!$AL:$AL,IF(ISBLANK($C$2),"&lt;&gt;",$C$2),Consolidado!$C:$C,IF(ISBLANK($C$3),"&lt;&gt;",$C$3))/$Q17,0)</f>
        <v>7.127272727272727</v>
      </c>
      <c r="S19" s="193" t="s">
        <v>497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498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14.5</v>
      </c>
    </row>
    <row r="20" spans="2:25" x14ac:dyDescent="0.3">
      <c r="B20" s="194" t="s">
        <v>497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4" t="s">
        <v>494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5.5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8.1111111111111107</v>
      </c>
      <c r="S20" s="206" t="s">
        <v>499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500</v>
      </c>
      <c r="X20" s="208"/>
      <c r="Y20" s="209">
        <f>IFERROR((T15+T37)/T40,"")</f>
        <v>0.93798449612403101</v>
      </c>
    </row>
    <row r="21" spans="2:25" x14ac:dyDescent="0.3">
      <c r="B21" s="195" t="s">
        <v>499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496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13.600452196382278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13.450441919191773</v>
      </c>
      <c r="S21" s="193" t="s">
        <v>501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4" t="s">
        <v>501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502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503</v>
      </c>
      <c r="X22" s="77" t="s">
        <v>488</v>
      </c>
      <c r="Y22" s="77" t="s">
        <v>489</v>
      </c>
    </row>
    <row r="23" spans="2:25" x14ac:dyDescent="0.3">
      <c r="B23" s="195" t="s">
        <v>502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504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5" t="s">
        <v>391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8</v>
      </c>
      <c r="Y23" s="80">
        <f>IFERROR(X23/SUM($X$23:$X$24),"")</f>
        <v>0.61538461538461542</v>
      </c>
    </row>
    <row r="24" spans="2:25" x14ac:dyDescent="0.3">
      <c r="B24" s="194" t="s">
        <v>504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7" t="s">
        <v>487</v>
      </c>
      <c r="L24" s="176" t="s">
        <v>39</v>
      </c>
      <c r="M24" s="176"/>
      <c r="N24" s="176"/>
      <c r="O24" s="176"/>
      <c r="P24" s="176"/>
      <c r="Q24" s="176"/>
      <c r="S24" s="206" t="s">
        <v>505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386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5</v>
      </c>
      <c r="Y24" s="183">
        <f>IFERROR(X24/SUM($X$23:$X$24),"")</f>
        <v>0.38461538461538464</v>
      </c>
    </row>
    <row r="25" spans="2:25" x14ac:dyDescent="0.3">
      <c r="B25" s="195" t="s">
        <v>505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7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486</v>
      </c>
      <c r="S25" s="193" t="s">
        <v>506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4" t="s">
        <v>506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498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14.5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14.5</v>
      </c>
      <c r="S26" s="206" t="s">
        <v>507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 x14ac:dyDescent="0.3">
      <c r="B27" s="195" t="s">
        <v>507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508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4" t="s">
        <v>508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118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4</v>
      </c>
      <c r="U28" s="183">
        <f t="shared" si="0"/>
        <v>3.1007751937984496E-2</v>
      </c>
    </row>
    <row r="29" spans="2:25" x14ac:dyDescent="0.3">
      <c r="B29" s="195" t="s">
        <v>118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4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4</v>
      </c>
      <c r="I29" s="43">
        <f t="shared" si="1"/>
        <v>3.2520325203252036E-2</v>
      </c>
      <c r="K29" s="237" t="s">
        <v>487</v>
      </c>
      <c r="L29" s="176" t="s">
        <v>39</v>
      </c>
      <c r="M29" s="176"/>
      <c r="N29" s="176"/>
      <c r="O29" s="176"/>
      <c r="P29" s="176"/>
      <c r="Q29" s="176"/>
      <c r="S29" s="193" t="s">
        <v>509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4" t="s">
        <v>509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7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486</v>
      </c>
      <c r="S30" s="206" t="s">
        <v>510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 x14ac:dyDescent="0.3">
      <c r="B31" s="195" t="s">
        <v>510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500</v>
      </c>
      <c r="L31" s="183" t="str">
        <f t="shared" ref="L31:Q31" si="6">IFERROR((C16+C38)/C41,"")</f>
        <v/>
      </c>
      <c r="M31" s="183">
        <f t="shared" si="6"/>
        <v>0.92660550458715596</v>
      </c>
      <c r="N31" s="183" t="str">
        <f t="shared" si="6"/>
        <v/>
      </c>
      <c r="O31" s="183">
        <f t="shared" si="6"/>
        <v>1</v>
      </c>
      <c r="P31" s="183">
        <f t="shared" si="6"/>
        <v>1</v>
      </c>
      <c r="Q31" s="184">
        <f t="shared" si="6"/>
        <v>0.93495934959349591</v>
      </c>
      <c r="S31" s="193" t="s">
        <v>172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4</v>
      </c>
      <c r="U31" s="80">
        <f t="shared" si="0"/>
        <v>3.1007751937984496E-2</v>
      </c>
    </row>
    <row r="32" spans="2:25" x14ac:dyDescent="0.3">
      <c r="B32" s="194" t="s">
        <v>172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4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4</v>
      </c>
      <c r="I32" s="49">
        <f t="shared" si="1"/>
        <v>3.2520325203252036E-2</v>
      </c>
      <c r="S32" s="206" t="s">
        <v>511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 x14ac:dyDescent="0.3">
      <c r="B33" s="195" t="s">
        <v>511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512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4" t="s">
        <v>512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503</v>
      </c>
      <c r="L34" s="37" t="s">
        <v>488</v>
      </c>
      <c r="M34" s="176" t="s">
        <v>489</v>
      </c>
      <c r="S34" s="206" t="s">
        <v>513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 x14ac:dyDescent="0.3">
      <c r="B35" s="195" t="s">
        <v>513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391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</v>
      </c>
      <c r="M35" s="41">
        <f>IFERROR(L35/SUM($L$35:$L$36),"")</f>
        <v>0.44444444444444442</v>
      </c>
      <c r="S35" s="193" t="s">
        <v>514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4" t="s">
        <v>514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386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5</v>
      </c>
      <c r="M36" s="42">
        <f>IFERROR(L36/SUM($L$35:$L$36),"")</f>
        <v>0.55555555555555558</v>
      </c>
      <c r="S36" s="206" t="s">
        <v>515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0</v>
      </c>
      <c r="U36" s="183">
        <f t="shared" si="0"/>
        <v>0</v>
      </c>
    </row>
    <row r="37" spans="1:31" x14ac:dyDescent="0.3">
      <c r="B37" s="195" t="s">
        <v>515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3" t="s">
        <v>400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3.875968992248062E-2</v>
      </c>
    </row>
    <row r="38" spans="1:31" x14ac:dyDescent="0.3">
      <c r="B38" s="194" t="s">
        <v>400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3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5</v>
      </c>
      <c r="I38" s="49">
        <f t="shared" si="1"/>
        <v>4.065040650406504E-2</v>
      </c>
      <c r="S38" s="206" t="s">
        <v>516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 x14ac:dyDescent="0.3">
      <c r="B39" s="195" t="s">
        <v>516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517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4" t="s">
        <v>517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481</v>
      </c>
      <c r="T40" s="39">
        <f>SUM(T15:T39)</f>
        <v>129</v>
      </c>
      <c r="U40" s="184">
        <f t="shared" si="0"/>
        <v>1</v>
      </c>
    </row>
    <row r="41" spans="1:31" x14ac:dyDescent="0.3">
      <c r="B41" s="39" t="s">
        <v>481</v>
      </c>
      <c r="C41" s="39">
        <f t="shared" ref="C41:H41" si="7">SUM(C16:C40)</f>
        <v>0</v>
      </c>
      <c r="D41" s="39">
        <f t="shared" si="7"/>
        <v>109</v>
      </c>
      <c r="E41" s="39">
        <f t="shared" si="7"/>
        <v>0</v>
      </c>
      <c r="F41" s="39">
        <f t="shared" si="7"/>
        <v>11</v>
      </c>
      <c r="G41" s="39">
        <f t="shared" si="7"/>
        <v>3</v>
      </c>
      <c r="H41" s="39">
        <f t="shared" si="7"/>
        <v>123</v>
      </c>
      <c r="I41" s="43">
        <f t="shared" si="1"/>
        <v>1</v>
      </c>
    </row>
    <row r="43" spans="1:31" s="219" customFormat="1" x14ac:dyDescent="0.3">
      <c r="A43" s="217"/>
      <c r="B43" s="218" t="s">
        <v>518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 x14ac:dyDescent="0.3">
      <c r="B45" s="237" t="s">
        <v>16</v>
      </c>
      <c r="C45" s="176" t="s">
        <v>39</v>
      </c>
      <c r="D45" s="176"/>
      <c r="E45" s="176"/>
      <c r="F45" s="176"/>
      <c r="G45" s="176"/>
      <c r="H45" s="238" t="s">
        <v>486</v>
      </c>
    </row>
    <row r="46" spans="1:31" x14ac:dyDescent="0.3">
      <c r="B46" s="237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39"/>
    </row>
    <row r="47" spans="1:31" x14ac:dyDescent="0.3">
      <c r="B47" s="194" t="s">
        <v>56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97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105</v>
      </c>
    </row>
    <row r="49" spans="1:31" x14ac:dyDescent="0.3">
      <c r="B49" s="77" t="s">
        <v>16</v>
      </c>
      <c r="C49" s="77" t="s">
        <v>519</v>
      </c>
    </row>
    <row r="50" spans="1:31" x14ac:dyDescent="0.3">
      <c r="B50" s="193" t="s">
        <v>56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114</v>
      </c>
    </row>
    <row r="52" spans="1:31" s="219" customFormat="1" x14ac:dyDescent="0.3">
      <c r="A52" s="217"/>
      <c r="B52" s="218" t="s">
        <v>520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 x14ac:dyDescent="0.3">
      <c r="B54" s="233" t="s">
        <v>521</v>
      </c>
      <c r="C54" s="176" t="s">
        <v>39</v>
      </c>
      <c r="D54" s="176"/>
      <c r="E54" s="176"/>
      <c r="F54" s="176"/>
      <c r="G54" s="176"/>
      <c r="H54" s="176"/>
      <c r="K54" s="234" t="s">
        <v>521</v>
      </c>
      <c r="L54" s="235" t="s">
        <v>519</v>
      </c>
    </row>
    <row r="55" spans="1:31" x14ac:dyDescent="0.3">
      <c r="B55" s="233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481</v>
      </c>
      <c r="K55" s="234"/>
      <c r="L55" s="236"/>
    </row>
    <row r="56" spans="1:31" x14ac:dyDescent="0.3">
      <c r="B56" s="47" t="s">
        <v>522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522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523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523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524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524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344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1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1</v>
      </c>
      <c r="K59" s="48" t="s">
        <v>344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0" spans="1:31" x14ac:dyDescent="0.3">
      <c r="B60" s="47" t="s">
        <v>161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6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6</v>
      </c>
      <c r="K60" s="204" t="s">
        <v>161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1" spans="1:31" x14ac:dyDescent="0.3">
      <c r="B61" s="48" t="s">
        <v>143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2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2</v>
      </c>
      <c r="K61" s="48" t="s">
        <v>143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 x14ac:dyDescent="0.3">
      <c r="B62" s="47" t="s">
        <v>481</v>
      </c>
      <c r="C62" s="44">
        <f>SUM(C56:C61)</f>
        <v>0</v>
      </c>
      <c r="D62" s="44">
        <f>SUM(D56:D61)</f>
        <v>9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9</v>
      </c>
      <c r="K62" s="204" t="s">
        <v>481</v>
      </c>
      <c r="L62" s="205">
        <f>SUM(L56:L61)</f>
        <v>9</v>
      </c>
    </row>
    <row r="64" spans="1:31" x14ac:dyDescent="0.3">
      <c r="B64" s="233" t="s">
        <v>525</v>
      </c>
      <c r="C64" s="176" t="s">
        <v>39</v>
      </c>
      <c r="D64" s="176"/>
      <c r="E64" s="176"/>
      <c r="F64" s="176"/>
      <c r="G64" s="176"/>
      <c r="H64" s="176"/>
      <c r="K64" s="234" t="s">
        <v>525</v>
      </c>
      <c r="L64" s="235" t="s">
        <v>519</v>
      </c>
    </row>
    <row r="65" spans="1:31" x14ac:dyDescent="0.3">
      <c r="B65" s="233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481</v>
      </c>
      <c r="K65" s="234"/>
      <c r="L65" s="236"/>
    </row>
    <row r="66" spans="1:31" x14ac:dyDescent="0.3">
      <c r="B66" s="47" t="s">
        <v>522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522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523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523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526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526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 x14ac:dyDescent="0.3">
      <c r="A70" s="217"/>
      <c r="B70" s="218" t="s">
        <v>527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 x14ac:dyDescent="0.3">
      <c r="B72" s="35" t="s">
        <v>528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486</v>
      </c>
      <c r="K72" s="76" t="s">
        <v>528</v>
      </c>
      <c r="L72" s="214" t="s">
        <v>519</v>
      </c>
    </row>
    <row r="73" spans="1:31" x14ac:dyDescent="0.3">
      <c r="B73" s="47" t="s">
        <v>83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9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1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10</v>
      </c>
      <c r="K73" s="204" t="s">
        <v>83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74" spans="1:31" x14ac:dyDescent="0.3">
      <c r="B74" s="48" t="s">
        <v>64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33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33</v>
      </c>
      <c r="K74" s="48" t="s">
        <v>64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33</v>
      </c>
    </row>
    <row r="75" spans="1:31" x14ac:dyDescent="0.3">
      <c r="B75" s="47" t="s">
        <v>529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4" t="s">
        <v>529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481</v>
      </c>
      <c r="C76" s="39">
        <f>SUM(C73:C75)</f>
        <v>0</v>
      </c>
      <c r="D76" s="39">
        <f t="shared" ref="D76:H76" si="10">SUM(D73:D75)</f>
        <v>42</v>
      </c>
      <c r="E76" s="39">
        <f t="shared" si="10"/>
        <v>0</v>
      </c>
      <c r="F76" s="39">
        <f t="shared" si="10"/>
        <v>1</v>
      </c>
      <c r="G76" s="39">
        <f t="shared" si="10"/>
        <v>0</v>
      </c>
      <c r="H76" s="39">
        <f t="shared" si="10"/>
        <v>43</v>
      </c>
      <c r="K76" s="48" t="s">
        <v>481</v>
      </c>
      <c r="L76" s="39">
        <f>SUM(L73:L75)</f>
        <v>43</v>
      </c>
    </row>
    <row r="78" spans="1:31" x14ac:dyDescent="0.3">
      <c r="B78" s="35" t="s">
        <v>530</v>
      </c>
      <c r="C78" s="46" t="s">
        <v>486</v>
      </c>
      <c r="K78" s="76" t="s">
        <v>530</v>
      </c>
      <c r="L78" s="214" t="s">
        <v>519</v>
      </c>
    </row>
    <row r="79" spans="1:31" x14ac:dyDescent="0.3">
      <c r="B79" s="47" t="s">
        <v>83</v>
      </c>
      <c r="C79" s="49">
        <f>IFERROR(H73/$H$76,"")</f>
        <v>0.23255813953488372</v>
      </c>
      <c r="K79" s="204" t="s">
        <v>83</v>
      </c>
      <c r="L79" s="215">
        <f>IFERROR(L73/$L$76,"")</f>
        <v>0.23255813953488372</v>
      </c>
    </row>
    <row r="80" spans="1:31" x14ac:dyDescent="0.3">
      <c r="B80" s="48" t="s">
        <v>64</v>
      </c>
      <c r="C80" s="50">
        <f>IFERROR(H74/$H$76,"")</f>
        <v>0.76744186046511631</v>
      </c>
      <c r="K80" s="48" t="s">
        <v>64</v>
      </c>
      <c r="L80" s="50">
        <f>IFERROR(L74/$L$76,"")</f>
        <v>0.76744186046511631</v>
      </c>
    </row>
    <row r="81" spans="1:31" x14ac:dyDescent="0.3">
      <c r="B81" s="47" t="s">
        <v>529</v>
      </c>
      <c r="C81" s="51">
        <f>IFERROR(H75/$H$76,"")</f>
        <v>0</v>
      </c>
      <c r="K81" s="204" t="s">
        <v>529</v>
      </c>
      <c r="L81" s="216">
        <f>IFERROR(L75/$L$76,"")</f>
        <v>0</v>
      </c>
    </row>
    <row r="83" spans="1:31" s="219" customFormat="1" x14ac:dyDescent="0.3">
      <c r="A83" s="217"/>
      <c r="B83" s="218" t="s">
        <v>531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 x14ac:dyDescent="0.3">
      <c r="B85" s="35" t="s">
        <v>532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486</v>
      </c>
      <c r="K85" s="76" t="s">
        <v>532</v>
      </c>
      <c r="L85" s="214" t="s">
        <v>519</v>
      </c>
    </row>
    <row r="86" spans="1:31" x14ac:dyDescent="0.3">
      <c r="B86" s="47" t="s">
        <v>59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109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7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1</v>
      </c>
      <c r="H86" s="44">
        <f>SUM(C86:G86)</f>
        <v>117</v>
      </c>
      <c r="K86" s="204" t="s">
        <v>59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123</v>
      </c>
    </row>
    <row r="87" spans="1:31" x14ac:dyDescent="0.3">
      <c r="B87" s="48" t="s">
        <v>533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533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169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169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481</v>
      </c>
      <c r="C89" s="39">
        <f>SUM(C86:C88)</f>
        <v>0</v>
      </c>
      <c r="D89" s="39">
        <f t="shared" ref="D89:H89" si="12">SUM(D86:D88)</f>
        <v>109</v>
      </c>
      <c r="E89" s="39">
        <f t="shared" si="12"/>
        <v>0</v>
      </c>
      <c r="F89" s="39">
        <f t="shared" si="12"/>
        <v>7</v>
      </c>
      <c r="G89" s="39">
        <f t="shared" si="12"/>
        <v>1</v>
      </c>
      <c r="H89" s="39">
        <f t="shared" si="12"/>
        <v>117</v>
      </c>
      <c r="K89" s="48" t="s">
        <v>481</v>
      </c>
      <c r="L89" s="39">
        <f>SUM(L86:L88)</f>
        <v>123</v>
      </c>
    </row>
    <row r="91" spans="1:31" x14ac:dyDescent="0.3">
      <c r="B91" s="35" t="s">
        <v>534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486</v>
      </c>
      <c r="K91" s="76" t="s">
        <v>534</v>
      </c>
      <c r="L91" s="214" t="s">
        <v>519</v>
      </c>
    </row>
    <row r="92" spans="1:31" x14ac:dyDescent="0.3">
      <c r="B92" s="47" t="s">
        <v>60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47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1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48</v>
      </c>
      <c r="K92" s="204" t="s">
        <v>60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49</v>
      </c>
    </row>
    <row r="93" spans="1:31" x14ac:dyDescent="0.3">
      <c r="B93" s="48" t="s">
        <v>535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535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173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3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3</v>
      </c>
      <c r="K94" s="204" t="s">
        <v>173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5" spans="1:31" x14ac:dyDescent="0.3">
      <c r="B95" s="48" t="s">
        <v>88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57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60</v>
      </c>
      <c r="K95" s="48" t="s">
        <v>88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60</v>
      </c>
    </row>
    <row r="96" spans="1:31" x14ac:dyDescent="0.3">
      <c r="B96" s="47" t="s">
        <v>169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2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2</v>
      </c>
      <c r="K96" s="204" t="s">
        <v>169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2</v>
      </c>
    </row>
    <row r="97" spans="1:31" x14ac:dyDescent="0.3">
      <c r="B97" s="48" t="s">
        <v>536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536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481</v>
      </c>
      <c r="C98" s="44">
        <f t="shared" ref="C98:H98" si="14">SUM(C92:C97)</f>
        <v>0</v>
      </c>
      <c r="D98" s="44">
        <f t="shared" si="14"/>
        <v>109</v>
      </c>
      <c r="E98" s="44">
        <f t="shared" si="14"/>
        <v>0</v>
      </c>
      <c r="F98" s="44">
        <f t="shared" si="14"/>
        <v>4</v>
      </c>
      <c r="G98" s="44">
        <f t="shared" si="14"/>
        <v>0</v>
      </c>
      <c r="H98" s="44">
        <f t="shared" si="14"/>
        <v>113</v>
      </c>
      <c r="K98" s="204" t="s">
        <v>481</v>
      </c>
      <c r="L98" s="205">
        <f>SUM(L92:L97)</f>
        <v>114</v>
      </c>
    </row>
    <row r="100" spans="1:31" s="219" customFormat="1" x14ac:dyDescent="0.3">
      <c r="A100" s="217"/>
      <c r="B100" s="218" t="s">
        <v>537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x14ac:dyDescent="0.3">
      <c r="E101" s="40"/>
      <c r="F101" s="40"/>
    </row>
    <row r="102" spans="1:31" x14ac:dyDescent="0.3">
      <c r="B102" s="233" t="s">
        <v>3</v>
      </c>
      <c r="C102" s="176" t="s">
        <v>39</v>
      </c>
      <c r="D102" s="176"/>
      <c r="E102" s="176"/>
      <c r="F102" s="176"/>
      <c r="G102" s="176"/>
      <c r="H102" s="176"/>
      <c r="K102" s="234" t="s">
        <v>3</v>
      </c>
      <c r="L102" s="235" t="s">
        <v>519</v>
      </c>
    </row>
    <row r="103" spans="1:31" x14ac:dyDescent="0.3">
      <c r="B103" s="233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481</v>
      </c>
      <c r="K103" s="234"/>
      <c r="L103" s="236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109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11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2</v>
      </c>
      <c r="H104" s="44">
        <f>SUM(C104:G104)</f>
        <v>122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126</v>
      </c>
    </row>
    <row r="105" spans="1:31" x14ac:dyDescent="0.3">
      <c r="B105" s="48" t="s">
        <v>538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538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435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1</v>
      </c>
      <c r="H106" s="44">
        <f t="shared" si="15"/>
        <v>1</v>
      </c>
      <c r="K106" s="204" t="s">
        <v>435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</v>
      </c>
    </row>
    <row r="107" spans="1:31" x14ac:dyDescent="0.3">
      <c r="B107" s="48" t="s">
        <v>539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539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540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540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541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541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542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542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481</v>
      </c>
      <c r="C111" s="39">
        <f>SUM(C104:C110)</f>
        <v>0</v>
      </c>
      <c r="D111" s="39">
        <f t="shared" ref="D111:G111" si="16">SUM(D104:D110)</f>
        <v>109</v>
      </c>
      <c r="E111" s="39">
        <f t="shared" si="16"/>
        <v>0</v>
      </c>
      <c r="F111" s="39">
        <f t="shared" si="16"/>
        <v>11</v>
      </c>
      <c r="G111" s="39">
        <f t="shared" si="16"/>
        <v>3</v>
      </c>
      <c r="H111" s="39">
        <f t="shared" si="15"/>
        <v>123</v>
      </c>
      <c r="K111" s="48" t="s">
        <v>481</v>
      </c>
      <c r="L111" s="39">
        <f>SUM(L104:L110)</f>
        <v>127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543</v>
      </c>
      <c r="G1" s="53"/>
      <c r="H1" s="155" t="s">
        <v>37</v>
      </c>
      <c r="I1" s="154" t="s">
        <v>544</v>
      </c>
      <c r="K1" s="71" t="s">
        <v>545</v>
      </c>
      <c r="L1" s="53"/>
      <c r="M1" s="54" t="s">
        <v>37</v>
      </c>
      <c r="N1" s="55" t="s">
        <v>546</v>
      </c>
      <c r="P1" s="158" t="s">
        <v>32</v>
      </c>
      <c r="R1" s="56" t="s">
        <v>547</v>
      </c>
      <c r="T1" s="74" t="s">
        <v>548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549</v>
      </c>
      <c r="AJ1" s="162" t="s">
        <v>35</v>
      </c>
      <c r="AL1" s="161" t="s">
        <v>36</v>
      </c>
      <c r="AN1" s="173" t="s">
        <v>0</v>
      </c>
    </row>
    <row r="2" spans="2:40" ht="15" thickBot="1" x14ac:dyDescent="0.35">
      <c r="B2" s="52" t="s">
        <v>550</v>
      </c>
      <c r="D2" s="148" t="s">
        <v>551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552</v>
      </c>
      <c r="I2" s="150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552</v>
      </c>
      <c r="N2" s="151" t="s">
        <v>522</v>
      </c>
      <c r="P2" s="159" t="s">
        <v>522</v>
      </c>
      <c r="R2" s="59" t="s">
        <v>553</v>
      </c>
      <c r="T2" s="85" t="s">
        <v>83</v>
      </c>
      <c r="V2" s="171" t="s">
        <v>56</v>
      </c>
      <c r="X2" s="169" t="s">
        <v>57</v>
      </c>
      <c r="Z2" s="227" t="s">
        <v>58</v>
      </c>
      <c r="AB2" s="148" t="s">
        <v>59</v>
      </c>
      <c r="AD2" s="159" t="s">
        <v>60</v>
      </c>
      <c r="AF2" s="159" t="s">
        <v>61</v>
      </c>
      <c r="AH2" s="159" t="s">
        <v>66</v>
      </c>
      <c r="AJ2" s="159" t="s">
        <v>65</v>
      </c>
      <c r="AL2" s="159" t="s">
        <v>66</v>
      </c>
      <c r="AN2" s="174" t="s">
        <v>66</v>
      </c>
    </row>
    <row r="3" spans="2:40" ht="15" thickBot="1" x14ac:dyDescent="0.35">
      <c r="D3" s="148" t="s">
        <v>383</v>
      </c>
      <c r="F3" s="68" t="str">
        <v>Casos Prioritário - E-mail</v>
      </c>
      <c r="H3" s="79" t="s">
        <v>552</v>
      </c>
      <c r="I3" s="150" t="s">
        <v>538</v>
      </c>
      <c r="K3" s="60" t="str">
        <v>Samaritano Higi</v>
      </c>
      <c r="M3" s="79" t="s">
        <v>552</v>
      </c>
      <c r="N3" s="151" t="s">
        <v>523</v>
      </c>
      <c r="P3" s="159" t="s">
        <v>523</v>
      </c>
      <c r="R3" s="59" t="s">
        <v>554</v>
      </c>
      <c r="T3" s="84" t="s">
        <v>64</v>
      </c>
      <c r="V3" s="171" t="s">
        <v>491</v>
      </c>
      <c r="X3" s="148" t="s">
        <v>401</v>
      </c>
      <c r="Z3" s="148" t="s">
        <v>193</v>
      </c>
      <c r="AB3" s="167" t="s">
        <v>555</v>
      </c>
      <c r="AD3" s="159" t="s">
        <v>535</v>
      </c>
      <c r="AF3" s="165" t="s">
        <v>78</v>
      </c>
      <c r="AH3" s="159" t="s">
        <v>47</v>
      </c>
      <c r="AJ3" s="163" t="s">
        <v>121</v>
      </c>
      <c r="AL3" s="159" t="s">
        <v>47</v>
      </c>
      <c r="AN3" s="174" t="s">
        <v>47</v>
      </c>
    </row>
    <row r="4" spans="2:40" x14ac:dyDescent="0.3">
      <c r="D4" s="148" t="s">
        <v>48</v>
      </c>
      <c r="F4" s="68" t="str">
        <v>Forms Total Care</v>
      </c>
      <c r="H4" s="79" t="s">
        <v>552</v>
      </c>
      <c r="I4" s="150" t="s">
        <v>435</v>
      </c>
      <c r="K4" s="60" t="str">
        <v>COI -RJ</v>
      </c>
      <c r="M4" s="79" t="s">
        <v>552</v>
      </c>
      <c r="N4" s="151" t="s">
        <v>524</v>
      </c>
      <c r="P4" s="159" t="s">
        <v>526</v>
      </c>
      <c r="R4" s="59" t="s">
        <v>556</v>
      </c>
      <c r="T4" s="84" t="s">
        <v>529</v>
      </c>
      <c r="V4" s="171" t="s">
        <v>493</v>
      </c>
      <c r="X4" s="167" t="s">
        <v>557</v>
      </c>
      <c r="Z4" s="59" t="s">
        <v>119</v>
      </c>
      <c r="AD4" s="159" t="s">
        <v>173</v>
      </c>
      <c r="AF4" s="165" t="s">
        <v>307</v>
      </c>
      <c r="AH4" s="160"/>
      <c r="AJ4" s="160" t="s">
        <v>558</v>
      </c>
      <c r="AL4" s="159" t="s">
        <v>559</v>
      </c>
      <c r="AN4" s="175"/>
    </row>
    <row r="5" spans="2:40" x14ac:dyDescent="0.3">
      <c r="D5" s="73" t="s">
        <v>560</v>
      </c>
      <c r="F5" s="68" t="str">
        <v>GSC</v>
      </c>
      <c r="H5" s="79" t="s">
        <v>552</v>
      </c>
      <c r="I5" s="150" t="s">
        <v>539</v>
      </c>
      <c r="K5" s="60" t="str">
        <v>Interno - Amil Geral</v>
      </c>
      <c r="M5" s="79" t="s">
        <v>552</v>
      </c>
      <c r="N5" s="151" t="s">
        <v>344</v>
      </c>
      <c r="P5" s="160" t="s">
        <v>561</v>
      </c>
      <c r="R5" s="59" t="s">
        <v>562</v>
      </c>
      <c r="T5" s="86" t="s">
        <v>559</v>
      </c>
      <c r="V5" s="171" t="s">
        <v>495</v>
      </c>
      <c r="Z5" s="59"/>
      <c r="AD5" s="159" t="s">
        <v>88</v>
      </c>
      <c r="AF5" s="160"/>
      <c r="AH5" s="83"/>
      <c r="AJ5" s="160" t="s">
        <v>47</v>
      </c>
      <c r="AL5" s="160"/>
    </row>
    <row r="6" spans="2:40" x14ac:dyDescent="0.3">
      <c r="D6" s="73" t="s">
        <v>563</v>
      </c>
      <c r="F6" s="68" t="str">
        <v>Triggers</v>
      </c>
      <c r="H6" s="79" t="s">
        <v>552</v>
      </c>
      <c r="I6" s="150" t="s">
        <v>540</v>
      </c>
      <c r="K6" s="60" t="str">
        <v>Externo - Geral</v>
      </c>
      <c r="M6" s="79" t="s">
        <v>552</v>
      </c>
      <c r="N6" s="151" t="s">
        <v>161</v>
      </c>
      <c r="R6" s="59" t="s">
        <v>564</v>
      </c>
      <c r="V6" s="171" t="s">
        <v>497</v>
      </c>
      <c r="Z6" s="225"/>
      <c r="AD6" s="160" t="s">
        <v>169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552</v>
      </c>
      <c r="I7" s="150" t="s">
        <v>541</v>
      </c>
      <c r="K7" s="60" t="str">
        <v>Não Informou</v>
      </c>
      <c r="M7" s="79" t="s">
        <v>552</v>
      </c>
      <c r="N7" s="151" t="s">
        <v>143</v>
      </c>
      <c r="R7" s="59" t="s">
        <v>565</v>
      </c>
      <c r="V7" s="171" t="s">
        <v>499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552</v>
      </c>
      <c r="I8" s="150" t="s">
        <v>542</v>
      </c>
      <c r="K8" s="60" t="str">
        <v>CMDP - Centro Médico Dom Pedro</v>
      </c>
      <c r="M8" s="79" t="s">
        <v>552</v>
      </c>
      <c r="N8" s="151" t="s">
        <v>566</v>
      </c>
      <c r="R8" s="59" t="s">
        <v>567</v>
      </c>
      <c r="V8" s="171" t="s">
        <v>501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568</v>
      </c>
      <c r="I9" s="152" t="s">
        <v>569</v>
      </c>
      <c r="K9" s="60" t="str">
        <v>Outros</v>
      </c>
      <c r="M9" s="79" t="s">
        <v>552</v>
      </c>
      <c r="N9" s="151" t="s">
        <v>144</v>
      </c>
      <c r="R9" s="59" t="s">
        <v>67</v>
      </c>
      <c r="V9" s="171" t="s">
        <v>502</v>
      </c>
      <c r="Z9" s="1" t="s">
        <v>46</v>
      </c>
      <c r="AA9" s="1" t="s">
        <v>58</v>
      </c>
      <c r="AD9" s="83"/>
      <c r="AF9" s="83"/>
      <c r="AH9" s="83"/>
      <c r="AJ9" s="83"/>
      <c r="AL9" s="83"/>
    </row>
    <row r="10" spans="2:40" ht="15" thickBot="1" x14ac:dyDescent="0.35">
      <c r="D10" s="149"/>
      <c r="F10" s="68" t="str">
        <v>Captado Total Care</v>
      </c>
      <c r="H10" s="38" t="s">
        <v>568</v>
      </c>
      <c r="I10" s="153" t="s">
        <v>570</v>
      </c>
      <c r="K10" s="60" t="str">
        <v>Amil - Hospital Ipiranga Arujá - Ambulatório </v>
      </c>
      <c r="M10" s="79" t="s">
        <v>552</v>
      </c>
      <c r="N10" s="151" t="s">
        <v>571</v>
      </c>
      <c r="R10" s="59" t="s">
        <v>572</v>
      </c>
      <c r="V10" s="171" t="s">
        <v>504</v>
      </c>
      <c r="Z10" s="1" t="s">
        <v>46</v>
      </c>
      <c r="AA10" s="1" t="s">
        <v>193</v>
      </c>
      <c r="AD10" s="83"/>
      <c r="AF10" s="83"/>
      <c r="AJ10" s="83"/>
      <c r="AL10" s="83"/>
    </row>
    <row r="11" spans="2:40" x14ac:dyDescent="0.3">
      <c r="F11" s="68"/>
      <c r="H11" s="38" t="s">
        <v>568</v>
      </c>
      <c r="I11" s="153" t="s">
        <v>573</v>
      </c>
      <c r="K11" s="60" t="str">
        <v>Amil - Hospital Ipiranga Mogi - Ambulatório </v>
      </c>
      <c r="M11" s="79" t="s">
        <v>552</v>
      </c>
      <c r="N11" s="151" t="s">
        <v>574</v>
      </c>
      <c r="R11" s="59" t="s">
        <v>575</v>
      </c>
      <c r="V11" s="171" t="s">
        <v>505</v>
      </c>
      <c r="Z11" s="1" t="s">
        <v>58</v>
      </c>
      <c r="AA11" s="1" t="s">
        <v>58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568</v>
      </c>
      <c r="I12" s="153" t="s">
        <v>576</v>
      </c>
      <c r="K12" s="60" t="str">
        <v>Amil - Hospital Metropolitano - Centro Médico </v>
      </c>
      <c r="M12" s="79" t="s">
        <v>552</v>
      </c>
      <c r="N12" s="151" t="s">
        <v>82</v>
      </c>
      <c r="R12" s="59" t="s">
        <v>577</v>
      </c>
      <c r="V12" s="171" t="s">
        <v>506</v>
      </c>
      <c r="Z12" s="1" t="s">
        <v>193</v>
      </c>
      <c r="AA12" s="1" t="s">
        <v>193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568</v>
      </c>
      <c r="I13" s="153" t="s">
        <v>578</v>
      </c>
      <c r="K13" s="60" t="str">
        <v>Amil - Hospital Paulistano - Ambulatório </v>
      </c>
      <c r="M13" s="79" t="s">
        <v>552</v>
      </c>
      <c r="N13" s="151" t="s">
        <v>579</v>
      </c>
      <c r="R13" s="59" t="s">
        <v>580</v>
      </c>
      <c r="V13" s="171" t="s">
        <v>507</v>
      </c>
      <c r="Z13" s="1" t="s">
        <v>119</v>
      </c>
      <c r="AA13" s="1" t="s">
        <v>119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568</v>
      </c>
      <c r="I14" s="58" t="s">
        <v>581</v>
      </c>
      <c r="K14" s="60" t="str">
        <v>Amil - Ud Cubatão Sp - Hospital Da Luz </v>
      </c>
      <c r="M14" s="79" t="s">
        <v>552</v>
      </c>
      <c r="N14" s="151" t="s">
        <v>327</v>
      </c>
      <c r="R14" s="59" t="s">
        <v>568</v>
      </c>
      <c r="V14" s="171" t="s">
        <v>508</v>
      </c>
      <c r="Z14" s="1" t="s">
        <v>481</v>
      </c>
      <c r="AA14" s="1" t="s">
        <v>58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568</v>
      </c>
      <c r="I15" s="58" t="s">
        <v>582</v>
      </c>
      <c r="K15" s="60" t="str">
        <v>Amil - Unidade Avançada Carlos Chagas </v>
      </c>
      <c r="M15" s="79" t="s">
        <v>552</v>
      </c>
      <c r="N15" s="151" t="s">
        <v>153</v>
      </c>
      <c r="R15" s="59" t="s">
        <v>583</v>
      </c>
      <c r="V15" s="171" t="s">
        <v>118</v>
      </c>
      <c r="Z15" s="1" t="s">
        <v>481</v>
      </c>
      <c r="AA15" s="1" t="s">
        <v>193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568</v>
      </c>
      <c r="I16" s="58" t="s">
        <v>584</v>
      </c>
      <c r="K16" s="60" t="str">
        <v>Amil - Unidade Avançada Luz Butantã </v>
      </c>
      <c r="M16" s="79" t="s">
        <v>552</v>
      </c>
      <c r="N16" s="151" t="s">
        <v>73</v>
      </c>
      <c r="R16" s="59" t="s">
        <v>585</v>
      </c>
      <c r="V16" s="171" t="s">
        <v>509</v>
      </c>
      <c r="Z16" s="1" t="s">
        <v>481</v>
      </c>
      <c r="AA16" s="1" t="s">
        <v>119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568</v>
      </c>
      <c r="I17" s="58" t="s">
        <v>586</v>
      </c>
      <c r="K17" s="60" t="str">
        <v>Amil - Unidade Avançada Luz Joao Dias </v>
      </c>
      <c r="M17" s="79" t="s">
        <v>552</v>
      </c>
      <c r="N17" s="151" t="s">
        <v>63</v>
      </c>
      <c r="R17" s="59" t="s">
        <v>587</v>
      </c>
      <c r="V17" s="171" t="s">
        <v>510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568</v>
      </c>
      <c r="I18" s="58" t="s">
        <v>588</v>
      </c>
      <c r="K18" s="60" t="str">
        <v>Amil - Unidade Avançada Vitoria </v>
      </c>
      <c r="M18" s="79" t="s">
        <v>552</v>
      </c>
      <c r="N18" s="151" t="s">
        <v>62</v>
      </c>
      <c r="R18" s="59" t="s">
        <v>589</v>
      </c>
      <c r="V18" s="171" t="s">
        <v>172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568</v>
      </c>
      <c r="I19" s="58" t="s">
        <v>590</v>
      </c>
      <c r="K19" s="60" t="str">
        <v>Amil Espaço Saúde - Ana Rosa </v>
      </c>
      <c r="M19" s="79" t="s">
        <v>552</v>
      </c>
      <c r="N19" s="151" t="s">
        <v>160</v>
      </c>
      <c r="R19" s="59" t="s">
        <v>591</v>
      </c>
      <c r="V19" s="171" t="s">
        <v>511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568</v>
      </c>
      <c r="I20" s="58" t="s">
        <v>592</v>
      </c>
      <c r="K20" s="60" t="str">
        <v>Amil Espaço Saúde - Botafogo </v>
      </c>
      <c r="M20" s="79" t="s">
        <v>552</v>
      </c>
      <c r="N20" s="151" t="s">
        <v>352</v>
      </c>
      <c r="R20" s="59" t="s">
        <v>593</v>
      </c>
      <c r="V20" s="171" t="s">
        <v>512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594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568</v>
      </c>
      <c r="I21" s="58" t="s">
        <v>595</v>
      </c>
      <c r="K21" s="60" t="str">
        <v>Amil Espaço Saúde - Campo Grande </v>
      </c>
      <c r="M21" s="79" t="s">
        <v>552</v>
      </c>
      <c r="N21" s="151" t="s">
        <v>596</v>
      </c>
      <c r="R21" s="59" t="s">
        <v>597</v>
      </c>
      <c r="V21" s="171" t="s">
        <v>513</v>
      </c>
      <c r="AA21" s="1" t="str">
        <v>Inativo</v>
      </c>
      <c r="AB21" s="1" t="s">
        <v>594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568</v>
      </c>
      <c r="I22" s="58" t="s">
        <v>598</v>
      </c>
      <c r="K22" s="60" t="str">
        <v>Amil Espaço Saúde - Caxias </v>
      </c>
      <c r="M22" s="79" t="s">
        <v>552</v>
      </c>
      <c r="N22" s="151" t="s">
        <v>599</v>
      </c>
      <c r="R22" s="59" t="s">
        <v>600</v>
      </c>
      <c r="V22" s="171" t="s">
        <v>514</v>
      </c>
      <c r="AA22" s="1" t="str">
        <v>Fora da Linha</v>
      </c>
      <c r="AB22" s="1" t="s">
        <v>594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568</v>
      </c>
      <c r="I23" s="58" t="s">
        <v>601</v>
      </c>
      <c r="K23" s="60" t="str">
        <v>Amil Espaço Saúde - Guarulhos </v>
      </c>
      <c r="M23" s="79" t="s">
        <v>552</v>
      </c>
      <c r="N23" s="151" t="s">
        <v>131</v>
      </c>
      <c r="R23" s="59" t="s">
        <v>602</v>
      </c>
      <c r="V23" s="171" t="s">
        <v>515</v>
      </c>
      <c r="AB23" s="1" t="s">
        <v>594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568</v>
      </c>
      <c r="I24" s="58" t="s">
        <v>603</v>
      </c>
      <c r="K24" s="60" t="str">
        <v>Amil Espaço Saúde - Niterói </v>
      </c>
      <c r="M24" s="79" t="s">
        <v>552</v>
      </c>
      <c r="N24" s="151" t="s">
        <v>604</v>
      </c>
      <c r="R24" s="61" t="s">
        <v>605</v>
      </c>
      <c r="V24" s="171" t="s">
        <v>400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568</v>
      </c>
      <c r="I25" s="58" t="s">
        <v>606</v>
      </c>
      <c r="K25" s="60" t="str">
        <v>Amil Espaço Saúde - Nova Iguaçu </v>
      </c>
      <c r="M25" s="79" t="s">
        <v>552</v>
      </c>
      <c r="N25" s="151" t="s">
        <v>607</v>
      </c>
      <c r="V25" s="171" t="s">
        <v>516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568</v>
      </c>
      <c r="I26" s="58" t="s">
        <v>608</v>
      </c>
      <c r="K26" s="60" t="str">
        <v>Amil Espaço Saúde - Osasco </v>
      </c>
      <c r="M26" s="79" t="s">
        <v>552</v>
      </c>
      <c r="N26" s="151" t="s">
        <v>609</v>
      </c>
      <c r="V26" s="172" t="s">
        <v>517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568</v>
      </c>
      <c r="I27" s="58" t="s">
        <v>610</v>
      </c>
      <c r="K27" s="60" t="str">
        <v>Amil Espaço Saúde - Santana </v>
      </c>
      <c r="M27" s="79" t="s">
        <v>552</v>
      </c>
      <c r="N27" s="151" t="s">
        <v>302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568</v>
      </c>
      <c r="I28" s="58" t="s">
        <v>611</v>
      </c>
      <c r="K28" s="60" t="str">
        <v>Amil Espaço Saúde - Tijuca </v>
      </c>
      <c r="M28" s="79" t="s">
        <v>552</v>
      </c>
      <c r="N28" s="151" t="s">
        <v>104</v>
      </c>
      <c r="Z28" s="1" t="s">
        <v>58</v>
      </c>
    </row>
    <row r="29" spans="6:38" x14ac:dyDescent="0.3">
      <c r="F29" s="68"/>
      <c r="H29" s="38" t="s">
        <v>568</v>
      </c>
      <c r="I29" s="58" t="s">
        <v>612</v>
      </c>
      <c r="K29" s="60" t="str">
        <v>Amil Telemedicina </v>
      </c>
      <c r="M29" s="79" t="s">
        <v>552</v>
      </c>
      <c r="N29" s="151" t="s">
        <v>613</v>
      </c>
      <c r="Z29" s="1" t="s">
        <v>193</v>
      </c>
    </row>
    <row r="30" spans="6:38" x14ac:dyDescent="0.3">
      <c r="F30" s="68"/>
      <c r="H30" s="38" t="s">
        <v>568</v>
      </c>
      <c r="I30" s="58" t="s">
        <v>614</v>
      </c>
      <c r="K30" s="60" t="str">
        <v>Centro Médico Jardim </v>
      </c>
      <c r="M30" s="79" t="s">
        <v>552</v>
      </c>
      <c r="N30" s="151" t="s">
        <v>615</v>
      </c>
      <c r="Z30" s="1" t="s">
        <v>119</v>
      </c>
    </row>
    <row r="31" spans="6:38" x14ac:dyDescent="0.3">
      <c r="F31" s="68"/>
      <c r="H31" s="38" t="s">
        <v>568</v>
      </c>
      <c r="I31" s="58" t="s">
        <v>616</v>
      </c>
      <c r="K31" s="60" t="str">
        <v>Centro Médico Joao Azevedo - Sbc  II</v>
      </c>
      <c r="M31" s="79" t="s">
        <v>552</v>
      </c>
      <c r="N31" s="151" t="s">
        <v>617</v>
      </c>
      <c r="Z31" s="1" t="s">
        <v>481</v>
      </c>
    </row>
    <row r="32" spans="6:38" x14ac:dyDescent="0.3">
      <c r="F32" s="68"/>
      <c r="H32" s="38" t="s">
        <v>568</v>
      </c>
      <c r="I32" s="58" t="s">
        <v>618</v>
      </c>
      <c r="K32" s="60" t="str">
        <v>Centro Médico João Azevedo - Sbc I  </v>
      </c>
      <c r="M32" s="79" t="s">
        <v>552</v>
      </c>
      <c r="N32" s="151" t="s">
        <v>619</v>
      </c>
    </row>
    <row r="33" spans="6:14" x14ac:dyDescent="0.3">
      <c r="F33" s="68"/>
      <c r="H33" s="38" t="s">
        <v>568</v>
      </c>
      <c r="I33" s="58" t="s">
        <v>620</v>
      </c>
      <c r="K33" s="60" t="str">
        <v>Centro Médico Luiz Ferreira - Sbc </v>
      </c>
      <c r="M33" s="79" t="s">
        <v>552</v>
      </c>
      <c r="N33" s="151" t="s">
        <v>621</v>
      </c>
    </row>
    <row r="34" spans="6:14" x14ac:dyDescent="0.3">
      <c r="F34" s="68"/>
      <c r="H34" s="38" t="s">
        <v>568</v>
      </c>
      <c r="I34" s="58" t="s">
        <v>622</v>
      </c>
      <c r="K34" s="60" t="str">
        <v>Centro Médico - Samaritano Higienópolis </v>
      </c>
      <c r="M34" s="79" t="s">
        <v>552</v>
      </c>
      <c r="N34" s="151" t="s">
        <v>623</v>
      </c>
    </row>
    <row r="35" spans="6:14" x14ac:dyDescent="0.3">
      <c r="F35" s="68"/>
      <c r="H35" s="38" t="s">
        <v>568</v>
      </c>
      <c r="I35" s="58" t="s">
        <v>624</v>
      </c>
      <c r="K35" s="60" t="str">
        <v>Centro Médico Hospital São Lucas </v>
      </c>
      <c r="M35" s="79" t="s">
        <v>552</v>
      </c>
      <c r="N35" s="151" t="s">
        <v>625</v>
      </c>
    </row>
    <row r="36" spans="6:14" x14ac:dyDescent="0.3">
      <c r="F36" s="68"/>
      <c r="H36" s="38" t="s">
        <v>568</v>
      </c>
      <c r="I36" s="58" t="s">
        <v>626</v>
      </c>
      <c r="K36" s="60" t="str">
        <v>Hospital Alvorada Ambulatório Arapanés </v>
      </c>
      <c r="M36" s="79" t="s">
        <v>552</v>
      </c>
      <c r="N36" s="151" t="s">
        <v>627</v>
      </c>
    </row>
    <row r="37" spans="6:14" x14ac:dyDescent="0.3">
      <c r="F37" s="68"/>
      <c r="H37" s="38" t="s">
        <v>568</v>
      </c>
      <c r="I37" s="58" t="s">
        <v>628</v>
      </c>
      <c r="K37" s="60" t="str">
        <v>Hospital Alvorada Moema </v>
      </c>
      <c r="M37" s="79" t="s">
        <v>552</v>
      </c>
      <c r="N37" s="151" t="s">
        <v>629</v>
      </c>
    </row>
    <row r="38" spans="6:14" x14ac:dyDescent="0.3">
      <c r="F38" s="68"/>
      <c r="H38" s="38" t="s">
        <v>568</v>
      </c>
      <c r="I38" s="58" t="s">
        <v>630</v>
      </c>
      <c r="K38" s="60" t="str">
        <v>Hospital Américas - Ambulatório </v>
      </c>
      <c r="M38" s="79" t="s">
        <v>552</v>
      </c>
      <c r="N38" s="151" t="s">
        <v>631</v>
      </c>
    </row>
    <row r="39" spans="6:14" x14ac:dyDescent="0.3">
      <c r="F39" s="68"/>
      <c r="H39" s="38" t="s">
        <v>568</v>
      </c>
      <c r="I39" s="58" t="s">
        <v>632</v>
      </c>
      <c r="K39" s="60" t="str">
        <v>Hospital Samaritano Paulista - Ambulatório </v>
      </c>
      <c r="M39" s="79" t="s">
        <v>552</v>
      </c>
      <c r="N39" s="151" t="s">
        <v>633</v>
      </c>
    </row>
    <row r="40" spans="6:14" x14ac:dyDescent="0.3">
      <c r="F40" s="68"/>
      <c r="H40" s="38" t="s">
        <v>568</v>
      </c>
      <c r="I40" s="58" t="s">
        <v>634</v>
      </c>
      <c r="K40" s="60" t="str">
        <v>Amil Espaço Saúde - Tatuapé</v>
      </c>
      <c r="M40" s="38" t="s">
        <v>568</v>
      </c>
      <c r="N40" s="58" t="s">
        <v>635</v>
      </c>
    </row>
    <row r="41" spans="6:14" x14ac:dyDescent="0.3">
      <c r="F41" s="68"/>
      <c r="H41" s="38" t="s">
        <v>568</v>
      </c>
      <c r="I41" s="58" t="s">
        <v>636</v>
      </c>
      <c r="K41" s="60" t="str">
        <v>Amil Espaço Saúde - Santo Amaro</v>
      </c>
      <c r="M41" s="38" t="s">
        <v>568</v>
      </c>
      <c r="N41" s="58" t="s">
        <v>637</v>
      </c>
    </row>
    <row r="42" spans="6:14" x14ac:dyDescent="0.3">
      <c r="F42" s="68"/>
      <c r="H42" s="38" t="s">
        <v>568</v>
      </c>
      <c r="I42" s="58" t="s">
        <v>440</v>
      </c>
      <c r="K42" s="60" t="str">
        <v>Amil Espaço Saúde - Guarulhos</v>
      </c>
      <c r="M42" s="38" t="s">
        <v>568</v>
      </c>
      <c r="N42" s="58" t="s">
        <v>638</v>
      </c>
    </row>
    <row r="43" spans="6:14" x14ac:dyDescent="0.3">
      <c r="F43" s="68"/>
      <c r="H43" s="38" t="s">
        <v>568</v>
      </c>
      <c r="I43" s="58" t="s">
        <v>639</v>
      </c>
      <c r="K43" s="60" t="str">
        <v xml:space="preserve">Amil Espaço Saúde - Santa Helena </v>
      </c>
      <c r="M43" s="38" t="s">
        <v>568</v>
      </c>
      <c r="N43" s="58" t="s">
        <v>640</v>
      </c>
    </row>
    <row r="44" spans="6:14" x14ac:dyDescent="0.3">
      <c r="F44" s="68"/>
      <c r="H44" s="38" t="s">
        <v>568</v>
      </c>
      <c r="I44" s="58" t="s">
        <v>641</v>
      </c>
      <c r="K44" s="60" t="str">
        <v>Hospital Samaritano - Não Especificado</v>
      </c>
      <c r="M44" s="38" t="s">
        <v>568</v>
      </c>
      <c r="N44" s="58" t="s">
        <v>642</v>
      </c>
    </row>
    <row r="45" spans="6:14" x14ac:dyDescent="0.3">
      <c r="F45" s="68"/>
      <c r="H45" s="38" t="s">
        <v>568</v>
      </c>
      <c r="I45" s="58" t="s">
        <v>643</v>
      </c>
      <c r="K45" s="60" t="str">
        <v>SUS</v>
      </c>
      <c r="M45" s="38" t="s">
        <v>568</v>
      </c>
      <c r="N45" s="58" t="s">
        <v>644</v>
      </c>
    </row>
    <row r="46" spans="6:14" x14ac:dyDescent="0.3">
      <c r="F46" s="68"/>
      <c r="H46" s="79" t="s">
        <v>552</v>
      </c>
      <c r="I46" s="150" t="s">
        <v>645</v>
      </c>
      <c r="K46" s="60"/>
      <c r="M46" s="38" t="s">
        <v>568</v>
      </c>
      <c r="N46" s="58" t="s">
        <v>646</v>
      </c>
    </row>
    <row r="47" spans="6:14" x14ac:dyDescent="0.3">
      <c r="F47" s="68"/>
      <c r="H47" s="229" t="s">
        <v>568</v>
      </c>
      <c r="I47" s="230" t="s">
        <v>647</v>
      </c>
      <c r="K47" s="60"/>
      <c r="M47" s="38" t="s">
        <v>568</v>
      </c>
      <c r="N47" s="58" t="s">
        <v>648</v>
      </c>
    </row>
    <row r="48" spans="6:14" x14ac:dyDescent="0.3">
      <c r="F48" s="68"/>
      <c r="H48" s="231" t="s">
        <v>552</v>
      </c>
      <c r="I48" s="232" t="s">
        <v>647</v>
      </c>
      <c r="K48" s="60"/>
      <c r="M48" s="38" t="s">
        <v>568</v>
      </c>
      <c r="N48" s="58" t="s">
        <v>649</v>
      </c>
    </row>
    <row r="49" spans="6:14" x14ac:dyDescent="0.3">
      <c r="F49" s="68"/>
      <c r="I49" s="62"/>
      <c r="K49" s="60"/>
      <c r="M49" s="38" t="s">
        <v>568</v>
      </c>
      <c r="N49" s="58" t="s">
        <v>650</v>
      </c>
    </row>
    <row r="50" spans="6:14" x14ac:dyDescent="0.3">
      <c r="F50" s="68"/>
      <c r="I50" s="62"/>
      <c r="K50" s="60"/>
      <c r="M50" s="38" t="s">
        <v>568</v>
      </c>
      <c r="N50" s="58" t="s">
        <v>651</v>
      </c>
    </row>
    <row r="51" spans="6:14" x14ac:dyDescent="0.3">
      <c r="F51" s="68"/>
      <c r="I51" s="62"/>
      <c r="K51" s="60"/>
      <c r="M51" s="38" t="s">
        <v>568</v>
      </c>
      <c r="N51" s="58" t="s">
        <v>652</v>
      </c>
    </row>
    <row r="52" spans="6:14" x14ac:dyDescent="0.3">
      <c r="F52" s="68"/>
      <c r="I52" s="62"/>
      <c r="K52" s="60"/>
      <c r="M52" s="38" t="s">
        <v>568</v>
      </c>
      <c r="N52" s="58" t="s">
        <v>653</v>
      </c>
    </row>
    <row r="53" spans="6:14" x14ac:dyDescent="0.3">
      <c r="F53" s="68"/>
      <c r="I53" s="62"/>
      <c r="K53" s="60"/>
      <c r="M53" s="38" t="s">
        <v>568</v>
      </c>
      <c r="N53" s="58" t="s">
        <v>654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568</v>
      </c>
      <c r="N54" s="58" t="s">
        <v>655</v>
      </c>
    </row>
    <row r="55" spans="6:14" ht="15" thickBot="1" x14ac:dyDescent="0.35">
      <c r="M55" s="156" t="s">
        <v>568</v>
      </c>
      <c r="N55" s="157" t="s">
        <v>566</v>
      </c>
    </row>
    <row r="56" spans="6:14" x14ac:dyDescent="0.3">
      <c r="M56" s="200" t="s">
        <v>552</v>
      </c>
      <c r="N56" s="201" t="s">
        <v>126</v>
      </c>
    </row>
    <row r="57" spans="6:14" x14ac:dyDescent="0.3">
      <c r="M57" s="200" t="s">
        <v>552</v>
      </c>
      <c r="N57" s="201" t="s">
        <v>228</v>
      </c>
    </row>
    <row r="58" spans="6:14" x14ac:dyDescent="0.3">
      <c r="M58" s="200" t="s">
        <v>552</v>
      </c>
      <c r="N58" s="201" t="s">
        <v>656</v>
      </c>
    </row>
    <row r="59" spans="6:14" x14ac:dyDescent="0.3">
      <c r="M59" s="200" t="s">
        <v>552</v>
      </c>
      <c r="N59" s="202" t="s">
        <v>657</v>
      </c>
    </row>
    <row r="60" spans="6:14" x14ac:dyDescent="0.3">
      <c r="M60" s="200" t="s">
        <v>552</v>
      </c>
      <c r="N60" s="203" t="s">
        <v>658</v>
      </c>
    </row>
    <row r="61" spans="6:14" x14ac:dyDescent="0.3">
      <c r="M61" s="200" t="s">
        <v>552</v>
      </c>
      <c r="N61" s="203" t="s">
        <v>659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660</v>
      </c>
      <c r="AF1" s="15" t="s">
        <v>661</v>
      </c>
      <c r="AG1" s="16" t="s">
        <v>35</v>
      </c>
    </row>
    <row r="2" spans="1:33" x14ac:dyDescent="0.3">
      <c r="A2" s="17" t="s">
        <v>66</v>
      </c>
      <c r="B2" s="3"/>
      <c r="C2" s="3" t="s">
        <v>662</v>
      </c>
      <c r="D2" s="18" t="s">
        <v>573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56</v>
      </c>
      <c r="R2" s="20"/>
      <c r="S2" s="20"/>
      <c r="T2" s="20" t="s">
        <v>57</v>
      </c>
      <c r="U2" s="20" t="s">
        <v>58</v>
      </c>
      <c r="V2" s="20"/>
      <c r="W2" s="20"/>
      <c r="X2" s="20"/>
      <c r="Y2" s="20"/>
      <c r="Z2" s="3" t="s">
        <v>59</v>
      </c>
      <c r="AA2" s="20"/>
      <c r="AB2" s="3" t="s">
        <v>535</v>
      </c>
      <c r="AC2" s="3"/>
      <c r="AD2" s="3" t="s">
        <v>61</v>
      </c>
      <c r="AE2" s="3"/>
      <c r="AF2" s="3" t="s">
        <v>663</v>
      </c>
      <c r="AG2" s="17" t="s">
        <v>65</v>
      </c>
    </row>
    <row r="3" spans="1:33" x14ac:dyDescent="0.3">
      <c r="A3" s="17" t="s">
        <v>47</v>
      </c>
      <c r="B3" s="3"/>
      <c r="C3" s="3" t="s">
        <v>440</v>
      </c>
      <c r="D3" s="18" t="s">
        <v>435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491</v>
      </c>
      <c r="R3" s="3"/>
      <c r="S3" s="3"/>
      <c r="T3" s="3" t="s">
        <v>401</v>
      </c>
      <c r="U3" s="3" t="s">
        <v>193</v>
      </c>
      <c r="V3" s="3"/>
      <c r="W3" s="3"/>
      <c r="X3" s="3"/>
      <c r="Y3" s="3"/>
      <c r="Z3" s="3" t="s">
        <v>555</v>
      </c>
      <c r="AA3" s="3"/>
      <c r="AB3" s="3" t="s">
        <v>173</v>
      </c>
      <c r="AC3" s="3"/>
      <c r="AD3" s="3" t="s">
        <v>78</v>
      </c>
      <c r="AE3" s="3"/>
      <c r="AF3" s="3" t="s">
        <v>664</v>
      </c>
      <c r="AG3" s="17" t="s">
        <v>558</v>
      </c>
    </row>
    <row r="4" spans="1:33" x14ac:dyDescent="0.3">
      <c r="A4" s="3"/>
      <c r="B4" s="3"/>
      <c r="C4" s="3" t="s">
        <v>665</v>
      </c>
      <c r="D4" s="18" t="s">
        <v>540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493</v>
      </c>
      <c r="R4" s="3"/>
      <c r="S4" s="3"/>
      <c r="T4" s="3" t="s">
        <v>557</v>
      </c>
      <c r="U4" s="3"/>
      <c r="V4" s="3"/>
      <c r="W4" s="3"/>
      <c r="X4" s="3"/>
      <c r="Y4" s="3"/>
      <c r="Z4" s="3" t="s">
        <v>60</v>
      </c>
      <c r="AA4" s="3"/>
      <c r="AB4" s="21" t="s">
        <v>88</v>
      </c>
      <c r="AC4" s="3"/>
      <c r="AD4" s="3" t="s">
        <v>307</v>
      </c>
      <c r="AE4" s="3"/>
      <c r="AF4" s="3" t="s">
        <v>666</v>
      </c>
      <c r="AG4" s="17" t="s">
        <v>47</v>
      </c>
    </row>
    <row r="5" spans="1:33" x14ac:dyDescent="0.3">
      <c r="M5" s="1"/>
      <c r="O5" s="1"/>
      <c r="Q5" s="22" t="s">
        <v>495</v>
      </c>
      <c r="AB5" s="3" t="s">
        <v>60</v>
      </c>
      <c r="AF5" t="s">
        <v>667</v>
      </c>
    </row>
    <row r="6" spans="1:33" x14ac:dyDescent="0.3">
      <c r="M6" s="1"/>
      <c r="O6" s="1"/>
      <c r="Q6" s="23" t="s">
        <v>497</v>
      </c>
      <c r="AF6" t="s">
        <v>668</v>
      </c>
    </row>
    <row r="7" spans="1:33" x14ac:dyDescent="0.3">
      <c r="M7" s="1"/>
      <c r="O7" s="1"/>
      <c r="Q7" s="23" t="s">
        <v>499</v>
      </c>
      <c r="AF7" t="s">
        <v>669</v>
      </c>
    </row>
    <row r="8" spans="1:33" x14ac:dyDescent="0.3">
      <c r="M8" s="1"/>
      <c r="O8" s="1"/>
      <c r="Q8" s="23" t="s">
        <v>501</v>
      </c>
      <c r="AF8" t="s">
        <v>670</v>
      </c>
    </row>
    <row r="9" spans="1:33" x14ac:dyDescent="0.3">
      <c r="M9" s="1"/>
      <c r="O9" s="1"/>
      <c r="Q9" s="23" t="s">
        <v>502</v>
      </c>
      <c r="AF9" t="s">
        <v>671</v>
      </c>
    </row>
    <row r="10" spans="1:33" x14ac:dyDescent="0.3">
      <c r="M10" s="1"/>
      <c r="O10" s="1"/>
      <c r="Q10" s="23" t="s">
        <v>504</v>
      </c>
      <c r="AF10" t="s">
        <v>672</v>
      </c>
      <c r="AG10" t="s">
        <v>673</v>
      </c>
    </row>
    <row r="11" spans="1:33" x14ac:dyDescent="0.3">
      <c r="M11" s="1"/>
      <c r="O11" s="1"/>
      <c r="Q11" s="23" t="s">
        <v>505</v>
      </c>
      <c r="AF11" t="s">
        <v>674</v>
      </c>
    </row>
    <row r="12" spans="1:33" x14ac:dyDescent="0.3">
      <c r="M12" s="1"/>
      <c r="O12" s="1"/>
      <c r="Q12" s="23" t="s">
        <v>506</v>
      </c>
    </row>
    <row r="13" spans="1:33" x14ac:dyDescent="0.3">
      <c r="M13" s="1"/>
      <c r="O13" s="1"/>
      <c r="Q13" s="23" t="s">
        <v>507</v>
      </c>
    </row>
    <row r="14" spans="1:33" x14ac:dyDescent="0.3">
      <c r="M14" s="1"/>
      <c r="O14" s="1"/>
      <c r="Q14" s="23" t="s">
        <v>508</v>
      </c>
    </row>
    <row r="15" spans="1:33" x14ac:dyDescent="0.3">
      <c r="M15" s="1"/>
      <c r="O15" s="1"/>
      <c r="Q15" s="23" t="s">
        <v>118</v>
      </c>
    </row>
    <row r="16" spans="1:33" x14ac:dyDescent="0.3">
      <c r="M16" s="1"/>
      <c r="O16" s="1"/>
      <c r="Q16" s="23" t="s">
        <v>509</v>
      </c>
    </row>
    <row r="17" spans="13:33" x14ac:dyDescent="0.3">
      <c r="M17" s="1"/>
      <c r="O17" s="1"/>
      <c r="Q17" s="23" t="s">
        <v>510</v>
      </c>
      <c r="AF17" t="s">
        <v>675</v>
      </c>
    </row>
    <row r="18" spans="13:33" ht="43.2" x14ac:dyDescent="0.3">
      <c r="M18" s="1"/>
      <c r="O18" s="1"/>
      <c r="Q18" s="23" t="s">
        <v>172</v>
      </c>
      <c r="AF18" s="24" t="s">
        <v>661</v>
      </c>
      <c r="AG18" s="24" t="s">
        <v>548</v>
      </c>
    </row>
    <row r="19" spans="13:33" x14ac:dyDescent="0.3">
      <c r="M19" s="1"/>
      <c r="O19" s="1"/>
      <c r="Q19" s="23" t="s">
        <v>511</v>
      </c>
      <c r="AF19" t="s">
        <v>676</v>
      </c>
      <c r="AG19" t="s">
        <v>66</v>
      </c>
    </row>
    <row r="20" spans="13:33" x14ac:dyDescent="0.3">
      <c r="M20" s="1"/>
      <c r="O20" s="1"/>
      <c r="Q20" s="23" t="s">
        <v>512</v>
      </c>
      <c r="AF20" t="s">
        <v>677</v>
      </c>
      <c r="AG20" t="s">
        <v>47</v>
      </c>
    </row>
    <row r="21" spans="13:33" x14ac:dyDescent="0.3">
      <c r="M21" s="1"/>
      <c r="O21" s="1"/>
      <c r="Q21" s="23" t="s">
        <v>513</v>
      </c>
      <c r="AG21" t="s">
        <v>678</v>
      </c>
    </row>
    <row r="22" spans="13:33" x14ac:dyDescent="0.3">
      <c r="M22" s="1"/>
      <c r="O22" s="1"/>
      <c r="Q22" s="23" t="s">
        <v>514</v>
      </c>
    </row>
    <row r="23" spans="13:33" x14ac:dyDescent="0.3">
      <c r="M23" s="1"/>
      <c r="O23" s="1"/>
      <c r="Q23" s="23" t="s">
        <v>515</v>
      </c>
    </row>
    <row r="24" spans="13:33" x14ac:dyDescent="0.3">
      <c r="M24" s="1"/>
      <c r="O24" s="1"/>
      <c r="Q24" s="23" t="s">
        <v>400</v>
      </c>
    </row>
    <row r="25" spans="13:33" x14ac:dyDescent="0.3">
      <c r="M25" s="1"/>
      <c r="O25" s="1"/>
      <c r="Q25" s="23" t="s">
        <v>516</v>
      </c>
    </row>
    <row r="26" spans="13:33" x14ac:dyDescent="0.3">
      <c r="M26" s="1"/>
      <c r="O26" s="1"/>
      <c r="Q26" s="23" t="s">
        <v>517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Renata Cavalheiro</cp:lastModifiedBy>
  <cp:revision/>
  <dcterms:created xsi:type="dcterms:W3CDTF">2025-04-02T18:38:02Z</dcterms:created>
  <dcterms:modified xsi:type="dcterms:W3CDTF">2026-06-18T13:32:36Z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