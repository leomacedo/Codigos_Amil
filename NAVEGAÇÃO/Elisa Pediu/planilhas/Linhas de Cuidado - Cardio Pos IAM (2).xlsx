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06" documentId="8_{C2D13912-E1F9-44BA-8A54-047240FABECB}" xr6:coauthVersionLast="47" xr6:coauthVersionMax="47" xr10:uidLastSave="{9812CB86-BBAF-49EA-92B8-228FFF59B474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Consolidado!$A$1:$AU$209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2" i="32" l="1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E75" i="54" l="1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K2" i="49" s="1"/>
  <c r="AM2" i="32"/>
  <c r="AN2" i="32"/>
  <c r="F2" i="49" a="1"/>
  <c r="F2" i="49" s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<sst xmlns="http://schemas.openxmlformats.org/spreadsheetml/2006/main" count="3993" uniqueCount="729">
  <si>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</si>
  <si>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</si>
  <si>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</si>
  <si>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</si>
  <si>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</si>
  <si>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</si>
  <si>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</si>
  <si>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</si>
  <si>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</si>
  <si>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</si>
  <si>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</si>
  <si>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</si>
  <si>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</si>
  <si>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</si>
  <si>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</si>
  <si>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</si>
  <si>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</si>
  <si>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</si>
  <si>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</si>
  <si>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</si>
  <si>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</si>
  <si>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</si>
  <si>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</si>
  <si>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</si>
  <si>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</si>
  <si>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</si>
  <si>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</si>
  <si>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</si>
  <si>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</si>
  <si>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</si>
  <si>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</si>
  <si>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</si>
  <si>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</si>
  <si>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</si>
  <si>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</si>
  <si>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</si>
  <si>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</si>
  <si>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</si>
  <si>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</si>
  <si>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</si>
  <si>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</si>
  <si>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</si>
  <si>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</si>
  <si>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</si>
  <si>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</si>
  <si>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</si>
  <si>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</si>
  <si>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</si>
  <si>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</si>
  <si>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</si>
  <si>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</si>
  <si>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</si>
  <si>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</si>
  <si>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</si>
  <si>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</si>
  <si>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</si>
  <si>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</si>
  <si>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</si>
  <si>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</si>
  <si>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</si>
  <si>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</si>
  <si>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</si>
  <si>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</si>
  <si>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</si>
  <si>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</si>
  <si>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</si>
  <si>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</si>
  <si>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</si>
  <si>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</si>
  <si>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</si>
  <si>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</si>
  <si>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</si>
  <si>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</si>
  <si>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</si>
  <si>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</si>
  <si>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</si>
  <si>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</si>
  <si>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</si>
  <si>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</si>
  <si>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</si>
  <si>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</si>
  <si>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</si>
  <si>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</si>
  <si>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</si>
  <si>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</si>
  <si>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</si>
  <si>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</si>
  <si>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</si>
  <si>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</si>
  <si>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</si>
  <si>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</si>
  <si>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</si>
  <si>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</si>
  <si>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</si>
  <si>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</si>
  <si>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</si>
  <si>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</si>
  <si>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</si>
  <si>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</si>
  <si>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</si>
  <si>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</si>
  <si>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</si>
  <si>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</si>
  <si>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</si>
  <si>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</si>
  <si>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</si>
  <si>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</si>
  <si>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</si>
  <si>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</si>
  <si>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</si>
  <si>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 xml:space="preserve">Não realizada - Falta </t>
  </si>
  <si>
    <t>ALEXSANDRE DE PAULA GUIMARAES</t>
  </si>
  <si>
    <t>(21)997156604</t>
  </si>
  <si>
    <t>EDUARDO ARAUJO DE JESUS</t>
  </si>
  <si>
    <t>NÍVEL 80</t>
  </si>
  <si>
    <t>(11)997620775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</si>
  <si>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</si>
  <si>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</si>
  <si>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</si>
  <si>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</si>
  <si>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</si>
  <si>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</si>
  <si>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</si>
  <si>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</si>
  <si>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</si>
  <si>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</si>
  <si>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</si>
  <si>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</si>
  <si>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</si>
  <si>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</si>
  <si>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</si>
  <si>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</si>
  <si>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</si>
  <si>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</si>
  <si>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</si>
  <si>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</si>
  <si>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</si>
  <si>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</si>
  <si>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</si>
  <si>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</si>
  <si>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</si>
  <si>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</si>
  <si>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</si>
  <si>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</si>
  <si>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</si>
  <si>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</si>
  <si>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</si>
  <si>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</si>
  <si>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</si>
  <si>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</si>
  <si>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</si>
  <si>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</si>
  <si>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</si>
  <si>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</si>
  <si>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</si>
  <si>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</si>
  <si>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</si>
  <si>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</si>
  <si>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</si>
  <si>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</si>
  <si>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</si>
  <si>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</si>
  <si>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</si>
  <si>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</si>
  <si>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</si>
  <si>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</si>
  <si>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</si>
  <si>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</si>
  <si>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</si>
  <si>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</si>
  <si>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</si>
  <si>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</si>
  <si>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</si>
  <si>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</si>
  <si>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</si>
  <si>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</si>
  <si>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</si>
  <si>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</si>
  <si>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</si>
  <si>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</si>
  <si>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</si>
  <si>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</si>
  <si>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</si>
  <si>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</si>
  <si>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</si>
  <si>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</si>
  <si>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</si>
  <si>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</si>
  <si>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</si>
  <si>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</si>
  <si>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</si>
  <si>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</si>
  <si>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</si>
  <si>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</si>
  <si>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</si>
  <si>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</si>
  <si>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</si>
  <si>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</si>
  <si>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</si>
  <si>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</si>
  <si>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</si>
  <si>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</si>
  <si>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</si>
  <si>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</si>
  <si>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</si>
  <si>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</si>
  <si>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</si>
  <si>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</si>
  <si>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</si>
  <si>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</si>
  <si>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</si>
  <si>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</si>
  <si>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</si>
  <si>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</si>
  <si>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</si>
  <si>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</si>
  <si>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</si>
  <si>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</si>
  <si>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</si>
  <si>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</si>
  <si>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</si>
  <si>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</si>
  <si>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</si>
  <si>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</si>
  <si>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</si>
  <si>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</si>
  <si>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</si>
  <si>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</si>
  <si>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</si>
  <si>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</si>
  <si>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</si>
  <si>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</si>
  <si>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</si>
  <si>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</si>
  <si>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</si>
  <si>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</si>
  <si>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</si>
  <si>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</si>
  <si>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</si>
  <si>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</si>
  <si>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</si>
  <si>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</si>
  <si>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</si>
  <si>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</si>
  <si>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</si>
  <si>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</si>
  <si>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</si>
  <si>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</si>
  <si>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</si>
  <si>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</si>
  <si>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</si>
  <si>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</si>
  <si>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</si>
  <si>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</si>
  <si>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</si>
  <si>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</si>
  <si>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</si>
  <si>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</si>
  <si>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</si>
  <si>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</si>
  <si>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</si>
  <si>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</si>
  <si>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</si>
  <si>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</si>
  <si>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</si>
  <si>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</si>
  <si>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</si>
  <si>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</si>
  <si>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</si>
  <si>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</si>
  <si>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</si>
  <si>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</si>
  <si>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</si>
  <si>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</si>
  <si>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</si>
  <si>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</si>
  <si>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</si>
  <si>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</si>
  <si>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</si>
  <si>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</si>
  <si>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</si>
  <si>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</si>
  <si>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</si>
  <si>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</si>
  <si>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</si>
  <si>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</si>
  <si>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</si>
  <si>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</si>
  <si>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</si>
  <si>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</si>
  <si>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</si>
  <si>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</si>
  <si>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</si>
  <si>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</si>
  <si>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</si>
  <si>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</si>
  <si>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</si>
  <si>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</si>
  <si>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</si>
  <si>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</si>
  <si>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</si>
  <si>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</si>
  <si>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</si>
  <si>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</si>
  <si>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</si>
  <si>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</si>
  <si>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</si>
  <si>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</si>
  <si>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</si>
  <si>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</si>
  <si>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</si>
  <si>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</si>
  <si>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</si>
  <si>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</si>
  <si>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</si>
  <si>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</si>
  <si>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</si>
  <si>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</si>
  <si>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</si>
  <si>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</si>
  <si>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</si>
  <si>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</si>
  <si>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</si>
  <si>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</si>
  <si>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</si>
  <si>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</si>
  <si>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</si>
  <si>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</si>
  <si>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</si>
  <si>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</si>
  <si>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</si>
  <si>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</si>
  <si>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</si>
  <si>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</si>
  <si>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</si>
  <si>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</si>
  <si>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</si>
  <si>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</si>
  <si>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</si>
  <si>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</si>
  <si>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</si>
  <si>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</si>
  <si>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</si>
  <si>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</si>
  <si>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</si>
  <si>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</si>
  <si>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</si>
  <si>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</si>
  <si>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</si>
  <si>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</si>
  <si>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</si>
  <si>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</si>
  <si>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</si>
  <si>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</si>
  <si>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</si>
  <si>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</si>
  <si>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</si>
  <si>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</si>
  <si>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</si>
  <si>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</si>
  <si>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</si>
  <si>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</si>
  <si>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</si>
  <si>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</si>
  <si>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</si>
  <si>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</si>
  <si>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</si>
  <si>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</si>
  <si>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</si>
  <si>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</si>
  <si>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</si>
  <si>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</si>
  <si>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</si>
  <si>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</si>
  <si>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</si>
  <si>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</si>
  <si>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</si>
  <si>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</si>
  <si>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</si>
  <si>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</si>
  <si>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</si>
  <si>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</si>
  <si>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</si>
  <si>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</si>
  <si>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</si>
  <si>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</si>
  <si>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</si>
  <si>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</si>
  <si>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</si>
  <si>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</si>
  <si>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</si>
  <si>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</si>
  <si>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</si>
  <si>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</si>
  <si>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</si>
  <si>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</si>
  <si>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</si>
  <si>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</si>
  <si>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</si>
  <si>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</si>
  <si>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</si>
  <si>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</si>
  <si>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</si>
  <si>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</si>
  <si>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</si>
  <si>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</si>
  <si>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</si>
  <si>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</si>
  <si>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</si>
  <si>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</si>
  <si>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</si>
  <si>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</si>
  <si>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</si>
  <si>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</si>
  <si>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</si>
  <si>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</si>
  <si>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</si>
  <si>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</si>
  <si>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</si>
  <si>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</si>
  <si>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</si>
  <si>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</si>
  <si>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</si>
  <si>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</si>
  <si>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</si>
  <si>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</si>
  <si>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</si>
  <si>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</si>
  <si>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</si>
  <si>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</si>
  <si>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</si>
  <si>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</si>
  <si>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</si>
  <si>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</si>
  <si>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</si>
  <si>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</si>
  <si>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</si>
  <si>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</si>
  <si>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</si>
  <si>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</si>
  <si>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</si>
  <si>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</si>
  <si>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</si>
  <si>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</si>
  <si>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</si>
  <si>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</si>
  <si>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</si>
  <si>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</si>
  <si>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</si>
  <si>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</si>
  <si>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</si>
  <si>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</si>
  <si>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</si>
  <si>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</si>
  <si>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</si>
  <si>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</si>
  <si>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</si>
  <si>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</si>
  <si>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</si>
  <si>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</si>
  <si>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</si>
  <si>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</si>
  <si>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</si>
  <si>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</si>
  <si>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</si>
  <si>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</si>
  <si>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</si>
  <si>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</si>
  <si>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</si>
  <si>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</si>
  <si>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</si>
  <si>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</si>
  <si>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</si>
  <si>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</si>
  <si>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</si>
  <si>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</si>
  <si>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</si>
  <si>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</si>
  <si>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</si>
  <si>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</si>
  <si>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</si>
  <si>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</si>
  <si>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</si>
  <si>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</si>
  <si>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</si>
  <si>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</si>
  <si>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</si>
  <si>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</si>
  <si>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</si>
  <si>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</si>
  <si>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</si>
  <si>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</si>
  <si>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</si>
  <si>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</si>
  <si>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</si>
  <si>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</si>
  <si>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</si>
  <si>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</si>
  <si>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</si>
  <si>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</si>
  <si>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</si>
  <si>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</si>
  <si>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</si>
  <si>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</si>
  <si>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</si>
  <si>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</si>
  <si>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</si>
  <si>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</si>
  <si>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</si>
  <si>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</si>
  <si>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</si>
  <si>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</si>
  <si>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</si>
  <si>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</si>
  <si>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</si>
  <si>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</si>
  <si>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</si>
  <si>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ANTONIO DE PADUA SANTOS</t>
  </si>
  <si>
    <t>949.212.967-15</t>
  </si>
  <si>
    <t xml:space="preserve">BONSUCESSO </t>
  </si>
  <si>
    <t>ANDRE BARBOSA LIBORIO</t>
  </si>
  <si>
    <t>TURIAÇU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</si>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</sst>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>
    <nsvFilter filterId="{9931A248-8A11-4D8E-BACD-A0C0D59E4D18}" ref="A1:AU209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7"/>
  <sheetViews>
    <sheetView showGridLines="0" tabSelected="1" zoomScale="70" zoomScaleNormal="70" workbookViewId="0">
      <pane xSplit="6" ySplit="1" topLeftCell="O3" activePane="bottomRight" state="frozen"/>
      <selection pane="bottomRight" activeCell="Q51" sqref="Q51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26.28515625" style="222" customWidth="1"/>
    <col min="7" max="7" width="11.7109375" style="30" bestFit="1" customWidth="1"/>
    <col min="8" max="8" width="12.71093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2.140625" style="29" customWidth="1"/>
    <col min="14" max="14" width="14.7109375" style="31" bestFit="1" customWidth="1"/>
    <col min="15" max="15" width="13.85546875" style="29" customWidth="1"/>
    <col min="16" max="16" width="13.140625" style="32" bestFit="1" customWidth="1"/>
    <col min="17" max="17" width="20.7109375" style="31" customWidth="1"/>
    <col min="18" max="18" width="12.85546875" style="27" customWidth="1"/>
    <col min="19" max="19" width="12.28515625" style="27" customWidth="1"/>
    <col min="20" max="20" width="14.28515625" style="27" customWidth="1"/>
    <col min="21" max="21" width="12.140625" style="27" customWidth="1"/>
    <col min="22" max="24" width="20.5703125" style="27" customWidth="1"/>
    <col min="25" max="25" width="25.5703125" style="33" customWidth="1"/>
    <col min="26" max="26" width="10.710937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19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220" t="s">
        <v>50</v>
      </c>
      <c r="G2" s="92">
        <v>67336230806</v>
      </c>
      <c r="H2" s="93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4" t="s">
        <v>54</v>
      </c>
      <c r="P2" s="95" t="s">
        <v>55</v>
      </c>
      <c r="Q2" s="144" t="s">
        <v>56</v>
      </c>
      <c r="R2" s="96">
        <v>46141</v>
      </c>
      <c r="S2" s="97">
        <v>46153</v>
      </c>
      <c r="T2" s="97" t="s">
        <v>57</v>
      </c>
      <c r="U2" s="97" t="s">
        <v>58</v>
      </c>
      <c r="V2" s="93">
        <v>46111</v>
      </c>
      <c r="W2" s="93">
        <v>46126</v>
      </c>
      <c r="X2" s="93">
        <v>46141</v>
      </c>
      <c r="Y2" s="98" t="s">
        <v>59</v>
      </c>
      <c r="Z2" s="89" t="s">
        <v>60</v>
      </c>
      <c r="AA2" s="97">
        <v>46148</v>
      </c>
      <c r="AB2" s="89" t="s">
        <v>61</v>
      </c>
      <c r="AC2" s="120">
        <v>46153</v>
      </c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47</v>
      </c>
      <c r="AL2" s="45" t="s">
        <v>64</v>
      </c>
      <c r="AM2" s="198" t="str">
        <f t="shared" ref="AM2:AM65" si="0">MONTH(B2)&amp;"/"&amp;YEAR(B2)</f>
        <v>12/2025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4/2026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0</v>
      </c>
      <c r="AR2" s="45">
        <f t="shared" ref="AR2:AR65" si="5">IF(AU2="S",IF(AND(S2&lt;&gt;"",R2&lt;&gt;""),S2-R2,0),0)</f>
        <v>12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220" t="s">
        <v>67</v>
      </c>
      <c r="G3" s="92">
        <v>28068906835</v>
      </c>
      <c r="H3" s="93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4" t="s">
        <v>69</v>
      </c>
      <c r="P3" s="95" t="s">
        <v>55</v>
      </c>
      <c r="Q3" s="144" t="s">
        <v>70</v>
      </c>
      <c r="R3" s="96">
        <v>46098</v>
      </c>
      <c r="S3" s="97"/>
      <c r="T3" s="97" t="s">
        <v>57</v>
      </c>
      <c r="U3" s="97" t="s">
        <v>71</v>
      </c>
      <c r="V3" s="93">
        <v>46098</v>
      </c>
      <c r="W3" s="93" t="s">
        <v>72</v>
      </c>
      <c r="X3" s="93" t="s">
        <v>72</v>
      </c>
      <c r="Y3" s="98"/>
      <c r="Z3" s="89" t="s">
        <v>60</v>
      </c>
      <c r="AA3" s="97">
        <v>46105</v>
      </c>
      <c r="AB3" s="89" t="s">
        <v>61</v>
      </c>
      <c r="AC3" s="120"/>
      <c r="AD3" s="89" t="s">
        <v>73</v>
      </c>
      <c r="AE3" s="89">
        <v>60</v>
      </c>
      <c r="AF3" s="99" t="s">
        <v>74</v>
      </c>
      <c r="AG3" s="99"/>
      <c r="AH3" s="99" t="s">
        <v>75</v>
      </c>
      <c r="AI3" s="100" t="s">
        <v>62</v>
      </c>
      <c r="AJ3" s="100" t="s">
        <v>47</v>
      </c>
      <c r="AK3" s="100" t="s">
        <v>62</v>
      </c>
      <c r="AL3" s="45" t="s">
        <v>64</v>
      </c>
      <c r="AM3" s="198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220" t="s">
        <v>76</v>
      </c>
      <c r="G4" s="92">
        <v>73774650772</v>
      </c>
      <c r="H4" s="93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4" t="s">
        <v>80</v>
      </c>
      <c r="P4" s="95" t="s">
        <v>55</v>
      </c>
      <c r="Q4" s="144" t="s">
        <v>70</v>
      </c>
      <c r="R4" s="96">
        <v>46073</v>
      </c>
      <c r="S4" s="97"/>
      <c r="T4" s="97" t="s">
        <v>57</v>
      </c>
      <c r="U4" s="97" t="s">
        <v>71</v>
      </c>
      <c r="V4" s="93">
        <v>46073</v>
      </c>
      <c r="W4" s="93" t="s">
        <v>72</v>
      </c>
      <c r="X4" s="93" t="s">
        <v>72</v>
      </c>
      <c r="Y4" s="98"/>
      <c r="Z4" s="89" t="s">
        <v>60</v>
      </c>
      <c r="AA4" s="97">
        <v>46105.625</v>
      </c>
      <c r="AB4" s="89" t="s">
        <v>61</v>
      </c>
      <c r="AC4" s="120"/>
      <c r="AD4" s="89" t="s">
        <v>73</v>
      </c>
      <c r="AE4" s="89">
        <v>59</v>
      </c>
      <c r="AF4" s="99" t="s">
        <v>81</v>
      </c>
      <c r="AG4" s="99"/>
      <c r="AH4" s="99" t="s">
        <v>75</v>
      </c>
      <c r="AI4" s="100" t="s">
        <v>62</v>
      </c>
      <c r="AJ4" s="100" t="s">
        <v>47</v>
      </c>
      <c r="AK4" s="100" t="s">
        <v>62</v>
      </c>
      <c r="AL4" s="45" t="s">
        <v>64</v>
      </c>
      <c r="AM4" s="198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220" t="s">
        <v>82</v>
      </c>
      <c r="G5" s="92">
        <v>28123875720</v>
      </c>
      <c r="H5" s="93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4" t="s">
        <v>84</v>
      </c>
      <c r="P5" s="95" t="s">
        <v>55</v>
      </c>
      <c r="Q5" s="144" t="s">
        <v>70</v>
      </c>
      <c r="R5" s="96">
        <v>46073</v>
      </c>
      <c r="S5" s="97"/>
      <c r="T5" s="97" t="s">
        <v>57</v>
      </c>
      <c r="U5" s="97" t="s">
        <v>71</v>
      </c>
      <c r="V5" s="93">
        <v>46073</v>
      </c>
      <c r="W5" s="93" t="s">
        <v>72</v>
      </c>
      <c r="X5" s="93" t="s">
        <v>72</v>
      </c>
      <c r="Y5" s="98"/>
      <c r="Z5" s="89" t="s">
        <v>60</v>
      </c>
      <c r="AA5" s="97">
        <v>46108.583333333336</v>
      </c>
      <c r="AB5" s="89" t="s">
        <v>61</v>
      </c>
      <c r="AC5" s="120"/>
      <c r="AD5" s="89" t="s">
        <v>85</v>
      </c>
      <c r="AE5" s="89">
        <v>62</v>
      </c>
      <c r="AF5" s="99" t="s">
        <v>81</v>
      </c>
      <c r="AG5" s="99"/>
      <c r="AH5" s="99" t="s">
        <v>75</v>
      </c>
      <c r="AI5" s="100" t="s">
        <v>62</v>
      </c>
      <c r="AJ5" s="100" t="s">
        <v>47</v>
      </c>
      <c r="AK5" s="100" t="s">
        <v>62</v>
      </c>
      <c r="AL5" s="45" t="s">
        <v>64</v>
      </c>
      <c r="AM5" s="198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220" t="s">
        <v>86</v>
      </c>
      <c r="G6" s="92">
        <v>8368306795</v>
      </c>
      <c r="H6" s="93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4" t="s">
        <v>87</v>
      </c>
      <c r="P6" s="95" t="s">
        <v>55</v>
      </c>
      <c r="Q6" s="144" t="s">
        <v>70</v>
      </c>
      <c r="R6" s="96">
        <v>46073</v>
      </c>
      <c r="S6" s="97"/>
      <c r="T6" s="97" t="s">
        <v>57</v>
      </c>
      <c r="U6" s="97" t="s">
        <v>71</v>
      </c>
      <c r="V6" s="93">
        <v>46073</v>
      </c>
      <c r="W6" s="93" t="s">
        <v>72</v>
      </c>
      <c r="X6" s="93" t="s">
        <v>72</v>
      </c>
      <c r="Y6" s="98"/>
      <c r="Z6" s="89" t="s">
        <v>60</v>
      </c>
      <c r="AA6" s="97">
        <v>46111.666666319441</v>
      </c>
      <c r="AB6" s="89" t="s">
        <v>61</v>
      </c>
      <c r="AC6" s="120"/>
      <c r="AD6" s="89" t="s">
        <v>85</v>
      </c>
      <c r="AE6" s="89">
        <v>32</v>
      </c>
      <c r="AF6" s="99"/>
      <c r="AG6" s="99"/>
      <c r="AH6" s="99" t="s">
        <v>75</v>
      </c>
      <c r="AI6" s="100" t="s">
        <v>62</v>
      </c>
      <c r="AJ6" s="100" t="s">
        <v>47</v>
      </c>
      <c r="AK6" s="100" t="s">
        <v>62</v>
      </c>
      <c r="AL6" s="45" t="s">
        <v>64</v>
      </c>
      <c r="AM6" s="198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220" t="s">
        <v>88</v>
      </c>
      <c r="G7" s="92">
        <v>27093829899</v>
      </c>
      <c r="H7" s="93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4" t="s">
        <v>89</v>
      </c>
      <c r="P7" s="95" t="s">
        <v>55</v>
      </c>
      <c r="Q7" s="144" t="s">
        <v>70</v>
      </c>
      <c r="R7" s="96">
        <v>46073</v>
      </c>
      <c r="S7" s="97"/>
      <c r="T7" s="97" t="s">
        <v>57</v>
      </c>
      <c r="U7" s="97" t="s">
        <v>71</v>
      </c>
      <c r="V7" s="93">
        <v>46073</v>
      </c>
      <c r="W7" s="93" t="s">
        <v>72</v>
      </c>
      <c r="X7" s="93" t="s">
        <v>72</v>
      </c>
      <c r="Y7" s="98"/>
      <c r="Z7" s="89" t="s">
        <v>60</v>
      </c>
      <c r="AA7" s="97">
        <v>46107.638888888891</v>
      </c>
      <c r="AB7" s="89" t="s">
        <v>61</v>
      </c>
      <c r="AC7" s="120"/>
      <c r="AD7" s="89" t="s">
        <v>85</v>
      </c>
      <c r="AE7" s="89">
        <v>62</v>
      </c>
      <c r="AF7" s="99" t="s">
        <v>90</v>
      </c>
      <c r="AG7" s="99"/>
      <c r="AH7" s="99" t="s">
        <v>75</v>
      </c>
      <c r="AI7" s="100" t="s">
        <v>62</v>
      </c>
      <c r="AJ7" s="100" t="s">
        <v>47</v>
      </c>
      <c r="AK7" s="100" t="s">
        <v>62</v>
      </c>
      <c r="AL7" s="45" t="s">
        <v>64</v>
      </c>
      <c r="AM7" s="198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220" t="s">
        <v>91</v>
      </c>
      <c r="G8" s="92">
        <v>26422903871</v>
      </c>
      <c r="H8" s="93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4" t="s">
        <v>93</v>
      </c>
      <c r="P8" s="95" t="s">
        <v>55</v>
      </c>
      <c r="Q8" s="144" t="s">
        <v>70</v>
      </c>
      <c r="R8" s="96">
        <v>46073</v>
      </c>
      <c r="S8" s="97"/>
      <c r="T8" s="97" t="s">
        <v>57</v>
      </c>
      <c r="U8" s="97" t="s">
        <v>71</v>
      </c>
      <c r="V8" s="93">
        <v>46073</v>
      </c>
      <c r="W8" s="93">
        <v>46154</v>
      </c>
      <c r="X8" s="93" t="s">
        <v>72</v>
      </c>
      <c r="Y8" s="98"/>
      <c r="Z8" s="89" t="s">
        <v>60</v>
      </c>
      <c r="AA8" s="97">
        <v>46107.652777777781</v>
      </c>
      <c r="AB8" s="89" t="s">
        <v>61</v>
      </c>
      <c r="AC8" s="120">
        <v>46153</v>
      </c>
      <c r="AD8" s="89" t="s">
        <v>73</v>
      </c>
      <c r="AE8" s="89">
        <v>39</v>
      </c>
      <c r="AF8" s="99"/>
      <c r="AG8" s="99"/>
      <c r="AH8" s="99"/>
      <c r="AI8" s="100" t="s">
        <v>62</v>
      </c>
      <c r="AJ8" s="100" t="s">
        <v>47</v>
      </c>
      <c r="AK8" s="100" t="s">
        <v>62</v>
      </c>
      <c r="AL8" s="45" t="s">
        <v>64</v>
      </c>
      <c r="AM8" s="198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220" t="s">
        <v>94</v>
      </c>
      <c r="G9" s="92">
        <v>58670432820</v>
      </c>
      <c r="H9" s="93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4" t="s">
        <v>96</v>
      </c>
      <c r="P9" s="95" t="s">
        <v>55</v>
      </c>
      <c r="Q9" s="144" t="s">
        <v>70</v>
      </c>
      <c r="R9" s="96">
        <v>46142</v>
      </c>
      <c r="S9" s="97"/>
      <c r="T9" s="97" t="s">
        <v>57</v>
      </c>
      <c r="U9" s="97" t="s">
        <v>71</v>
      </c>
      <c r="V9" s="93">
        <v>46098</v>
      </c>
      <c r="W9" s="93">
        <v>46126</v>
      </c>
      <c r="X9" s="93">
        <v>46141</v>
      </c>
      <c r="Y9" s="98"/>
      <c r="Z9" s="89" t="s">
        <v>60</v>
      </c>
      <c r="AA9" s="97">
        <v>46147</v>
      </c>
      <c r="AB9" s="89" t="s">
        <v>61</v>
      </c>
      <c r="AC9" s="120"/>
      <c r="AD9" s="89" t="s">
        <v>85</v>
      </c>
      <c r="AE9" s="89"/>
      <c r="AF9" s="99" t="s">
        <v>97</v>
      </c>
      <c r="AG9" s="99"/>
      <c r="AH9" s="99" t="s">
        <v>75</v>
      </c>
      <c r="AI9" s="100" t="s">
        <v>62</v>
      </c>
      <c r="AJ9" s="100" t="s">
        <v>47</v>
      </c>
      <c r="AK9" s="100" t="s">
        <v>62</v>
      </c>
      <c r="AL9" s="45" t="s">
        <v>64</v>
      </c>
      <c r="AM9" s="198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220" t="s">
        <v>98</v>
      </c>
      <c r="G10" s="92">
        <v>78438608787</v>
      </c>
      <c r="H10" s="93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4" t="s">
        <v>99</v>
      </c>
      <c r="P10" s="95" t="s">
        <v>55</v>
      </c>
      <c r="Q10" s="144" t="s">
        <v>70</v>
      </c>
      <c r="R10" s="96">
        <v>46142</v>
      </c>
      <c r="S10" s="97"/>
      <c r="T10" s="97" t="s">
        <v>57</v>
      </c>
      <c r="U10" s="97" t="s">
        <v>71</v>
      </c>
      <c r="V10" s="93">
        <v>46073</v>
      </c>
      <c r="W10" s="93">
        <v>46126</v>
      </c>
      <c r="X10" s="93">
        <v>46141</v>
      </c>
      <c r="Y10" s="98"/>
      <c r="Z10" s="89" t="s">
        <v>60</v>
      </c>
      <c r="AA10" s="97">
        <v>46147</v>
      </c>
      <c r="AB10" s="89" t="s">
        <v>61</v>
      </c>
      <c r="AC10" s="120">
        <v>46148</v>
      </c>
      <c r="AD10" s="89" t="s">
        <v>73</v>
      </c>
      <c r="AE10" s="89">
        <v>56</v>
      </c>
      <c r="AF10" s="99" t="s">
        <v>100</v>
      </c>
      <c r="AG10" s="99"/>
      <c r="AH10" s="99" t="s">
        <v>75</v>
      </c>
      <c r="AI10" s="100" t="s">
        <v>62</v>
      </c>
      <c r="AJ10" s="100" t="s">
        <v>47</v>
      </c>
      <c r="AK10" s="100" t="s">
        <v>62</v>
      </c>
      <c r="AL10" s="45" t="s">
        <v>64</v>
      </c>
      <c r="AM10" s="198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220" t="s">
        <v>101</v>
      </c>
      <c r="G11" s="92">
        <v>3207177638</v>
      </c>
      <c r="H11" s="93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4" t="s">
        <v>102</v>
      </c>
      <c r="P11" s="95" t="s">
        <v>55</v>
      </c>
      <c r="Q11" s="144" t="s">
        <v>70</v>
      </c>
      <c r="R11" s="96">
        <v>46128</v>
      </c>
      <c r="S11" s="97"/>
      <c r="T11" s="97" t="s">
        <v>57</v>
      </c>
      <c r="U11" s="97" t="s">
        <v>71</v>
      </c>
      <c r="V11" s="93">
        <v>46073</v>
      </c>
      <c r="W11" s="93">
        <v>46126</v>
      </c>
      <c r="X11" s="93">
        <v>46128</v>
      </c>
      <c r="Y11" s="98"/>
      <c r="Z11" s="89" t="s">
        <v>60</v>
      </c>
      <c r="AA11" s="97">
        <v>46139</v>
      </c>
      <c r="AB11" s="89" t="s">
        <v>61</v>
      </c>
      <c r="AC11" s="120">
        <v>46141</v>
      </c>
      <c r="AD11" s="89" t="s">
        <v>73</v>
      </c>
      <c r="AE11" s="89">
        <v>63</v>
      </c>
      <c r="AF11" s="99"/>
      <c r="AG11" s="99"/>
      <c r="AH11" s="99"/>
      <c r="AI11" s="100" t="s">
        <v>62</v>
      </c>
      <c r="AJ11" s="100" t="s">
        <v>47</v>
      </c>
      <c r="AK11" s="100" t="s">
        <v>62</v>
      </c>
      <c r="AL11" s="45" t="s">
        <v>64</v>
      </c>
      <c r="AM11" s="198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220" t="s">
        <v>103</v>
      </c>
      <c r="G12" s="92">
        <v>91372623604</v>
      </c>
      <c r="H12" s="93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4" t="s">
        <v>105</v>
      </c>
      <c r="P12" s="95" t="s">
        <v>55</v>
      </c>
      <c r="Q12" s="144" t="s">
        <v>70</v>
      </c>
      <c r="R12" s="96">
        <v>46128</v>
      </c>
      <c r="S12" s="97"/>
      <c r="T12" s="97" t="s">
        <v>57</v>
      </c>
      <c r="U12" s="97" t="s">
        <v>71</v>
      </c>
      <c r="V12" s="93">
        <v>46111</v>
      </c>
      <c r="W12" s="93">
        <v>46126</v>
      </c>
      <c r="X12" s="93">
        <v>46128</v>
      </c>
      <c r="Y12" s="98"/>
      <c r="Z12" s="89" t="s">
        <v>60</v>
      </c>
      <c r="AA12" s="97">
        <v>46132</v>
      </c>
      <c r="AB12" s="89" t="s">
        <v>61</v>
      </c>
      <c r="AC12" s="120"/>
      <c r="AD12" s="89" t="s">
        <v>73</v>
      </c>
      <c r="AE12" s="89">
        <v>58</v>
      </c>
      <c r="AF12" s="99" t="s">
        <v>97</v>
      </c>
      <c r="AG12" s="99"/>
      <c r="AH12" s="99" t="s">
        <v>75</v>
      </c>
      <c r="AI12" s="100" t="s">
        <v>62</v>
      </c>
      <c r="AJ12" s="100" t="s">
        <v>47</v>
      </c>
      <c r="AK12" s="100" t="s">
        <v>62</v>
      </c>
      <c r="AL12" s="45" t="s">
        <v>64</v>
      </c>
      <c r="AM12" s="198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hidden="1" customHeight="1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220" t="s">
        <v>106</v>
      </c>
      <c r="G13" s="92">
        <v>21896135749</v>
      </c>
      <c r="H13" s="93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4" t="s">
        <v>108</v>
      </c>
      <c r="P13" s="95" t="s">
        <v>109</v>
      </c>
      <c r="Q13" s="144" t="s">
        <v>70</v>
      </c>
      <c r="R13" s="96">
        <v>46097</v>
      </c>
      <c r="S13" s="97"/>
      <c r="T13" s="97" t="s">
        <v>57</v>
      </c>
      <c r="U13" s="97" t="s">
        <v>71</v>
      </c>
      <c r="V13" s="93">
        <v>46097</v>
      </c>
      <c r="W13" s="93" t="s">
        <v>72</v>
      </c>
      <c r="X13" s="93" t="s">
        <v>72</v>
      </c>
      <c r="Y13" s="98"/>
      <c r="Z13" s="89" t="s">
        <v>60</v>
      </c>
      <c r="AA13" s="97">
        <v>46106</v>
      </c>
      <c r="AB13" s="89" t="s">
        <v>110</v>
      </c>
      <c r="AC13" s="120"/>
      <c r="AD13" s="89"/>
      <c r="AE13" s="89"/>
      <c r="AF13" s="99"/>
      <c r="AG13" s="99"/>
      <c r="AH13" s="99"/>
      <c r="AI13" s="100" t="s">
        <v>62</v>
      </c>
      <c r="AJ13" s="100" t="s">
        <v>47</v>
      </c>
      <c r="AK13" s="100" t="s">
        <v>62</v>
      </c>
      <c r="AL13" s="45" t="s">
        <v>64</v>
      </c>
      <c r="AM13" s="198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220" t="s">
        <v>111</v>
      </c>
      <c r="G14" s="92">
        <v>2540799701</v>
      </c>
      <c r="H14" s="93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4" t="s">
        <v>112</v>
      </c>
      <c r="P14" s="95" t="s">
        <v>109</v>
      </c>
      <c r="Q14" s="144" t="s">
        <v>70</v>
      </c>
      <c r="R14" s="96">
        <v>46097</v>
      </c>
      <c r="S14" s="97"/>
      <c r="T14" s="97" t="s">
        <v>57</v>
      </c>
      <c r="U14" s="97" t="s">
        <v>71</v>
      </c>
      <c r="V14" s="93">
        <v>46097</v>
      </c>
      <c r="W14" s="93" t="s">
        <v>72</v>
      </c>
      <c r="X14" s="93" t="s">
        <v>72</v>
      </c>
      <c r="Y14" s="98"/>
      <c r="Z14" s="89" t="s">
        <v>60</v>
      </c>
      <c r="AA14" s="97">
        <v>46106</v>
      </c>
      <c r="AB14" s="89" t="s">
        <v>110</v>
      </c>
      <c r="AC14" s="120"/>
      <c r="AD14" s="89"/>
      <c r="AE14" s="89"/>
      <c r="AF14" s="99"/>
      <c r="AG14" s="99"/>
      <c r="AH14" s="99"/>
      <c r="AI14" s="100" t="s">
        <v>62</v>
      </c>
      <c r="AJ14" s="100" t="s">
        <v>47</v>
      </c>
      <c r="AK14" s="100" t="s">
        <v>62</v>
      </c>
      <c r="AL14" s="45" t="s">
        <v>64</v>
      </c>
      <c r="AM14" s="198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220" t="s">
        <v>113</v>
      </c>
      <c r="G15" s="92">
        <v>14624748883</v>
      </c>
      <c r="H15" s="93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114</v>
      </c>
      <c r="O15" s="94" t="s">
        <v>115</v>
      </c>
      <c r="P15" s="95" t="s">
        <v>55</v>
      </c>
      <c r="Q15" s="144" t="s">
        <v>70</v>
      </c>
      <c r="R15" s="96">
        <v>46098</v>
      </c>
      <c r="S15" s="97"/>
      <c r="T15" s="97" t="s">
        <v>57</v>
      </c>
      <c r="U15" s="97" t="s">
        <v>71</v>
      </c>
      <c r="V15" s="93">
        <v>46098</v>
      </c>
      <c r="W15" s="93" t="s">
        <v>72</v>
      </c>
      <c r="X15" s="93" t="s">
        <v>72</v>
      </c>
      <c r="Y15" s="98"/>
      <c r="Z15" s="89" t="s">
        <v>60</v>
      </c>
      <c r="AA15" s="97">
        <v>46106</v>
      </c>
      <c r="AB15" s="89" t="s">
        <v>110</v>
      </c>
      <c r="AC15" s="120">
        <v>46153</v>
      </c>
      <c r="AD15" s="89"/>
      <c r="AE15" s="89"/>
      <c r="AF15" s="99"/>
      <c r="AG15" s="99"/>
      <c r="AH15" s="99"/>
      <c r="AI15" s="100" t="s">
        <v>62</v>
      </c>
      <c r="AJ15" s="100" t="s">
        <v>47</v>
      </c>
      <c r="AK15" s="100" t="s">
        <v>62</v>
      </c>
      <c r="AL15" s="45" t="s">
        <v>64</v>
      </c>
      <c r="AM15" s="198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220" t="s">
        <v>116</v>
      </c>
      <c r="G16" s="92">
        <v>648547876</v>
      </c>
      <c r="H16" s="93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114</v>
      </c>
      <c r="O16" s="94" t="s">
        <v>117</v>
      </c>
      <c r="P16" s="95" t="s">
        <v>55</v>
      </c>
      <c r="Q16" s="144" t="s">
        <v>70</v>
      </c>
      <c r="R16" s="96">
        <v>46098</v>
      </c>
      <c r="S16" s="97"/>
      <c r="T16" s="97" t="s">
        <v>57</v>
      </c>
      <c r="U16" s="97" t="s">
        <v>71</v>
      </c>
      <c r="V16" s="93">
        <v>46098</v>
      </c>
      <c r="W16" s="93">
        <v>46154</v>
      </c>
      <c r="X16" s="93" t="s">
        <v>72</v>
      </c>
      <c r="Y16" s="98"/>
      <c r="Z16" s="89" t="s">
        <v>60</v>
      </c>
      <c r="AA16" s="97">
        <v>46105</v>
      </c>
      <c r="AB16" s="89" t="s">
        <v>118</v>
      </c>
      <c r="AC16" s="120">
        <v>46162</v>
      </c>
      <c r="AD16" s="89"/>
      <c r="AE16" s="89"/>
      <c r="AF16" s="99"/>
      <c r="AG16" s="99"/>
      <c r="AH16" s="99"/>
      <c r="AI16" s="100" t="s">
        <v>62</v>
      </c>
      <c r="AJ16" s="100" t="s">
        <v>47</v>
      </c>
      <c r="AK16" s="100" t="s">
        <v>62</v>
      </c>
      <c r="AL16" s="45" t="s">
        <v>64</v>
      </c>
      <c r="AM16" s="198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220" t="s">
        <v>119</v>
      </c>
      <c r="G17" s="92">
        <v>72205636715</v>
      </c>
      <c r="H17" s="93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4" t="s">
        <v>120</v>
      </c>
      <c r="P17" s="95" t="s">
        <v>55</v>
      </c>
      <c r="Q17" s="144" t="s">
        <v>70</v>
      </c>
      <c r="R17" s="96">
        <v>46073</v>
      </c>
      <c r="S17" s="97"/>
      <c r="T17" s="97" t="s">
        <v>57</v>
      </c>
      <c r="U17" s="97" t="s">
        <v>71</v>
      </c>
      <c r="V17" s="93">
        <v>46073</v>
      </c>
      <c r="W17" s="93">
        <v>46154</v>
      </c>
      <c r="X17" s="93" t="s">
        <v>72</v>
      </c>
      <c r="Y17" s="98"/>
      <c r="Z17" s="89" t="s">
        <v>60</v>
      </c>
      <c r="AA17" s="97">
        <v>46107.680555555555</v>
      </c>
      <c r="AB17" s="89" t="s">
        <v>118</v>
      </c>
      <c r="AC17" s="120">
        <v>46162</v>
      </c>
      <c r="AD17" s="89"/>
      <c r="AE17" s="89"/>
      <c r="AF17" s="99"/>
      <c r="AG17" s="99"/>
      <c r="AH17" s="99"/>
      <c r="AI17" s="100" t="s">
        <v>62</v>
      </c>
      <c r="AJ17" s="100" t="s">
        <v>47</v>
      </c>
      <c r="AK17" s="100" t="s">
        <v>62</v>
      </c>
      <c r="AL17" s="45" t="s">
        <v>64</v>
      </c>
      <c r="AM17" s="198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220" t="s">
        <v>121</v>
      </c>
      <c r="G18" s="92">
        <v>83478809800</v>
      </c>
      <c r="H18" s="93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4" t="s">
        <v>122</v>
      </c>
      <c r="P18" s="95" t="s">
        <v>55</v>
      </c>
      <c r="Q18" s="144" t="s">
        <v>70</v>
      </c>
      <c r="R18" s="96">
        <v>46073</v>
      </c>
      <c r="S18" s="97"/>
      <c r="T18" s="97" t="s">
        <v>57</v>
      </c>
      <c r="U18" s="97" t="s">
        <v>71</v>
      </c>
      <c r="V18" s="93">
        <v>46073</v>
      </c>
      <c r="W18" s="93" t="s">
        <v>72</v>
      </c>
      <c r="X18" s="93" t="s">
        <v>72</v>
      </c>
      <c r="Y18" s="98"/>
      <c r="Z18" s="89" t="s">
        <v>60</v>
      </c>
      <c r="AA18" s="97">
        <v>46106.722222222219</v>
      </c>
      <c r="AB18" s="89" t="s">
        <v>110</v>
      </c>
      <c r="AC18" s="120"/>
      <c r="AD18" s="89"/>
      <c r="AE18" s="89"/>
      <c r="AF18" s="99"/>
      <c r="AG18" s="99"/>
      <c r="AH18" s="99"/>
      <c r="AI18" s="100" t="s">
        <v>62</v>
      </c>
      <c r="AJ18" s="100" t="s">
        <v>47</v>
      </c>
      <c r="AK18" s="100" t="s">
        <v>62</v>
      </c>
      <c r="AL18" s="45" t="s">
        <v>64</v>
      </c>
      <c r="AM18" s="198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220" t="s">
        <v>123</v>
      </c>
      <c r="G19" s="92">
        <v>1562026704</v>
      </c>
      <c r="H19" s="93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4" t="s">
        <v>124</v>
      </c>
      <c r="P19" s="95" t="s">
        <v>55</v>
      </c>
      <c r="Q19" s="144" t="s">
        <v>70</v>
      </c>
      <c r="R19" s="96">
        <v>46073</v>
      </c>
      <c r="S19" s="97"/>
      <c r="T19" s="97" t="s">
        <v>57</v>
      </c>
      <c r="U19" s="97" t="s">
        <v>71</v>
      </c>
      <c r="V19" s="93">
        <v>46073</v>
      </c>
      <c r="W19" s="93">
        <v>46154</v>
      </c>
      <c r="X19" s="93" t="s">
        <v>72</v>
      </c>
      <c r="Y19" s="98"/>
      <c r="Z19" s="89" t="s">
        <v>60</v>
      </c>
      <c r="AA19" s="97">
        <v>46108.597222222219</v>
      </c>
      <c r="AB19" s="89" t="s">
        <v>110</v>
      </c>
      <c r="AC19" s="120">
        <v>46161</v>
      </c>
      <c r="AD19" s="89"/>
      <c r="AE19" s="89"/>
      <c r="AF19" s="99"/>
      <c r="AG19" s="99"/>
      <c r="AH19" s="99"/>
      <c r="AI19" s="100" t="s">
        <v>62</v>
      </c>
      <c r="AJ19" s="100" t="s">
        <v>47</v>
      </c>
      <c r="AK19" s="100" t="s">
        <v>62</v>
      </c>
      <c r="AL19" s="45" t="s">
        <v>64</v>
      </c>
      <c r="AM19" s="198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220" t="s">
        <v>125</v>
      </c>
      <c r="G20" s="92">
        <v>2523291711</v>
      </c>
      <c r="H20" s="93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4" t="s">
        <v>127</v>
      </c>
      <c r="P20" s="95" t="s">
        <v>55</v>
      </c>
      <c r="Q20" s="144" t="s">
        <v>70</v>
      </c>
      <c r="R20" s="96">
        <v>46073</v>
      </c>
      <c r="S20" s="97"/>
      <c r="T20" s="97" t="s">
        <v>57</v>
      </c>
      <c r="U20" s="97" t="s">
        <v>71</v>
      </c>
      <c r="V20" s="93">
        <v>46073</v>
      </c>
      <c r="W20" s="93">
        <v>46154</v>
      </c>
      <c r="X20" s="93" t="s">
        <v>72</v>
      </c>
      <c r="Y20" s="98"/>
      <c r="Z20" s="89" t="s">
        <v>60</v>
      </c>
      <c r="AA20" s="97">
        <v>46105.666666666664</v>
      </c>
      <c r="AB20" s="89" t="s">
        <v>110</v>
      </c>
      <c r="AC20" s="120">
        <v>46161</v>
      </c>
      <c r="AD20" s="89"/>
      <c r="AE20" s="89"/>
      <c r="AF20" s="99"/>
      <c r="AG20" s="99"/>
      <c r="AH20" s="99"/>
      <c r="AI20" s="100" t="s">
        <v>62</v>
      </c>
      <c r="AJ20" s="100" t="s">
        <v>47</v>
      </c>
      <c r="AK20" s="100" t="s">
        <v>62</v>
      </c>
      <c r="AL20" s="45" t="s">
        <v>64</v>
      </c>
      <c r="AM20" s="198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220" t="s">
        <v>128</v>
      </c>
      <c r="G21" s="92">
        <v>1063504716</v>
      </c>
      <c r="H21" s="93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4" t="s">
        <v>130</v>
      </c>
      <c r="P21" s="95" t="s">
        <v>55</v>
      </c>
      <c r="Q21" s="144" t="s">
        <v>70</v>
      </c>
      <c r="R21" s="96">
        <v>46073</v>
      </c>
      <c r="S21" s="97"/>
      <c r="T21" s="97" t="s">
        <v>57</v>
      </c>
      <c r="U21" s="97" t="s">
        <v>71</v>
      </c>
      <c r="V21" s="93">
        <v>46073</v>
      </c>
      <c r="W21" s="93" t="s">
        <v>72</v>
      </c>
      <c r="X21" s="93" t="s">
        <v>72</v>
      </c>
      <c r="Y21" s="98"/>
      <c r="Z21" s="89" t="s">
        <v>60</v>
      </c>
      <c r="AA21" s="97">
        <v>46106.625</v>
      </c>
      <c r="AB21" s="89" t="s">
        <v>110</v>
      </c>
      <c r="AC21" s="120">
        <v>46153</v>
      </c>
      <c r="AD21" s="89"/>
      <c r="AE21" s="89"/>
      <c r="AF21" s="99"/>
      <c r="AG21" s="99"/>
      <c r="AH21" s="99"/>
      <c r="AI21" s="100" t="s">
        <v>62</v>
      </c>
      <c r="AJ21" s="100" t="s">
        <v>47</v>
      </c>
      <c r="AK21" s="100" t="s">
        <v>62</v>
      </c>
      <c r="AL21" s="45" t="s">
        <v>64</v>
      </c>
      <c r="AM21" s="198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220" t="s">
        <v>131</v>
      </c>
      <c r="G22" s="92">
        <v>10186986718</v>
      </c>
      <c r="H22" s="93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4" t="s">
        <v>133</v>
      </c>
      <c r="P22" s="95" t="s">
        <v>55</v>
      </c>
      <c r="Q22" s="144" t="s">
        <v>70</v>
      </c>
      <c r="R22" s="96">
        <v>46073</v>
      </c>
      <c r="S22" s="97"/>
      <c r="T22" s="97" t="s">
        <v>57</v>
      </c>
      <c r="U22" s="97" t="s">
        <v>71</v>
      </c>
      <c r="V22" s="93">
        <v>46073</v>
      </c>
      <c r="W22" s="93" t="s">
        <v>72</v>
      </c>
      <c r="X22" s="93" t="s">
        <v>72</v>
      </c>
      <c r="Y22" s="98"/>
      <c r="Z22" s="89" t="s">
        <v>60</v>
      </c>
      <c r="AA22" s="97">
        <v>46104.694444444445</v>
      </c>
      <c r="AB22" s="89" t="s">
        <v>110</v>
      </c>
      <c r="AC22" s="120">
        <v>46153</v>
      </c>
      <c r="AD22" s="89"/>
      <c r="AE22" s="89"/>
      <c r="AF22" s="99"/>
      <c r="AG22" s="99"/>
      <c r="AH22" s="99"/>
      <c r="AI22" s="100" t="s">
        <v>62</v>
      </c>
      <c r="AJ22" s="100" t="s">
        <v>47</v>
      </c>
      <c r="AK22" s="100" t="s">
        <v>62</v>
      </c>
      <c r="AL22" s="45" t="s">
        <v>64</v>
      </c>
      <c r="AM22" s="198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220" t="s">
        <v>134</v>
      </c>
      <c r="G23" s="92">
        <v>4981210892</v>
      </c>
      <c r="H23" s="93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4" t="s">
        <v>135</v>
      </c>
      <c r="P23" s="95" t="s">
        <v>55</v>
      </c>
      <c r="Q23" s="144" t="s">
        <v>136</v>
      </c>
      <c r="R23" s="96"/>
      <c r="S23" s="97">
        <v>46150</v>
      </c>
      <c r="T23" s="97" t="s">
        <v>57</v>
      </c>
      <c r="U23" s="97" t="s">
        <v>58</v>
      </c>
      <c r="V23" s="93">
        <v>46098</v>
      </c>
      <c r="W23" s="93">
        <v>46126</v>
      </c>
      <c r="X23" s="93">
        <v>46141</v>
      </c>
      <c r="Y23" s="98"/>
      <c r="Z23" s="89"/>
      <c r="AA23" s="97"/>
      <c r="AB23" s="89"/>
      <c r="AC23" s="120"/>
      <c r="AD23" s="89"/>
      <c r="AE23" s="89"/>
      <c r="AF23" s="99"/>
      <c r="AG23" s="99"/>
      <c r="AH23" s="99"/>
      <c r="AI23" s="100"/>
      <c r="AJ23" s="100"/>
      <c r="AK23" s="100"/>
      <c r="AL23" s="45" t="s">
        <v>64</v>
      </c>
      <c r="AM23" s="198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220" t="s">
        <v>137</v>
      </c>
      <c r="G24" s="92">
        <v>3972568843</v>
      </c>
      <c r="H24" s="93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4" t="s">
        <v>138</v>
      </c>
      <c r="P24" s="95" t="s">
        <v>55</v>
      </c>
      <c r="Q24" s="144" t="s">
        <v>136</v>
      </c>
      <c r="R24" s="96"/>
      <c r="S24" s="97">
        <v>46150</v>
      </c>
      <c r="T24" s="97" t="s">
        <v>57</v>
      </c>
      <c r="U24" s="97" t="s">
        <v>58</v>
      </c>
      <c r="V24" s="93">
        <v>46098</v>
      </c>
      <c r="W24" s="93">
        <v>46126</v>
      </c>
      <c r="X24" s="93">
        <v>46141</v>
      </c>
      <c r="Y24" s="98"/>
      <c r="Z24" s="89"/>
      <c r="AA24" s="97"/>
      <c r="AB24" s="89"/>
      <c r="AC24" s="120"/>
      <c r="AD24" s="89"/>
      <c r="AE24" s="89"/>
      <c r="AF24" s="99"/>
      <c r="AG24" s="99"/>
      <c r="AH24" s="99"/>
      <c r="AI24" s="100"/>
      <c r="AJ24" s="100"/>
      <c r="AK24" s="100"/>
      <c r="AL24" s="45" t="s">
        <v>64</v>
      </c>
      <c r="AM24" s="198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220" t="s">
        <v>139</v>
      </c>
      <c r="G25" s="92">
        <v>662893867</v>
      </c>
      <c r="H25" s="93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4" t="s">
        <v>140</v>
      </c>
      <c r="P25" s="95" t="s">
        <v>55</v>
      </c>
      <c r="Q25" s="144" t="s">
        <v>136</v>
      </c>
      <c r="R25" s="96"/>
      <c r="S25" s="97">
        <v>46150</v>
      </c>
      <c r="T25" s="97" t="s">
        <v>57</v>
      </c>
      <c r="U25" s="97" t="s">
        <v>58</v>
      </c>
      <c r="V25" s="93">
        <v>46098</v>
      </c>
      <c r="W25" s="93">
        <v>46126</v>
      </c>
      <c r="X25" s="93">
        <v>46141</v>
      </c>
      <c r="Y25" s="98"/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198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220" t="s">
        <v>141</v>
      </c>
      <c r="G26" s="92">
        <v>10627597882</v>
      </c>
      <c r="H26" s="93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4" t="s">
        <v>142</v>
      </c>
      <c r="P26" s="95" t="s">
        <v>55</v>
      </c>
      <c r="Q26" s="144" t="s">
        <v>136</v>
      </c>
      <c r="R26" s="96"/>
      <c r="S26" s="97">
        <v>46150</v>
      </c>
      <c r="T26" s="97" t="s">
        <v>57</v>
      </c>
      <c r="U26" s="97" t="s">
        <v>58</v>
      </c>
      <c r="V26" s="93">
        <v>46098</v>
      </c>
      <c r="W26" s="93">
        <v>46126</v>
      </c>
      <c r="X26" s="93">
        <v>46141</v>
      </c>
      <c r="Y26" s="98"/>
      <c r="Z26" s="89"/>
      <c r="AA26" s="97"/>
      <c r="AB26" s="89"/>
      <c r="AC26" s="120"/>
      <c r="AD26" s="89"/>
      <c r="AE26" s="89"/>
      <c r="AF26" s="99"/>
      <c r="AG26" s="99"/>
      <c r="AH26" s="99"/>
      <c r="AI26" s="100"/>
      <c r="AJ26" s="100"/>
      <c r="AK26" s="100"/>
      <c r="AL26" s="45" t="s">
        <v>64</v>
      </c>
      <c r="AM26" s="198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220" t="s">
        <v>143</v>
      </c>
      <c r="G27" s="92">
        <v>12962398880</v>
      </c>
      <c r="H27" s="93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4" t="s">
        <v>144</v>
      </c>
      <c r="P27" s="95" t="s">
        <v>55</v>
      </c>
      <c r="Q27" s="144" t="s">
        <v>70</v>
      </c>
      <c r="R27" s="96">
        <v>46128</v>
      </c>
      <c r="S27" s="97"/>
      <c r="T27" s="97" t="s">
        <v>57</v>
      </c>
      <c r="U27" s="97" t="s">
        <v>71</v>
      </c>
      <c r="V27" s="93">
        <v>46098</v>
      </c>
      <c r="W27" s="93">
        <v>46126</v>
      </c>
      <c r="X27" s="93">
        <v>46128</v>
      </c>
      <c r="Y27" s="98"/>
      <c r="Z27" s="89" t="s">
        <v>60</v>
      </c>
      <c r="AA27" s="97">
        <v>46139</v>
      </c>
      <c r="AB27" s="89" t="s">
        <v>61</v>
      </c>
      <c r="AC27" s="120"/>
      <c r="AD27" s="89"/>
      <c r="AE27" s="89"/>
      <c r="AF27" s="99"/>
      <c r="AG27" s="99"/>
      <c r="AH27" s="99"/>
      <c r="AI27" s="100" t="s">
        <v>62</v>
      </c>
      <c r="AJ27" s="100" t="s">
        <v>47</v>
      </c>
      <c r="AK27" s="100" t="s">
        <v>62</v>
      </c>
      <c r="AL27" s="45" t="s">
        <v>64</v>
      </c>
      <c r="AM27" s="198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220" t="s">
        <v>145</v>
      </c>
      <c r="G28" s="92">
        <v>10363510842</v>
      </c>
      <c r="H28" s="93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4" t="s">
        <v>147</v>
      </c>
      <c r="P28" s="95" t="s">
        <v>55</v>
      </c>
      <c r="Q28" s="144" t="s">
        <v>70</v>
      </c>
      <c r="R28" s="96">
        <v>46141</v>
      </c>
      <c r="S28" s="97"/>
      <c r="T28" s="97" t="s">
        <v>57</v>
      </c>
      <c r="U28" s="97" t="s">
        <v>71</v>
      </c>
      <c r="V28" s="93">
        <v>46098</v>
      </c>
      <c r="W28" s="93">
        <v>46126</v>
      </c>
      <c r="X28" s="93">
        <v>46141</v>
      </c>
      <c r="Y28" s="98"/>
      <c r="Z28" s="89" t="s">
        <v>60</v>
      </c>
      <c r="AA28" s="97">
        <v>46157</v>
      </c>
      <c r="AB28" s="89" t="s">
        <v>110</v>
      </c>
      <c r="AC28" s="120"/>
      <c r="AD28" s="89"/>
      <c r="AE28" s="89"/>
      <c r="AF28" s="99"/>
      <c r="AG28" s="99"/>
      <c r="AH28" s="99"/>
      <c r="AI28" s="100" t="s">
        <v>62</v>
      </c>
      <c r="AJ28" s="100" t="s">
        <v>62</v>
      </c>
      <c r="AK28" s="100" t="s">
        <v>62</v>
      </c>
      <c r="AL28" s="45" t="s">
        <v>64</v>
      </c>
      <c r="AM28" s="198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220" t="s">
        <v>148</v>
      </c>
      <c r="G29" s="92">
        <v>3723754805</v>
      </c>
      <c r="H29" s="93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4" t="s">
        <v>149</v>
      </c>
      <c r="P29" s="95" t="s">
        <v>55</v>
      </c>
      <c r="Q29" s="144" t="s">
        <v>70</v>
      </c>
      <c r="R29" s="96">
        <v>46141</v>
      </c>
      <c r="S29" s="97"/>
      <c r="T29" s="97" t="s">
        <v>57</v>
      </c>
      <c r="U29" s="97" t="s">
        <v>71</v>
      </c>
      <c r="V29" s="93">
        <v>46098</v>
      </c>
      <c r="W29" s="93">
        <v>46126</v>
      </c>
      <c r="X29" s="93">
        <v>46141</v>
      </c>
      <c r="Y29" s="98"/>
      <c r="Z29" s="89" t="s">
        <v>60</v>
      </c>
      <c r="AA29" s="97">
        <v>46146</v>
      </c>
      <c r="AB29" s="89" t="s">
        <v>110</v>
      </c>
      <c r="AC29" s="120"/>
      <c r="AD29" s="89"/>
      <c r="AE29" s="89"/>
      <c r="AF29" s="99"/>
      <c r="AG29" s="99"/>
      <c r="AH29" s="99"/>
      <c r="AI29" s="100" t="s">
        <v>62</v>
      </c>
      <c r="AJ29" s="100" t="s">
        <v>47</v>
      </c>
      <c r="AK29" s="100" t="s">
        <v>62</v>
      </c>
      <c r="AL29" s="45" t="s">
        <v>64</v>
      </c>
      <c r="AM29" s="198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220" t="s">
        <v>150</v>
      </c>
      <c r="G30" s="92">
        <v>5181156827</v>
      </c>
      <c r="H30" s="93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4" t="s">
        <v>152</v>
      </c>
      <c r="P30" s="95" t="s">
        <v>55</v>
      </c>
      <c r="Q30" s="144" t="s">
        <v>70</v>
      </c>
      <c r="R30" s="96">
        <v>46141</v>
      </c>
      <c r="S30" s="97"/>
      <c r="T30" s="97" t="s">
        <v>57</v>
      </c>
      <c r="U30" s="97" t="s">
        <v>71</v>
      </c>
      <c r="V30" s="93">
        <v>46098</v>
      </c>
      <c r="W30" s="93">
        <v>46126</v>
      </c>
      <c r="X30" s="93">
        <v>46141</v>
      </c>
      <c r="Y30" s="98"/>
      <c r="Z30" s="89" t="s">
        <v>60</v>
      </c>
      <c r="AA30" s="97">
        <v>46157</v>
      </c>
      <c r="AB30" s="89" t="s">
        <v>110</v>
      </c>
      <c r="AC30" s="120"/>
      <c r="AD30" s="89"/>
      <c r="AE30" s="89"/>
      <c r="AF30" s="99"/>
      <c r="AG30" s="99"/>
      <c r="AH30" s="99"/>
      <c r="AI30" s="100" t="s">
        <v>62</v>
      </c>
      <c r="AJ30" s="100" t="s">
        <v>62</v>
      </c>
      <c r="AK30" s="100" t="s">
        <v>62</v>
      </c>
      <c r="AL30" s="45" t="s">
        <v>64</v>
      </c>
      <c r="AM30" s="198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220" t="s">
        <v>153</v>
      </c>
      <c r="G31" s="92">
        <v>27477055873</v>
      </c>
      <c r="H31" s="93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4" t="s">
        <v>154</v>
      </c>
      <c r="P31" s="95" t="s">
        <v>55</v>
      </c>
      <c r="Q31" s="144" t="s">
        <v>70</v>
      </c>
      <c r="R31" s="96">
        <v>46141</v>
      </c>
      <c r="S31" s="97"/>
      <c r="T31" s="97" t="s">
        <v>57</v>
      </c>
      <c r="U31" s="97" t="s">
        <v>71</v>
      </c>
      <c r="V31" s="93">
        <v>46098</v>
      </c>
      <c r="W31" s="93">
        <v>46126</v>
      </c>
      <c r="X31" s="93">
        <v>46141</v>
      </c>
      <c r="Y31" s="98"/>
      <c r="Z31" s="89" t="s">
        <v>60</v>
      </c>
      <c r="AA31" s="97">
        <v>46157</v>
      </c>
      <c r="AB31" s="89" t="s">
        <v>110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62</v>
      </c>
      <c r="AK31" s="100" t="s">
        <v>62</v>
      </c>
      <c r="AL31" s="45" t="s">
        <v>64</v>
      </c>
      <c r="AM31" s="198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220" t="s">
        <v>155</v>
      </c>
      <c r="G32" s="92">
        <v>25789686753</v>
      </c>
      <c r="H32" s="93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4" t="s">
        <v>156</v>
      </c>
      <c r="P32" s="95" t="s">
        <v>55</v>
      </c>
      <c r="Q32" s="144" t="s">
        <v>136</v>
      </c>
      <c r="R32" s="96"/>
      <c r="S32" s="97">
        <v>46150</v>
      </c>
      <c r="T32" s="97" t="s">
        <v>57</v>
      </c>
      <c r="U32" s="97" t="s">
        <v>58</v>
      </c>
      <c r="V32" s="93">
        <v>46073</v>
      </c>
      <c r="W32" s="93">
        <v>46126</v>
      </c>
      <c r="X32" s="93">
        <v>46141</v>
      </c>
      <c r="Y32" s="98"/>
      <c r="Z32" s="89"/>
      <c r="AA32" s="97"/>
      <c r="AB32" s="89"/>
      <c r="AC32" s="120"/>
      <c r="AD32" s="89"/>
      <c r="AE32" s="89"/>
      <c r="AF32" s="99"/>
      <c r="AG32" s="99"/>
      <c r="AH32" s="99"/>
      <c r="AI32" s="100"/>
      <c r="AJ32" s="100"/>
      <c r="AK32" s="100"/>
      <c r="AL32" s="45" t="s">
        <v>64</v>
      </c>
      <c r="AM32" s="198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220" t="s">
        <v>157</v>
      </c>
      <c r="G33" s="92">
        <v>477989713</v>
      </c>
      <c r="H33" s="93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4" t="s">
        <v>158</v>
      </c>
      <c r="P33" s="95" t="s">
        <v>55</v>
      </c>
      <c r="Q33" s="144" t="s">
        <v>70</v>
      </c>
      <c r="R33" s="96">
        <v>46128</v>
      </c>
      <c r="S33" s="97"/>
      <c r="T33" s="97" t="s">
        <v>57</v>
      </c>
      <c r="U33" s="97" t="s">
        <v>71</v>
      </c>
      <c r="V33" s="93">
        <v>46073</v>
      </c>
      <c r="W33" s="93">
        <v>46126</v>
      </c>
      <c r="X33" s="93">
        <v>46128</v>
      </c>
      <c r="Y33" s="98"/>
      <c r="Z33" s="89" t="s">
        <v>60</v>
      </c>
      <c r="AA33" s="97">
        <v>46136</v>
      </c>
      <c r="AB33" s="89" t="s">
        <v>110</v>
      </c>
      <c r="AC33" s="120"/>
      <c r="AD33" s="89"/>
      <c r="AE33" s="89"/>
      <c r="AF33" s="99"/>
      <c r="AG33" s="99"/>
      <c r="AH33" s="99"/>
      <c r="AI33" s="100" t="s">
        <v>62</v>
      </c>
      <c r="AJ33" s="100" t="s">
        <v>47</v>
      </c>
      <c r="AK33" s="100" t="s">
        <v>62</v>
      </c>
      <c r="AL33" s="45" t="s">
        <v>64</v>
      </c>
      <c r="AM33" s="198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220" t="s">
        <v>159</v>
      </c>
      <c r="G34" s="92">
        <v>61646377753</v>
      </c>
      <c r="H34" s="93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4" t="s">
        <v>160</v>
      </c>
      <c r="P34" s="95" t="s">
        <v>55</v>
      </c>
      <c r="Q34" s="144" t="s">
        <v>136</v>
      </c>
      <c r="R34" s="96"/>
      <c r="S34" s="97">
        <v>46150</v>
      </c>
      <c r="T34" s="97" t="s">
        <v>57</v>
      </c>
      <c r="U34" s="97" t="s">
        <v>58</v>
      </c>
      <c r="V34" s="93">
        <v>46073</v>
      </c>
      <c r="W34" s="93">
        <v>46126</v>
      </c>
      <c r="X34" s="93">
        <v>46141</v>
      </c>
      <c r="Y34" s="98"/>
      <c r="Z34" s="89"/>
      <c r="AA34" s="97"/>
      <c r="AB34" s="89"/>
      <c r="AC34" s="120"/>
      <c r="AD34" s="89"/>
      <c r="AE34" s="89"/>
      <c r="AF34" s="99"/>
      <c r="AG34" s="99"/>
      <c r="AH34" s="99"/>
      <c r="AI34" s="100"/>
      <c r="AJ34" s="100"/>
      <c r="AK34" s="100"/>
      <c r="AL34" s="45" t="s">
        <v>64</v>
      </c>
      <c r="AM34" s="198" t="str">
        <f t="shared" si="0"/>
        <v>3/2026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220" t="s">
        <v>161</v>
      </c>
      <c r="G35" s="92">
        <v>41063171768</v>
      </c>
      <c r="H35" s="93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4" t="s">
        <v>162</v>
      </c>
      <c r="P35" s="95" t="s">
        <v>55</v>
      </c>
      <c r="Q35" s="144" t="s">
        <v>70</v>
      </c>
      <c r="R35" s="96">
        <v>46141</v>
      </c>
      <c r="S35" s="97"/>
      <c r="T35" s="97" t="s">
        <v>57</v>
      </c>
      <c r="U35" s="97" t="s">
        <v>71</v>
      </c>
      <c r="V35" s="93">
        <v>46073</v>
      </c>
      <c r="W35" s="93">
        <v>46126</v>
      </c>
      <c r="X35" s="93">
        <v>46141</v>
      </c>
      <c r="Y35" s="98"/>
      <c r="Z35" s="89" t="s">
        <v>60</v>
      </c>
      <c r="AA35" s="97">
        <v>46157</v>
      </c>
      <c r="AB35" s="89" t="s">
        <v>110</v>
      </c>
      <c r="AC35" s="120"/>
      <c r="AD35" s="89"/>
      <c r="AE35" s="89"/>
      <c r="AF35" s="99"/>
      <c r="AG35" s="99"/>
      <c r="AH35" s="99"/>
      <c r="AI35" s="100" t="s">
        <v>62</v>
      </c>
      <c r="AJ35" s="100" t="s">
        <v>62</v>
      </c>
      <c r="AK35" s="100" t="s">
        <v>62</v>
      </c>
      <c r="AL35" s="45" t="s">
        <v>64</v>
      </c>
      <c r="AM35" s="198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51</v>
      </c>
      <c r="AR35" s="45">
        <f t="shared" si="5"/>
        <v>0</v>
      </c>
      <c r="AS35" s="45">
        <f t="shared" si="6"/>
        <v>34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220" t="s">
        <v>163</v>
      </c>
      <c r="G36" s="92">
        <v>1079398783</v>
      </c>
      <c r="H36" s="93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4" t="s">
        <v>165</v>
      </c>
      <c r="P36" s="95" t="s">
        <v>55</v>
      </c>
      <c r="Q36" s="144" t="s">
        <v>70</v>
      </c>
      <c r="R36" s="96">
        <v>46141</v>
      </c>
      <c r="S36" s="97"/>
      <c r="T36" s="97" t="s">
        <v>57</v>
      </c>
      <c r="U36" s="97" t="s">
        <v>71</v>
      </c>
      <c r="V36" s="93">
        <v>46073</v>
      </c>
      <c r="W36" s="93">
        <v>46126</v>
      </c>
      <c r="X36" s="93">
        <v>46141</v>
      </c>
      <c r="Y36" s="98"/>
      <c r="Z36" s="89" t="s">
        <v>60</v>
      </c>
      <c r="AA36" s="97">
        <v>46157</v>
      </c>
      <c r="AB36" s="89" t="s">
        <v>110</v>
      </c>
      <c r="AC36" s="120"/>
      <c r="AD36" s="89"/>
      <c r="AE36" s="89"/>
      <c r="AF36" s="99"/>
      <c r="AG36" s="99"/>
      <c r="AH36" s="99"/>
      <c r="AI36" s="100" t="s">
        <v>62</v>
      </c>
      <c r="AJ36" s="100" t="s">
        <v>62</v>
      </c>
      <c r="AK36" s="100" t="s">
        <v>62</v>
      </c>
      <c r="AL36" s="45" t="s">
        <v>64</v>
      </c>
      <c r="AM36" s="198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51</v>
      </c>
      <c r="AR36" s="45">
        <f t="shared" si="5"/>
        <v>0</v>
      </c>
      <c r="AS36" s="45">
        <f t="shared" si="6"/>
        <v>34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220" t="s">
        <v>166</v>
      </c>
      <c r="G37" s="92">
        <v>15132242715</v>
      </c>
      <c r="H37" s="93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4" t="s">
        <v>167</v>
      </c>
      <c r="P37" s="95" t="s">
        <v>55</v>
      </c>
      <c r="Q37" s="144" t="s">
        <v>70</v>
      </c>
      <c r="R37" s="96">
        <v>46141</v>
      </c>
      <c r="S37" s="97"/>
      <c r="T37" s="97" t="s">
        <v>57</v>
      </c>
      <c r="U37" s="97" t="s">
        <v>71</v>
      </c>
      <c r="V37" s="93">
        <v>46073</v>
      </c>
      <c r="W37" s="93">
        <v>46126</v>
      </c>
      <c r="X37" s="93">
        <v>46141</v>
      </c>
      <c r="Y37" s="98"/>
      <c r="Z37" s="89" t="s">
        <v>60</v>
      </c>
      <c r="AA37" s="97">
        <v>46157</v>
      </c>
      <c r="AB37" s="89" t="s">
        <v>110</v>
      </c>
      <c r="AC37" s="120"/>
      <c r="AD37" s="89"/>
      <c r="AE37" s="89"/>
      <c r="AF37" s="99"/>
      <c r="AG37" s="99"/>
      <c r="AH37" s="99"/>
      <c r="AI37" s="100" t="s">
        <v>62</v>
      </c>
      <c r="AJ37" s="100" t="s">
        <v>62</v>
      </c>
      <c r="AK37" s="100" t="s">
        <v>62</v>
      </c>
      <c r="AL37" s="45" t="s">
        <v>64</v>
      </c>
      <c r="AM37" s="198" t="str">
        <f t="shared" si="0"/>
        <v>3/2026</v>
      </c>
      <c r="AN37" s="45">
        <f t="shared" si="1"/>
        <v>2</v>
      </c>
      <c r="AO37" s="45" t="str">
        <f t="shared" si="2"/>
        <v>4/2026</v>
      </c>
      <c r="AP37" s="45">
        <f t="shared" si="3"/>
        <v>5</v>
      </c>
      <c r="AQ37" s="45">
        <f t="shared" si="4"/>
        <v>51</v>
      </c>
      <c r="AR37" s="45">
        <f t="shared" si="5"/>
        <v>0</v>
      </c>
      <c r="AS37" s="45">
        <f t="shared" si="6"/>
        <v>34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220" t="s">
        <v>168</v>
      </c>
      <c r="G38" s="92">
        <v>41506812791</v>
      </c>
      <c r="H38" s="93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4" t="s">
        <v>169</v>
      </c>
      <c r="P38" s="95" t="s">
        <v>55</v>
      </c>
      <c r="Q38" s="144" t="s">
        <v>70</v>
      </c>
      <c r="R38" s="96">
        <v>46141</v>
      </c>
      <c r="S38" s="97"/>
      <c r="T38" s="97" t="s">
        <v>57</v>
      </c>
      <c r="U38" s="97" t="s">
        <v>71</v>
      </c>
      <c r="V38" s="93">
        <v>46073</v>
      </c>
      <c r="W38" s="93">
        <v>46126</v>
      </c>
      <c r="X38" s="93">
        <v>46141</v>
      </c>
      <c r="Y38" s="98"/>
      <c r="Z38" s="89" t="s">
        <v>60</v>
      </c>
      <c r="AA38" s="97">
        <v>46157</v>
      </c>
      <c r="AB38" s="89" t="s">
        <v>110</v>
      </c>
      <c r="AC38" s="120"/>
      <c r="AD38" s="89"/>
      <c r="AE38" s="89"/>
      <c r="AF38" s="99"/>
      <c r="AG38" s="99"/>
      <c r="AH38" s="99"/>
      <c r="AI38" s="100" t="s">
        <v>62</v>
      </c>
      <c r="AJ38" s="100" t="s">
        <v>62</v>
      </c>
      <c r="AK38" s="100" t="s">
        <v>62</v>
      </c>
      <c r="AL38" s="45" t="s">
        <v>64</v>
      </c>
      <c r="AM38" s="198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51</v>
      </c>
      <c r="AR38" s="45">
        <f t="shared" si="5"/>
        <v>0</v>
      </c>
      <c r="AS38" s="45">
        <f t="shared" si="6"/>
        <v>34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220" t="s">
        <v>170</v>
      </c>
      <c r="G39" s="92">
        <v>452040710</v>
      </c>
      <c r="H39" s="93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4" t="s">
        <v>171</v>
      </c>
      <c r="P39" s="95" t="s">
        <v>55</v>
      </c>
      <c r="Q39" s="144" t="s">
        <v>70</v>
      </c>
      <c r="R39" s="96">
        <v>46141</v>
      </c>
      <c r="S39" s="97"/>
      <c r="T39" s="97" t="s">
        <v>57</v>
      </c>
      <c r="U39" s="97" t="s">
        <v>71</v>
      </c>
      <c r="V39" s="93">
        <v>46111</v>
      </c>
      <c r="W39" s="93">
        <v>46126</v>
      </c>
      <c r="X39" s="93">
        <v>46141</v>
      </c>
      <c r="Y39" s="98"/>
      <c r="Z39" s="89" t="s">
        <v>60</v>
      </c>
      <c r="AA39" s="97">
        <v>46157</v>
      </c>
      <c r="AB39" s="89" t="s">
        <v>110</v>
      </c>
      <c r="AC39" s="120"/>
      <c r="AD39" s="89"/>
      <c r="AE39" s="89"/>
      <c r="AF39" s="99"/>
      <c r="AG39" s="99"/>
      <c r="AH39" s="99"/>
      <c r="AI39" s="100" t="s">
        <v>62</v>
      </c>
      <c r="AJ39" s="100" t="s">
        <v>62</v>
      </c>
      <c r="AK39" s="100" t="s">
        <v>62</v>
      </c>
      <c r="AL39" s="45" t="s">
        <v>64</v>
      </c>
      <c r="AM39" s="198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51</v>
      </c>
      <c r="AR39" s="45">
        <f t="shared" si="5"/>
        <v>0</v>
      </c>
      <c r="AS39" s="45">
        <f t="shared" si="6"/>
        <v>15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220" t="s">
        <v>172</v>
      </c>
      <c r="G40" s="92">
        <v>54899621787</v>
      </c>
      <c r="H40" s="93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4" t="s">
        <v>173</v>
      </c>
      <c r="P40" s="95" t="s">
        <v>55</v>
      </c>
      <c r="Q40" s="144" t="s">
        <v>70</v>
      </c>
      <c r="R40" s="96">
        <v>46141</v>
      </c>
      <c r="S40" s="97"/>
      <c r="T40" s="97" t="s">
        <v>57</v>
      </c>
      <c r="U40" s="97" t="s">
        <v>71</v>
      </c>
      <c r="V40" s="93">
        <v>46111</v>
      </c>
      <c r="W40" s="93">
        <v>46126</v>
      </c>
      <c r="X40" s="93">
        <v>46141</v>
      </c>
      <c r="Y40" s="98"/>
      <c r="Z40" s="89" t="s">
        <v>60</v>
      </c>
      <c r="AA40" s="97">
        <v>46157</v>
      </c>
      <c r="AB40" s="89" t="s">
        <v>110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62</v>
      </c>
      <c r="AK40" s="100" t="s">
        <v>62</v>
      </c>
      <c r="AL40" s="45" t="s">
        <v>64</v>
      </c>
      <c r="AM40" s="198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5</v>
      </c>
      <c r="AQ40" s="45">
        <f t="shared" si="4"/>
        <v>51</v>
      </c>
      <c r="AR40" s="45">
        <f t="shared" si="5"/>
        <v>0</v>
      </c>
      <c r="AS40" s="45">
        <f t="shared" si="6"/>
        <v>15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hidden="1" customHeight="1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220" t="s">
        <v>174</v>
      </c>
      <c r="G41" s="92">
        <v>1044539747</v>
      </c>
      <c r="H41" s="93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4" t="s">
        <v>175</v>
      </c>
      <c r="P41" s="95" t="s">
        <v>55</v>
      </c>
      <c r="Q41" s="144" t="s">
        <v>70</v>
      </c>
      <c r="R41" s="96">
        <v>46141</v>
      </c>
      <c r="S41" s="97"/>
      <c r="T41" s="97" t="s">
        <v>57</v>
      </c>
      <c r="U41" s="97" t="s">
        <v>71</v>
      </c>
      <c r="V41" s="93">
        <v>46111</v>
      </c>
      <c r="W41" s="93">
        <v>46126</v>
      </c>
      <c r="X41" s="93">
        <v>46141</v>
      </c>
      <c r="Y41" s="98"/>
      <c r="Z41" s="89" t="s">
        <v>60</v>
      </c>
      <c r="AA41" s="97">
        <v>46157</v>
      </c>
      <c r="AB41" s="89" t="s">
        <v>110</v>
      </c>
      <c r="AC41" s="120"/>
      <c r="AD41" s="89"/>
      <c r="AE41" s="89"/>
      <c r="AF41" s="99"/>
      <c r="AG41" s="99"/>
      <c r="AH41" s="99"/>
      <c r="AI41" s="100" t="s">
        <v>62</v>
      </c>
      <c r="AJ41" s="100" t="s">
        <v>62</v>
      </c>
      <c r="AK41" s="100" t="s">
        <v>62</v>
      </c>
      <c r="AL41" s="45" t="s">
        <v>64</v>
      </c>
      <c r="AM41" s="198" t="str">
        <f t="shared" si="0"/>
        <v>3/2026</v>
      </c>
      <c r="AN41" s="45">
        <f t="shared" si="1"/>
        <v>2</v>
      </c>
      <c r="AO41" s="45" t="str">
        <f t="shared" si="2"/>
        <v>4/2026</v>
      </c>
      <c r="AP41" s="45">
        <f t="shared" si="3"/>
        <v>5</v>
      </c>
      <c r="AQ41" s="45">
        <f t="shared" si="4"/>
        <v>51</v>
      </c>
      <c r="AR41" s="45">
        <f t="shared" si="5"/>
        <v>0</v>
      </c>
      <c r="AS41" s="45">
        <f t="shared" si="6"/>
        <v>15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220" t="s">
        <v>176</v>
      </c>
      <c r="G42" s="92">
        <v>6982453774</v>
      </c>
      <c r="H42" s="93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4" t="s">
        <v>177</v>
      </c>
      <c r="P42" s="95" t="s">
        <v>55</v>
      </c>
      <c r="Q42" s="144" t="s">
        <v>70</v>
      </c>
      <c r="R42" s="96">
        <v>46141</v>
      </c>
      <c r="S42" s="97"/>
      <c r="T42" s="97" t="s">
        <v>57</v>
      </c>
      <c r="U42" s="97" t="s">
        <v>71</v>
      </c>
      <c r="V42" s="93">
        <v>46111</v>
      </c>
      <c r="W42" s="93">
        <v>46126</v>
      </c>
      <c r="X42" s="93">
        <v>46141</v>
      </c>
      <c r="Y42" s="98"/>
      <c r="Z42" s="89" t="s">
        <v>60</v>
      </c>
      <c r="AA42" s="97">
        <v>46157</v>
      </c>
      <c r="AB42" s="89" t="s">
        <v>110</v>
      </c>
      <c r="AC42" s="120"/>
      <c r="AD42" s="89"/>
      <c r="AE42" s="89"/>
      <c r="AF42" s="99"/>
      <c r="AG42" s="99"/>
      <c r="AH42" s="99"/>
      <c r="AI42" s="100" t="s">
        <v>62</v>
      </c>
      <c r="AJ42" s="100" t="s">
        <v>62</v>
      </c>
      <c r="AK42" s="100" t="s">
        <v>62</v>
      </c>
      <c r="AL42" s="45" t="s">
        <v>64</v>
      </c>
      <c r="AM42" s="198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5</v>
      </c>
      <c r="AQ42" s="45">
        <f t="shared" si="4"/>
        <v>51</v>
      </c>
      <c r="AR42" s="45">
        <f t="shared" si="5"/>
        <v>0</v>
      </c>
      <c r="AS42" s="45">
        <f t="shared" si="6"/>
        <v>15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220" t="s">
        <v>178</v>
      </c>
      <c r="G43" s="92">
        <v>14764554739</v>
      </c>
      <c r="H43" s="93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4" t="s">
        <v>180</v>
      </c>
      <c r="P43" s="95" t="s">
        <v>55</v>
      </c>
      <c r="Q43" s="144" t="s">
        <v>70</v>
      </c>
      <c r="R43" s="96">
        <v>46141</v>
      </c>
      <c r="S43" s="97"/>
      <c r="T43" s="97" t="s">
        <v>57</v>
      </c>
      <c r="U43" s="97" t="s">
        <v>71</v>
      </c>
      <c r="V43" s="93">
        <v>46111</v>
      </c>
      <c r="W43" s="93">
        <v>46126</v>
      </c>
      <c r="X43" s="93">
        <v>46141</v>
      </c>
      <c r="Y43" s="98"/>
      <c r="Z43" s="89" t="s">
        <v>60</v>
      </c>
      <c r="AA43" s="97">
        <v>46157</v>
      </c>
      <c r="AB43" s="89" t="s">
        <v>110</v>
      </c>
      <c r="AC43" s="120"/>
      <c r="AD43" s="89"/>
      <c r="AE43" s="89"/>
      <c r="AF43" s="99"/>
      <c r="AG43" s="99"/>
      <c r="AH43" s="99"/>
      <c r="AI43" s="100" t="s">
        <v>62</v>
      </c>
      <c r="AJ43" s="100" t="s">
        <v>62</v>
      </c>
      <c r="AK43" s="100" t="s">
        <v>62</v>
      </c>
      <c r="AL43" s="45" t="s">
        <v>64</v>
      </c>
      <c r="AM43" s="198" t="str">
        <f t="shared" si="0"/>
        <v>3/2026</v>
      </c>
      <c r="AN43" s="45">
        <f t="shared" si="1"/>
        <v>2</v>
      </c>
      <c r="AO43" s="45" t="str">
        <f t="shared" si="2"/>
        <v>4/2026</v>
      </c>
      <c r="AP43" s="45">
        <f t="shared" si="3"/>
        <v>5</v>
      </c>
      <c r="AQ43" s="45">
        <f t="shared" si="4"/>
        <v>51</v>
      </c>
      <c r="AR43" s="45">
        <f t="shared" si="5"/>
        <v>0</v>
      </c>
      <c r="AS43" s="45">
        <f t="shared" si="6"/>
        <v>15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220" t="s">
        <v>181</v>
      </c>
      <c r="G44" s="92">
        <v>61054178704</v>
      </c>
      <c r="H44" s="93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4" t="s">
        <v>182</v>
      </c>
      <c r="P44" s="95" t="s">
        <v>55</v>
      </c>
      <c r="Q44" s="144" t="s">
        <v>136</v>
      </c>
      <c r="R44" s="96"/>
      <c r="S44" s="97">
        <v>46150</v>
      </c>
      <c r="T44" s="97" t="s">
        <v>183</v>
      </c>
      <c r="U44" s="97" t="s">
        <v>58</v>
      </c>
      <c r="V44" s="93">
        <v>46111</v>
      </c>
      <c r="W44" s="93">
        <v>46126</v>
      </c>
      <c r="X44" s="93">
        <v>46141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198" t="str">
        <f t="shared" si="0"/>
        <v>3/2026</v>
      </c>
      <c r="AN44" s="45">
        <f t="shared" si="1"/>
        <v>2</v>
      </c>
      <c r="AO44" s="45" t="str">
        <f t="shared" si="2"/>
        <v>1/1900</v>
      </c>
      <c r="AP44" s="45" t="e">
        <f t="shared" si="3"/>
        <v>#NUM!</v>
      </c>
      <c r="AQ44" s="45">
        <f t="shared" si="4"/>
        <v>0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220" t="s">
        <v>184</v>
      </c>
      <c r="G45" s="92">
        <v>52804712753</v>
      </c>
      <c r="H45" s="93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4" t="s">
        <v>185</v>
      </c>
      <c r="P45" s="95" t="s">
        <v>55</v>
      </c>
      <c r="Q45" s="144" t="s">
        <v>70</v>
      </c>
      <c r="R45" s="96">
        <v>46141</v>
      </c>
      <c r="S45" s="97"/>
      <c r="T45" s="97" t="s">
        <v>57</v>
      </c>
      <c r="U45" s="97" t="s">
        <v>71</v>
      </c>
      <c r="V45" s="93">
        <v>46111</v>
      </c>
      <c r="W45" s="93">
        <v>46126</v>
      </c>
      <c r="X45" s="93">
        <v>46141</v>
      </c>
      <c r="Y45" s="98"/>
      <c r="Z45" s="89" t="s">
        <v>60</v>
      </c>
      <c r="AA45" s="97">
        <v>46157</v>
      </c>
      <c r="AB45" s="89" t="s">
        <v>110</v>
      </c>
      <c r="AC45" s="120"/>
      <c r="AD45" s="89"/>
      <c r="AE45" s="89"/>
      <c r="AF45" s="99"/>
      <c r="AG45" s="99"/>
      <c r="AH45" s="99"/>
      <c r="AI45" s="100" t="s">
        <v>62</v>
      </c>
      <c r="AJ45" s="100" t="s">
        <v>62</v>
      </c>
      <c r="AK45" s="100" t="s">
        <v>62</v>
      </c>
      <c r="AL45" s="45" t="s">
        <v>64</v>
      </c>
      <c r="AM45" s="198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5</v>
      </c>
      <c r="AQ45" s="45">
        <f t="shared" si="4"/>
        <v>51</v>
      </c>
      <c r="AR45" s="45">
        <f t="shared" si="5"/>
        <v>0</v>
      </c>
      <c r="AS45" s="45">
        <f t="shared" si="6"/>
        <v>15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hidden="1" customHeight="1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220" t="s">
        <v>186</v>
      </c>
      <c r="G46" s="92">
        <v>73309648753</v>
      </c>
      <c r="H46" s="93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4" t="s">
        <v>187</v>
      </c>
      <c r="P46" s="95" t="s">
        <v>55</v>
      </c>
      <c r="Q46" s="144" t="s">
        <v>70</v>
      </c>
      <c r="R46" s="96">
        <v>46141</v>
      </c>
      <c r="S46" s="97"/>
      <c r="T46" s="97" t="s">
        <v>57</v>
      </c>
      <c r="U46" s="97" t="s">
        <v>71</v>
      </c>
      <c r="V46" s="93">
        <v>46111</v>
      </c>
      <c r="W46" s="93">
        <v>46126</v>
      </c>
      <c r="X46" s="93">
        <v>46141</v>
      </c>
      <c r="Y46" s="98"/>
      <c r="Z46" s="89" t="s">
        <v>60</v>
      </c>
      <c r="AA46" s="97">
        <v>46157</v>
      </c>
      <c r="AB46" s="89" t="s">
        <v>110</v>
      </c>
      <c r="AC46" s="120"/>
      <c r="AD46" s="89"/>
      <c r="AE46" s="89"/>
      <c r="AF46" s="99"/>
      <c r="AG46" s="99"/>
      <c r="AH46" s="99"/>
      <c r="AI46" s="100" t="s">
        <v>62</v>
      </c>
      <c r="AJ46" s="100" t="s">
        <v>62</v>
      </c>
      <c r="AK46" s="100" t="s">
        <v>62</v>
      </c>
      <c r="AL46" s="45" t="s">
        <v>64</v>
      </c>
      <c r="AM46" s="198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5</v>
      </c>
      <c r="AQ46" s="45">
        <f t="shared" si="4"/>
        <v>51</v>
      </c>
      <c r="AR46" s="45">
        <f t="shared" si="5"/>
        <v>0</v>
      </c>
      <c r="AS46" s="45">
        <f t="shared" si="6"/>
        <v>15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220" t="s">
        <v>188</v>
      </c>
      <c r="G47" s="92">
        <v>36398292987</v>
      </c>
      <c r="H47" s="93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4" t="s">
        <v>189</v>
      </c>
      <c r="P47" s="95" t="s">
        <v>55</v>
      </c>
      <c r="Q47" s="144" t="s">
        <v>70</v>
      </c>
      <c r="R47" s="96">
        <v>46141</v>
      </c>
      <c r="S47" s="97"/>
      <c r="T47" s="97" t="s">
        <v>57</v>
      </c>
      <c r="U47" s="97" t="s">
        <v>71</v>
      </c>
      <c r="V47" s="93">
        <v>46111</v>
      </c>
      <c r="W47" s="93">
        <v>46126</v>
      </c>
      <c r="X47" s="93">
        <v>46141</v>
      </c>
      <c r="Y47" s="98"/>
      <c r="Z47" s="89" t="s">
        <v>60</v>
      </c>
      <c r="AA47" s="97">
        <v>46157</v>
      </c>
      <c r="AB47" s="89" t="s">
        <v>110</v>
      </c>
      <c r="AC47" s="120"/>
      <c r="AD47" s="89"/>
      <c r="AE47" s="89"/>
      <c r="AF47" s="99"/>
      <c r="AG47" s="99"/>
      <c r="AH47" s="99"/>
      <c r="AI47" s="100" t="s">
        <v>62</v>
      </c>
      <c r="AJ47" s="100" t="s">
        <v>62</v>
      </c>
      <c r="AK47" s="100" t="s">
        <v>62</v>
      </c>
      <c r="AL47" s="45" t="s">
        <v>64</v>
      </c>
      <c r="AM47" s="198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5</v>
      </c>
      <c r="AQ47" s="45">
        <f t="shared" si="4"/>
        <v>51</v>
      </c>
      <c r="AR47" s="45">
        <f t="shared" si="5"/>
        <v>0</v>
      </c>
      <c r="AS47" s="45">
        <f t="shared" si="6"/>
        <v>15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220" t="s">
        <v>190</v>
      </c>
      <c r="G48" s="92">
        <v>2969405776</v>
      </c>
      <c r="H48" s="93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4" t="s">
        <v>191</v>
      </c>
      <c r="P48" s="95" t="s">
        <v>55</v>
      </c>
      <c r="Q48" s="144" t="s">
        <v>70</v>
      </c>
      <c r="R48" s="96">
        <v>46171</v>
      </c>
      <c r="S48" s="97"/>
      <c r="T48" s="97" t="s">
        <v>57</v>
      </c>
      <c r="U48" s="97" t="s">
        <v>71</v>
      </c>
      <c r="V48" s="93">
        <v>46111</v>
      </c>
      <c r="W48" s="93">
        <v>46126</v>
      </c>
      <c r="X48" s="93">
        <v>46141</v>
      </c>
      <c r="Y48" s="98"/>
      <c r="Z48" s="89" t="s">
        <v>60</v>
      </c>
      <c r="AA48" s="97">
        <v>46178</v>
      </c>
      <c r="AB48" s="89" t="s">
        <v>110</v>
      </c>
      <c r="AC48" s="120"/>
      <c r="AD48" s="89"/>
      <c r="AE48" s="89"/>
      <c r="AF48" s="99"/>
      <c r="AG48" s="99"/>
      <c r="AH48" s="99"/>
      <c r="AI48" s="100"/>
      <c r="AJ48" s="100" t="s">
        <v>62</v>
      </c>
      <c r="AK48" s="100" t="s">
        <v>47</v>
      </c>
      <c r="AL48" s="45" t="s">
        <v>64</v>
      </c>
      <c r="AM48" s="198" t="str">
        <f t="shared" si="0"/>
        <v>3/2026</v>
      </c>
      <c r="AN48" s="45">
        <f t="shared" si="1"/>
        <v>2</v>
      </c>
      <c r="AO48" s="45" t="str">
        <f t="shared" si="2"/>
        <v>5/2026</v>
      </c>
      <c r="AP48" s="45">
        <f t="shared" si="3"/>
        <v>5</v>
      </c>
      <c r="AQ48" s="45">
        <f t="shared" si="4"/>
        <v>81</v>
      </c>
      <c r="AR48" s="45">
        <f t="shared" si="5"/>
        <v>0</v>
      </c>
      <c r="AS48" s="45">
        <f t="shared" si="6"/>
        <v>15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hidden="1" customHeight="1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220" t="s">
        <v>192</v>
      </c>
      <c r="G49" s="92">
        <v>71721754768</v>
      </c>
      <c r="H49" s="93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4" t="s">
        <v>193</v>
      </c>
      <c r="P49" s="95" t="s">
        <v>55</v>
      </c>
      <c r="Q49" s="144" t="s">
        <v>70</v>
      </c>
      <c r="R49" s="96">
        <v>46141</v>
      </c>
      <c r="S49" s="97"/>
      <c r="T49" s="97" t="s">
        <v>57</v>
      </c>
      <c r="U49" s="97" t="s">
        <v>71</v>
      </c>
      <c r="V49" s="93">
        <v>46111</v>
      </c>
      <c r="W49" s="93">
        <v>46126</v>
      </c>
      <c r="X49" s="93">
        <v>46141</v>
      </c>
      <c r="Y49" s="98"/>
      <c r="Z49" s="89" t="s">
        <v>60</v>
      </c>
      <c r="AA49" s="97">
        <v>46157</v>
      </c>
      <c r="AB49" s="89" t="s">
        <v>110</v>
      </c>
      <c r="AC49" s="120"/>
      <c r="AD49" s="89"/>
      <c r="AE49" s="89"/>
      <c r="AF49" s="99"/>
      <c r="AG49" s="99"/>
      <c r="AH49" s="99"/>
      <c r="AI49" s="100" t="s">
        <v>62</v>
      </c>
      <c r="AJ49" s="100" t="s">
        <v>62</v>
      </c>
      <c r="AK49" s="100" t="s">
        <v>62</v>
      </c>
      <c r="AL49" s="45" t="s">
        <v>64</v>
      </c>
      <c r="AM49" s="198" t="str">
        <f t="shared" si="0"/>
        <v>3/2026</v>
      </c>
      <c r="AN49" s="45">
        <f t="shared" si="1"/>
        <v>2</v>
      </c>
      <c r="AO49" s="45" t="str">
        <f t="shared" si="2"/>
        <v>4/2026</v>
      </c>
      <c r="AP49" s="45">
        <f t="shared" si="3"/>
        <v>5</v>
      </c>
      <c r="AQ49" s="45">
        <f t="shared" si="4"/>
        <v>51</v>
      </c>
      <c r="AR49" s="45">
        <f t="shared" si="5"/>
        <v>0</v>
      </c>
      <c r="AS49" s="45">
        <f t="shared" si="6"/>
        <v>15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220" t="s">
        <v>194</v>
      </c>
      <c r="G50" s="92">
        <v>80657230715</v>
      </c>
      <c r="H50" s="93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4" t="s">
        <v>195</v>
      </c>
      <c r="P50" s="95" t="s">
        <v>55</v>
      </c>
      <c r="Q50" s="144" t="s">
        <v>70</v>
      </c>
      <c r="R50" s="96">
        <v>46141</v>
      </c>
      <c r="S50" s="97"/>
      <c r="T50" s="97" t="s">
        <v>57</v>
      </c>
      <c r="U50" s="97" t="s">
        <v>71</v>
      </c>
      <c r="V50" s="93">
        <v>46111</v>
      </c>
      <c r="W50" s="93">
        <v>46126</v>
      </c>
      <c r="X50" s="93">
        <v>46141</v>
      </c>
      <c r="Y50" s="98"/>
      <c r="Z50" s="89" t="s">
        <v>60</v>
      </c>
      <c r="AA50" s="97">
        <v>46157</v>
      </c>
      <c r="AB50" s="89" t="s">
        <v>110</v>
      </c>
      <c r="AC50" s="120"/>
      <c r="AD50" s="89"/>
      <c r="AE50" s="89"/>
      <c r="AF50" s="99"/>
      <c r="AG50" s="99"/>
      <c r="AH50" s="99"/>
      <c r="AI50" s="100" t="s">
        <v>62</v>
      </c>
      <c r="AJ50" s="100" t="s">
        <v>62</v>
      </c>
      <c r="AK50" s="100" t="s">
        <v>62</v>
      </c>
      <c r="AL50" s="45" t="s">
        <v>64</v>
      </c>
      <c r="AM50" s="198" t="str">
        <f t="shared" si="0"/>
        <v>3/2026</v>
      </c>
      <c r="AN50" s="45">
        <f t="shared" si="1"/>
        <v>2</v>
      </c>
      <c r="AO50" s="45" t="str">
        <f t="shared" si="2"/>
        <v>4/2026</v>
      </c>
      <c r="AP50" s="45">
        <f t="shared" si="3"/>
        <v>5</v>
      </c>
      <c r="AQ50" s="45">
        <f t="shared" si="4"/>
        <v>51</v>
      </c>
      <c r="AR50" s="45">
        <f t="shared" si="5"/>
        <v>0</v>
      </c>
      <c r="AS50" s="45">
        <f t="shared" si="6"/>
        <v>15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hidden="1" customHeight="1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220" t="s">
        <v>196</v>
      </c>
      <c r="G51" s="92">
        <v>93847610791</v>
      </c>
      <c r="H51" s="93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4" t="s">
        <v>197</v>
      </c>
      <c r="P51" s="95" t="s">
        <v>55</v>
      </c>
      <c r="Q51" s="144" t="s">
        <v>136</v>
      </c>
      <c r="R51" s="96"/>
      <c r="S51" s="97">
        <v>46150</v>
      </c>
      <c r="T51" s="97" t="s">
        <v>183</v>
      </c>
      <c r="U51" s="97" t="s">
        <v>58</v>
      </c>
      <c r="V51" s="93">
        <v>46111</v>
      </c>
      <c r="W51" s="93">
        <v>46126</v>
      </c>
      <c r="X51" s="93">
        <v>46141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198" t="str">
        <f t="shared" si="0"/>
        <v>3/2026</v>
      </c>
      <c r="AN51" s="45">
        <f t="shared" si="1"/>
        <v>2</v>
      </c>
      <c r="AO51" s="45" t="str">
        <f t="shared" si="2"/>
        <v>1/1900</v>
      </c>
      <c r="AP51" s="45" t="e">
        <f t="shared" si="3"/>
        <v>#NUM!</v>
      </c>
      <c r="AQ51" s="45">
        <f t="shared" si="4"/>
        <v>0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220" t="s">
        <v>198</v>
      </c>
      <c r="G52" s="92">
        <v>28049786803</v>
      </c>
      <c r="H52" s="93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4" t="s">
        <v>199</v>
      </c>
      <c r="P52" s="95" t="s">
        <v>55</v>
      </c>
      <c r="Q52" s="144" t="s">
        <v>70</v>
      </c>
      <c r="R52" s="96">
        <v>46141</v>
      </c>
      <c r="S52" s="97"/>
      <c r="T52" s="97" t="s">
        <v>57</v>
      </c>
      <c r="U52" s="97" t="s">
        <v>71</v>
      </c>
      <c r="V52" s="93">
        <v>46111</v>
      </c>
      <c r="W52" s="93">
        <v>46126</v>
      </c>
      <c r="X52" s="93">
        <v>46141</v>
      </c>
      <c r="Y52" s="98"/>
      <c r="Z52" s="89" t="s">
        <v>60</v>
      </c>
      <c r="AA52" s="97">
        <v>46157</v>
      </c>
      <c r="AB52" s="89" t="s">
        <v>110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62</v>
      </c>
      <c r="AK52" s="100" t="s">
        <v>62</v>
      </c>
      <c r="AL52" s="45" t="s">
        <v>64</v>
      </c>
      <c r="AM52" s="198" t="str">
        <f t="shared" si="0"/>
        <v>3/2026</v>
      </c>
      <c r="AN52" s="45">
        <f t="shared" si="1"/>
        <v>2</v>
      </c>
      <c r="AO52" s="45" t="str">
        <f t="shared" si="2"/>
        <v>4/2026</v>
      </c>
      <c r="AP52" s="45">
        <f t="shared" si="3"/>
        <v>5</v>
      </c>
      <c r="AQ52" s="45">
        <f t="shared" si="4"/>
        <v>51</v>
      </c>
      <c r="AR52" s="45">
        <f t="shared" si="5"/>
        <v>0</v>
      </c>
      <c r="AS52" s="45">
        <f t="shared" si="6"/>
        <v>15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220" t="s">
        <v>200</v>
      </c>
      <c r="G53" s="92">
        <v>22291474391</v>
      </c>
      <c r="H53" s="93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4" t="s">
        <v>201</v>
      </c>
      <c r="P53" s="95" t="s">
        <v>55</v>
      </c>
      <c r="Q53" s="144" t="s">
        <v>70</v>
      </c>
      <c r="R53" s="96">
        <v>46141</v>
      </c>
      <c r="S53" s="97"/>
      <c r="T53" s="97" t="s">
        <v>57</v>
      </c>
      <c r="U53" s="97" t="s">
        <v>71</v>
      </c>
      <c r="V53" s="93">
        <v>46111</v>
      </c>
      <c r="W53" s="93">
        <v>46126</v>
      </c>
      <c r="X53" s="93">
        <v>46141</v>
      </c>
      <c r="Y53" s="98"/>
      <c r="Z53" s="89" t="s">
        <v>60</v>
      </c>
      <c r="AA53" s="97">
        <v>46157</v>
      </c>
      <c r="AB53" s="89" t="s">
        <v>110</v>
      </c>
      <c r="AC53" s="120"/>
      <c r="AD53" s="89"/>
      <c r="AE53" s="89"/>
      <c r="AF53" s="99"/>
      <c r="AG53" s="99"/>
      <c r="AH53" s="99"/>
      <c r="AI53" s="100" t="s">
        <v>62</v>
      </c>
      <c r="AJ53" s="100" t="s">
        <v>62</v>
      </c>
      <c r="AK53" s="100" t="s">
        <v>62</v>
      </c>
      <c r="AL53" s="45" t="s">
        <v>64</v>
      </c>
      <c r="AM53" s="198" t="str">
        <f t="shared" si="0"/>
        <v>3/2026</v>
      </c>
      <c r="AN53" s="45">
        <f t="shared" si="1"/>
        <v>2</v>
      </c>
      <c r="AO53" s="45" t="str">
        <f t="shared" si="2"/>
        <v>4/2026</v>
      </c>
      <c r="AP53" s="45">
        <f t="shared" si="3"/>
        <v>5</v>
      </c>
      <c r="AQ53" s="45">
        <f t="shared" si="4"/>
        <v>51</v>
      </c>
      <c r="AR53" s="45">
        <f t="shared" si="5"/>
        <v>0</v>
      </c>
      <c r="AS53" s="45">
        <f t="shared" si="6"/>
        <v>15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hidden="1" customHeight="1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220" t="s">
        <v>202</v>
      </c>
      <c r="G54" s="92">
        <v>99639017868</v>
      </c>
      <c r="H54" s="93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4" t="s">
        <v>203</v>
      </c>
      <c r="P54" s="95" t="s">
        <v>55</v>
      </c>
      <c r="Q54" s="144" t="s">
        <v>136</v>
      </c>
      <c r="R54" s="96"/>
      <c r="S54" s="97">
        <v>46150</v>
      </c>
      <c r="T54" s="97" t="s">
        <v>183</v>
      </c>
      <c r="U54" s="97" t="s">
        <v>58</v>
      </c>
      <c r="V54" s="93">
        <v>46111</v>
      </c>
      <c r="W54" s="93">
        <v>46126</v>
      </c>
      <c r="X54" s="93">
        <v>46141</v>
      </c>
      <c r="Y54" s="98"/>
      <c r="Z54" s="89"/>
      <c r="AA54" s="97"/>
      <c r="AB54" s="89"/>
      <c r="AC54" s="120"/>
      <c r="AD54" s="89"/>
      <c r="AE54" s="89"/>
      <c r="AF54" s="99"/>
      <c r="AG54" s="99"/>
      <c r="AH54" s="99"/>
      <c r="AI54" s="100"/>
      <c r="AJ54" s="100"/>
      <c r="AK54" s="100"/>
      <c r="AL54" s="45" t="s">
        <v>64</v>
      </c>
      <c r="AM54" s="198" t="str">
        <f t="shared" si="0"/>
        <v>3/2026</v>
      </c>
      <c r="AN54" s="45">
        <f t="shared" si="1"/>
        <v>2</v>
      </c>
      <c r="AO54" s="45" t="str">
        <f t="shared" si="2"/>
        <v>1/1900</v>
      </c>
      <c r="AP54" s="45" t="e">
        <f t="shared" si="3"/>
        <v>#NUM!</v>
      </c>
      <c r="AQ54" s="45">
        <f t="shared" si="4"/>
        <v>0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hidden="1" customHeight="1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220" t="s">
        <v>204</v>
      </c>
      <c r="G55" s="92">
        <v>23100958772</v>
      </c>
      <c r="H55" s="93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4" t="s">
        <v>205</v>
      </c>
      <c r="P55" s="95" t="s">
        <v>55</v>
      </c>
      <c r="Q55" s="144" t="s">
        <v>70</v>
      </c>
      <c r="R55" s="96">
        <v>46141</v>
      </c>
      <c r="S55" s="97"/>
      <c r="T55" s="97" t="s">
        <v>57</v>
      </c>
      <c r="U55" s="97" t="s">
        <v>71</v>
      </c>
      <c r="V55" s="93">
        <v>46111</v>
      </c>
      <c r="W55" s="93">
        <v>46126</v>
      </c>
      <c r="X55" s="93">
        <v>46141</v>
      </c>
      <c r="Y55" s="98"/>
      <c r="Z55" s="89" t="s">
        <v>60</v>
      </c>
      <c r="AA55" s="97">
        <v>46157</v>
      </c>
      <c r="AB55" s="89" t="s">
        <v>110</v>
      </c>
      <c r="AC55" s="120"/>
      <c r="AD55" s="89"/>
      <c r="AE55" s="89"/>
      <c r="AF55" s="99"/>
      <c r="AG55" s="99"/>
      <c r="AH55" s="99"/>
      <c r="AI55" s="100" t="s">
        <v>62</v>
      </c>
      <c r="AJ55" s="100" t="s">
        <v>62</v>
      </c>
      <c r="AK55" s="100" t="s">
        <v>62</v>
      </c>
      <c r="AL55" s="45" t="s">
        <v>64</v>
      </c>
      <c r="AM55" s="198" t="str">
        <f t="shared" si="0"/>
        <v>3/2026</v>
      </c>
      <c r="AN55" s="45">
        <f t="shared" si="1"/>
        <v>2</v>
      </c>
      <c r="AO55" s="45" t="str">
        <f t="shared" si="2"/>
        <v>4/2026</v>
      </c>
      <c r="AP55" s="45">
        <f t="shared" si="3"/>
        <v>5</v>
      </c>
      <c r="AQ55" s="45">
        <f t="shared" si="4"/>
        <v>51</v>
      </c>
      <c r="AR55" s="45">
        <f t="shared" si="5"/>
        <v>0</v>
      </c>
      <c r="AS55" s="45">
        <f t="shared" si="6"/>
        <v>15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220" t="s">
        <v>206</v>
      </c>
      <c r="G56" s="92">
        <v>74810669734</v>
      </c>
      <c r="H56" s="93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4" t="s">
        <v>207</v>
      </c>
      <c r="P56" s="95" t="s">
        <v>55</v>
      </c>
      <c r="Q56" s="144" t="s">
        <v>136</v>
      </c>
      <c r="R56" s="96"/>
      <c r="S56" s="97">
        <v>46150</v>
      </c>
      <c r="T56" s="97" t="s">
        <v>183</v>
      </c>
      <c r="U56" s="97" t="s">
        <v>58</v>
      </c>
      <c r="V56" s="93">
        <v>46111</v>
      </c>
      <c r="W56" s="93">
        <v>46126</v>
      </c>
      <c r="X56" s="93">
        <v>46141</v>
      </c>
      <c r="Y56" s="98"/>
      <c r="Z56" s="89"/>
      <c r="AA56" s="97"/>
      <c r="AB56" s="89"/>
      <c r="AC56" s="120"/>
      <c r="AD56" s="89"/>
      <c r="AE56" s="89"/>
      <c r="AF56" s="99"/>
      <c r="AG56" s="99"/>
      <c r="AH56" s="99"/>
      <c r="AI56" s="100"/>
      <c r="AJ56" s="100"/>
      <c r="AK56" s="100"/>
      <c r="AL56" s="45" t="s">
        <v>64</v>
      </c>
      <c r="AM56" s="198" t="str">
        <f t="shared" si="0"/>
        <v>3/2026</v>
      </c>
      <c r="AN56" s="45">
        <f t="shared" si="1"/>
        <v>2</v>
      </c>
      <c r="AO56" s="45" t="str">
        <f t="shared" si="2"/>
        <v>1/1900</v>
      </c>
      <c r="AP56" s="45" t="e">
        <f t="shared" si="3"/>
        <v>#NUM!</v>
      </c>
      <c r="AQ56" s="45">
        <f t="shared" si="4"/>
        <v>0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hidden="1" customHeight="1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220" t="s">
        <v>208</v>
      </c>
      <c r="G57" s="92">
        <v>22008044823</v>
      </c>
      <c r="H57" s="93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4" t="s">
        <v>209</v>
      </c>
      <c r="P57" s="95" t="s">
        <v>55</v>
      </c>
      <c r="Q57" s="144" t="s">
        <v>70</v>
      </c>
      <c r="R57" s="96">
        <v>46141</v>
      </c>
      <c r="S57" s="97"/>
      <c r="T57" s="97" t="s">
        <v>57</v>
      </c>
      <c r="U57" s="97" t="s">
        <v>71</v>
      </c>
      <c r="V57" s="93">
        <v>46111</v>
      </c>
      <c r="W57" s="93">
        <v>46126</v>
      </c>
      <c r="X57" s="93">
        <v>46141</v>
      </c>
      <c r="Y57" s="98"/>
      <c r="Z57" s="89" t="s">
        <v>60</v>
      </c>
      <c r="AA57" s="97">
        <v>46157</v>
      </c>
      <c r="AB57" s="89" t="s">
        <v>110</v>
      </c>
      <c r="AC57" s="120"/>
      <c r="AD57" s="89"/>
      <c r="AE57" s="89"/>
      <c r="AF57" s="99"/>
      <c r="AG57" s="99"/>
      <c r="AH57" s="99"/>
      <c r="AI57" s="100" t="s">
        <v>62</v>
      </c>
      <c r="AJ57" s="100" t="s">
        <v>62</v>
      </c>
      <c r="AK57" s="100" t="s">
        <v>62</v>
      </c>
      <c r="AL57" s="45" t="s">
        <v>64</v>
      </c>
      <c r="AM57" s="198" t="str">
        <f t="shared" si="0"/>
        <v>3/2026</v>
      </c>
      <c r="AN57" s="45">
        <f t="shared" si="1"/>
        <v>2</v>
      </c>
      <c r="AO57" s="45" t="str">
        <f t="shared" si="2"/>
        <v>4/2026</v>
      </c>
      <c r="AP57" s="45">
        <f t="shared" si="3"/>
        <v>5</v>
      </c>
      <c r="AQ57" s="45">
        <f t="shared" si="4"/>
        <v>51</v>
      </c>
      <c r="AR57" s="45">
        <f t="shared" si="5"/>
        <v>0</v>
      </c>
      <c r="AS57" s="45">
        <f t="shared" si="6"/>
        <v>15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hidden="1" customHeight="1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220" t="s">
        <v>210</v>
      </c>
      <c r="G58" s="92">
        <v>15677176753</v>
      </c>
      <c r="H58" s="93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4" t="s">
        <v>211</v>
      </c>
      <c r="P58" s="95" t="s">
        <v>55</v>
      </c>
      <c r="Q58" s="144" t="s">
        <v>136</v>
      </c>
      <c r="R58" s="96"/>
      <c r="S58" s="97">
        <v>46150</v>
      </c>
      <c r="T58" s="97" t="s">
        <v>183</v>
      </c>
      <c r="U58" s="97" t="s">
        <v>58</v>
      </c>
      <c r="V58" s="93">
        <v>46111</v>
      </c>
      <c r="W58" s="93">
        <v>46126</v>
      </c>
      <c r="X58" s="93">
        <v>46141</v>
      </c>
      <c r="Y58" s="98"/>
      <c r="Z58" s="89"/>
      <c r="AA58" s="97"/>
      <c r="AB58" s="89"/>
      <c r="AC58" s="120"/>
      <c r="AD58" s="89"/>
      <c r="AE58" s="89"/>
      <c r="AF58" s="99"/>
      <c r="AG58" s="99"/>
      <c r="AH58" s="99"/>
      <c r="AI58" s="100"/>
      <c r="AJ58" s="100"/>
      <c r="AK58" s="100"/>
      <c r="AL58" s="45" t="s">
        <v>64</v>
      </c>
      <c r="AM58" s="198" t="str">
        <f t="shared" si="0"/>
        <v>3/2026</v>
      </c>
      <c r="AN58" s="45">
        <f t="shared" si="1"/>
        <v>2</v>
      </c>
      <c r="AO58" s="45" t="str">
        <f t="shared" si="2"/>
        <v>1/1900</v>
      </c>
      <c r="AP58" s="45" t="e">
        <f t="shared" si="3"/>
        <v>#NUM!</v>
      </c>
      <c r="AQ58" s="45">
        <f t="shared" si="4"/>
        <v>0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220" t="s">
        <v>212</v>
      </c>
      <c r="G59" s="92">
        <v>34639969791</v>
      </c>
      <c r="H59" s="93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4" t="s">
        <v>213</v>
      </c>
      <c r="P59" s="95" t="s">
        <v>55</v>
      </c>
      <c r="Q59" s="144" t="s">
        <v>136</v>
      </c>
      <c r="R59" s="96"/>
      <c r="S59" s="97">
        <v>46150</v>
      </c>
      <c r="T59" s="97" t="s">
        <v>183</v>
      </c>
      <c r="U59" s="97" t="s">
        <v>58</v>
      </c>
      <c r="V59" s="93">
        <v>46111</v>
      </c>
      <c r="W59" s="93">
        <v>46126</v>
      </c>
      <c r="X59" s="93">
        <v>46141</v>
      </c>
      <c r="Y59" s="98"/>
      <c r="Z59" s="89"/>
      <c r="AA59" s="97"/>
      <c r="AB59" s="89"/>
      <c r="AC59" s="120"/>
      <c r="AD59" s="89"/>
      <c r="AE59" s="89"/>
      <c r="AF59" s="99"/>
      <c r="AG59" s="99"/>
      <c r="AH59" s="99"/>
      <c r="AI59" s="100"/>
      <c r="AJ59" s="100"/>
      <c r="AK59" s="100"/>
      <c r="AL59" s="45" t="s">
        <v>64</v>
      </c>
      <c r="AM59" s="198" t="str">
        <f t="shared" si="0"/>
        <v>3/2026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220" t="s">
        <v>214</v>
      </c>
      <c r="G60" s="92">
        <v>11071488716</v>
      </c>
      <c r="H60" s="93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4" t="s">
        <v>215</v>
      </c>
      <c r="P60" s="95" t="s">
        <v>55</v>
      </c>
      <c r="Q60" s="144" t="s">
        <v>70</v>
      </c>
      <c r="R60" s="96">
        <v>46073</v>
      </c>
      <c r="S60" s="97"/>
      <c r="T60" s="97" t="s">
        <v>57</v>
      </c>
      <c r="U60" s="97" t="s">
        <v>71</v>
      </c>
      <c r="V60" s="93">
        <v>46073</v>
      </c>
      <c r="W60" s="93" t="s">
        <v>72</v>
      </c>
      <c r="X60" s="93" t="s">
        <v>72</v>
      </c>
      <c r="Y60" s="98"/>
      <c r="Z60" s="89" t="s">
        <v>60</v>
      </c>
      <c r="AA60" s="97">
        <v>46105</v>
      </c>
      <c r="AB60" s="89" t="s">
        <v>61</v>
      </c>
      <c r="AC60" s="120"/>
      <c r="AD60" s="89" t="s">
        <v>73</v>
      </c>
      <c r="AE60" s="89">
        <v>69</v>
      </c>
      <c r="AF60" s="99" t="s">
        <v>100</v>
      </c>
      <c r="AG60" s="99"/>
      <c r="AH60" s="99" t="s">
        <v>75</v>
      </c>
      <c r="AI60" s="100" t="s">
        <v>62</v>
      </c>
      <c r="AJ60" s="100" t="s">
        <v>47</v>
      </c>
      <c r="AK60" s="100" t="s">
        <v>47</v>
      </c>
      <c r="AL60" s="45" t="s">
        <v>64</v>
      </c>
      <c r="AM60" s="198" t="str">
        <f t="shared" si="0"/>
        <v>3/2026</v>
      </c>
      <c r="AN60" s="45">
        <f t="shared" si="1"/>
        <v>2</v>
      </c>
      <c r="AO60" s="45" t="str">
        <f t="shared" si="2"/>
        <v>2/2026</v>
      </c>
      <c r="AP60" s="45">
        <f t="shared" si="3"/>
        <v>3</v>
      </c>
      <c r="AQ60" s="45">
        <f t="shared" si="4"/>
        <v>-18</v>
      </c>
      <c r="AR60" s="45">
        <f t="shared" si="5"/>
        <v>0</v>
      </c>
      <c r="AS60" s="45">
        <f t="shared" si="6"/>
        <v>0</v>
      </c>
      <c r="AT60" s="45">
        <f t="shared" si="7"/>
        <v>32</v>
      </c>
      <c r="AU60" s="45" t="str">
        <f>_xlfn.XLOOKUP(U60,'Lista Suspensa'!$AA$20:$AA$23,'Lista Suspensa'!$AB$20:$AB$23,"N/A")</f>
        <v>S</v>
      </c>
    </row>
    <row r="61" spans="1:47" ht="12" hidden="1" customHeight="1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220" t="s">
        <v>216</v>
      </c>
      <c r="G61" s="92">
        <v>1316777804</v>
      </c>
      <c r="H61" s="93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4" t="s">
        <v>217</v>
      </c>
      <c r="P61" s="95" t="s">
        <v>55</v>
      </c>
      <c r="Q61" s="144" t="s">
        <v>70</v>
      </c>
      <c r="R61" s="96">
        <v>46073</v>
      </c>
      <c r="S61" s="97"/>
      <c r="T61" s="97" t="s">
        <v>57</v>
      </c>
      <c r="U61" s="97" t="s">
        <v>71</v>
      </c>
      <c r="V61" s="93">
        <v>46073</v>
      </c>
      <c r="W61" s="93" t="s">
        <v>72</v>
      </c>
      <c r="X61" s="93" t="s">
        <v>72</v>
      </c>
      <c r="Y61" s="98"/>
      <c r="Z61" s="89" t="s">
        <v>60</v>
      </c>
      <c r="AA61" s="97">
        <v>46105.611111111109</v>
      </c>
      <c r="AB61" s="89" t="s">
        <v>61</v>
      </c>
      <c r="AC61" s="120"/>
      <c r="AD61" s="89" t="s">
        <v>73</v>
      </c>
      <c r="AE61" s="89">
        <v>69</v>
      </c>
      <c r="AF61" s="99" t="s">
        <v>100</v>
      </c>
      <c r="AG61" s="99"/>
      <c r="AH61" s="99" t="s">
        <v>75</v>
      </c>
      <c r="AI61" s="100" t="s">
        <v>62</v>
      </c>
      <c r="AJ61" s="100" t="s">
        <v>47</v>
      </c>
      <c r="AK61" s="100" t="s">
        <v>47</v>
      </c>
      <c r="AL61" s="45" t="s">
        <v>64</v>
      </c>
      <c r="AM61" s="198" t="str">
        <f t="shared" si="0"/>
        <v>3/2026</v>
      </c>
      <c r="AN61" s="45">
        <f t="shared" si="1"/>
        <v>2</v>
      </c>
      <c r="AO61" s="45" t="str">
        <f t="shared" si="2"/>
        <v>2/2026</v>
      </c>
      <c r="AP61" s="45">
        <f t="shared" si="3"/>
        <v>3</v>
      </c>
      <c r="AQ61" s="45">
        <f t="shared" si="4"/>
        <v>-18</v>
      </c>
      <c r="AR61" s="45">
        <f t="shared" si="5"/>
        <v>0</v>
      </c>
      <c r="AS61" s="45">
        <f t="shared" si="6"/>
        <v>0</v>
      </c>
      <c r="AT61" s="45">
        <f t="shared" si="7"/>
        <v>32.611111111109494</v>
      </c>
      <c r="AU61" s="45" t="str">
        <f>_xlfn.XLOOKUP(U61,'Lista Suspensa'!$AA$20:$AA$23,'Lista Suspensa'!$AB$20:$AB$23,"N/A")</f>
        <v>S</v>
      </c>
    </row>
    <row r="62" spans="1:47" ht="12" hidden="1" customHeight="1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220" t="s">
        <v>218</v>
      </c>
      <c r="G62" s="92">
        <v>6422450885</v>
      </c>
      <c r="H62" s="93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4" t="s">
        <v>219</v>
      </c>
      <c r="P62" s="95" t="s">
        <v>55</v>
      </c>
      <c r="Q62" s="144" t="s">
        <v>70</v>
      </c>
      <c r="R62" s="96">
        <v>46073</v>
      </c>
      <c r="S62" s="97"/>
      <c r="T62" s="97" t="s">
        <v>57</v>
      </c>
      <c r="U62" s="97" t="s">
        <v>71</v>
      </c>
      <c r="V62" s="93">
        <v>46073</v>
      </c>
      <c r="W62" s="93" t="s">
        <v>72</v>
      </c>
      <c r="X62" s="93" t="s">
        <v>72</v>
      </c>
      <c r="Y62" s="98"/>
      <c r="Z62" s="89" t="s">
        <v>60</v>
      </c>
      <c r="AA62" s="97">
        <v>46106.597222222219</v>
      </c>
      <c r="AB62" s="89" t="s">
        <v>61</v>
      </c>
      <c r="AC62" s="120"/>
      <c r="AD62" s="89" t="s">
        <v>85</v>
      </c>
      <c r="AE62" s="89">
        <v>57</v>
      </c>
      <c r="AF62" s="99" t="s">
        <v>220</v>
      </c>
      <c r="AG62" s="99"/>
      <c r="AH62" s="99" t="s">
        <v>75</v>
      </c>
      <c r="AI62" s="100" t="s">
        <v>62</v>
      </c>
      <c r="AJ62" s="100" t="s">
        <v>47</v>
      </c>
      <c r="AK62" s="100" t="s">
        <v>47</v>
      </c>
      <c r="AL62" s="45" t="s">
        <v>64</v>
      </c>
      <c r="AM62" s="198" t="str">
        <f t="shared" si="0"/>
        <v>3/2026</v>
      </c>
      <c r="AN62" s="45">
        <f t="shared" si="1"/>
        <v>2</v>
      </c>
      <c r="AO62" s="45" t="str">
        <f t="shared" si="2"/>
        <v>2/2026</v>
      </c>
      <c r="AP62" s="45">
        <f t="shared" si="3"/>
        <v>3</v>
      </c>
      <c r="AQ62" s="45">
        <f t="shared" si="4"/>
        <v>-18</v>
      </c>
      <c r="AR62" s="45">
        <f t="shared" si="5"/>
        <v>0</v>
      </c>
      <c r="AS62" s="45">
        <f t="shared" si="6"/>
        <v>0</v>
      </c>
      <c r="AT62" s="45">
        <f t="shared" si="7"/>
        <v>33.597222222218988</v>
      </c>
      <c r="AU62" s="45" t="str">
        <f>_xlfn.XLOOKUP(U62,'Lista Suspensa'!$AA$20:$AA$23,'Lista Suspensa'!$AB$20:$AB$23,"N/A")</f>
        <v>S</v>
      </c>
    </row>
    <row r="63" spans="1:47" ht="12" hidden="1" customHeight="1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220" t="s">
        <v>221</v>
      </c>
      <c r="G63" s="92">
        <v>6018196832</v>
      </c>
      <c r="H63" s="93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4" t="s">
        <v>222</v>
      </c>
      <c r="P63" s="95" t="s">
        <v>55</v>
      </c>
      <c r="Q63" s="144" t="s">
        <v>70</v>
      </c>
      <c r="R63" s="96">
        <v>46128</v>
      </c>
      <c r="S63" s="97"/>
      <c r="T63" s="97" t="s">
        <v>57</v>
      </c>
      <c r="U63" s="97" t="s">
        <v>71</v>
      </c>
      <c r="V63" s="93">
        <v>46097</v>
      </c>
      <c r="W63" s="93">
        <v>46126</v>
      </c>
      <c r="X63" s="93">
        <v>46128</v>
      </c>
      <c r="Y63" s="98"/>
      <c r="Z63" s="89" t="s">
        <v>60</v>
      </c>
      <c r="AA63" s="97">
        <v>46132</v>
      </c>
      <c r="AB63" s="89" t="s">
        <v>61</v>
      </c>
      <c r="AC63" s="120"/>
      <c r="AD63" s="89" t="s">
        <v>73</v>
      </c>
      <c r="AE63" s="89">
        <v>58</v>
      </c>
      <c r="AF63" s="99" t="s">
        <v>223</v>
      </c>
      <c r="AG63" s="99"/>
      <c r="AH63" s="99" t="s">
        <v>75</v>
      </c>
      <c r="AI63" s="100" t="s">
        <v>62</v>
      </c>
      <c r="AJ63" s="100" t="s">
        <v>47</v>
      </c>
      <c r="AK63" s="100" t="s">
        <v>47</v>
      </c>
      <c r="AL63" s="45" t="s">
        <v>64</v>
      </c>
      <c r="AM63" s="198" t="str">
        <f t="shared" si="0"/>
        <v>3/2026</v>
      </c>
      <c r="AN63" s="45">
        <f t="shared" si="1"/>
        <v>2</v>
      </c>
      <c r="AO63" s="45" t="str">
        <f t="shared" si="2"/>
        <v>4/2026</v>
      </c>
      <c r="AP63" s="45">
        <f t="shared" si="3"/>
        <v>3</v>
      </c>
      <c r="AQ63" s="45">
        <f t="shared" si="4"/>
        <v>37</v>
      </c>
      <c r="AR63" s="45">
        <f t="shared" si="5"/>
        <v>0</v>
      </c>
      <c r="AS63" s="45">
        <f t="shared" si="6"/>
        <v>15.5</v>
      </c>
      <c r="AT63" s="45">
        <f t="shared" si="7"/>
        <v>4</v>
      </c>
      <c r="AU63" s="45" t="str">
        <f>_xlfn.XLOOKUP(U63,'Lista Suspensa'!$AA$20:$AA$23,'Lista Suspensa'!$AB$20:$AB$23,"N/A")</f>
        <v>S</v>
      </c>
    </row>
    <row r="64" spans="1:47" ht="12" hidden="1" customHeight="1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220" t="s">
        <v>224</v>
      </c>
      <c r="G64" s="92">
        <v>9059498704</v>
      </c>
      <c r="H64" s="93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4" t="s">
        <v>225</v>
      </c>
      <c r="P64" s="95" t="s">
        <v>55</v>
      </c>
      <c r="Q64" s="144" t="s">
        <v>70</v>
      </c>
      <c r="R64" s="96">
        <v>46128</v>
      </c>
      <c r="S64" s="97"/>
      <c r="T64" s="97" t="s">
        <v>57</v>
      </c>
      <c r="U64" s="97" t="s">
        <v>71</v>
      </c>
      <c r="V64" s="93">
        <v>46111</v>
      </c>
      <c r="W64" s="93">
        <v>46126</v>
      </c>
      <c r="X64" s="93">
        <v>46128</v>
      </c>
      <c r="Y64" s="98"/>
      <c r="Z64" s="89" t="s">
        <v>60</v>
      </c>
      <c r="AA64" s="97">
        <v>46135</v>
      </c>
      <c r="AB64" s="89" t="s">
        <v>61</v>
      </c>
      <c r="AC64" s="120">
        <v>46153</v>
      </c>
      <c r="AD64" s="89" t="s">
        <v>85</v>
      </c>
      <c r="AE64" s="89">
        <v>65</v>
      </c>
      <c r="AF64" s="99"/>
      <c r="AG64" s="99"/>
      <c r="AH64" s="99"/>
      <c r="AI64" s="100" t="s">
        <v>62</v>
      </c>
      <c r="AJ64" s="100" t="s">
        <v>47</v>
      </c>
      <c r="AK64" s="100" t="s">
        <v>47</v>
      </c>
      <c r="AL64" s="45" t="s">
        <v>64</v>
      </c>
      <c r="AM64" s="198" t="str">
        <f t="shared" si="0"/>
        <v>3/2026</v>
      </c>
      <c r="AN64" s="45">
        <f t="shared" si="1"/>
        <v>2</v>
      </c>
      <c r="AO64" s="45" t="str">
        <f t="shared" si="2"/>
        <v>4/2026</v>
      </c>
      <c r="AP64" s="45">
        <f t="shared" si="3"/>
        <v>3</v>
      </c>
      <c r="AQ64" s="45">
        <f t="shared" si="4"/>
        <v>37</v>
      </c>
      <c r="AR64" s="45">
        <f t="shared" si="5"/>
        <v>0</v>
      </c>
      <c r="AS64" s="45">
        <f t="shared" si="6"/>
        <v>8.5</v>
      </c>
      <c r="AT64" s="45">
        <f t="shared" si="7"/>
        <v>7</v>
      </c>
      <c r="AU64" s="45" t="str">
        <f>_xlfn.XLOOKUP(U64,'Lista Suspensa'!$AA$20:$AA$23,'Lista Suspensa'!$AB$20:$AB$23,"N/A")</f>
        <v>S</v>
      </c>
    </row>
    <row r="65" spans="1:47" ht="12" hidden="1" customHeight="1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220" t="s">
        <v>226</v>
      </c>
      <c r="G65" s="92">
        <v>26867812899</v>
      </c>
      <c r="H65" s="93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4" t="s">
        <v>227</v>
      </c>
      <c r="P65" s="95" t="s">
        <v>55</v>
      </c>
      <c r="Q65" s="144" t="s">
        <v>70</v>
      </c>
      <c r="R65" s="96">
        <v>46097</v>
      </c>
      <c r="S65" s="97"/>
      <c r="T65" s="97" t="s">
        <v>57</v>
      </c>
      <c r="U65" s="97" t="s">
        <v>71</v>
      </c>
      <c r="V65" s="93">
        <v>46098</v>
      </c>
      <c r="W65" s="93" t="s">
        <v>72</v>
      </c>
      <c r="X65" s="93" t="s">
        <v>72</v>
      </c>
      <c r="Y65" s="98"/>
      <c r="Z65" s="89" t="s">
        <v>60</v>
      </c>
      <c r="AA65" s="97">
        <v>46106</v>
      </c>
      <c r="AB65" s="89" t="s">
        <v>110</v>
      </c>
      <c r="AC65" s="120"/>
      <c r="AD65" s="89"/>
      <c r="AE65" s="89"/>
      <c r="AF65" s="99"/>
      <c r="AG65" s="99"/>
      <c r="AH65" s="99"/>
      <c r="AI65" s="100" t="s">
        <v>62</v>
      </c>
      <c r="AJ65" s="100" t="s">
        <v>47</v>
      </c>
      <c r="AK65" s="100" t="s">
        <v>47</v>
      </c>
      <c r="AL65" s="45" t="s">
        <v>64</v>
      </c>
      <c r="AM65" s="198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220" t="s">
        <v>228</v>
      </c>
      <c r="G66" s="92">
        <v>25285868840</v>
      </c>
      <c r="H66" s="93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4" t="s">
        <v>229</v>
      </c>
      <c r="P66" s="95" t="s">
        <v>55</v>
      </c>
      <c r="Q66" s="144" t="s">
        <v>70</v>
      </c>
      <c r="R66" s="96">
        <v>46097</v>
      </c>
      <c r="S66" s="97"/>
      <c r="T66" s="97" t="s">
        <v>57</v>
      </c>
      <c r="U66" s="97" t="s">
        <v>71</v>
      </c>
      <c r="V66" s="93">
        <v>46097</v>
      </c>
      <c r="W66" s="93" t="s">
        <v>72</v>
      </c>
      <c r="X66" s="93" t="s">
        <v>72</v>
      </c>
      <c r="Y66" s="98"/>
      <c r="Z66" s="89" t="s">
        <v>60</v>
      </c>
      <c r="AA66" s="97">
        <v>46106</v>
      </c>
      <c r="AB66" s="89" t="s">
        <v>110</v>
      </c>
      <c r="AC66" s="120">
        <v>46153</v>
      </c>
      <c r="AD66" s="89"/>
      <c r="AE66" s="89"/>
      <c r="AF66" s="99"/>
      <c r="AG66" s="99"/>
      <c r="AH66" s="99"/>
      <c r="AI66" s="100" t="s">
        <v>62</v>
      </c>
      <c r="AJ66" s="100" t="s">
        <v>47</v>
      </c>
      <c r="AK66" s="100" t="s">
        <v>47</v>
      </c>
      <c r="AL66" s="45" t="s">
        <v>64</v>
      </c>
      <c r="AM66" s="198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220" t="s">
        <v>230</v>
      </c>
      <c r="G67" s="92">
        <v>259580899</v>
      </c>
      <c r="H67" s="93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4" t="s">
        <v>231</v>
      </c>
      <c r="P67" s="95" t="s">
        <v>55</v>
      </c>
      <c r="Q67" s="144" t="s">
        <v>70</v>
      </c>
      <c r="R67" s="96">
        <v>46097</v>
      </c>
      <c r="S67" s="97"/>
      <c r="T67" s="97" t="s">
        <v>57</v>
      </c>
      <c r="U67" s="97" t="s">
        <v>71</v>
      </c>
      <c r="V67" s="93">
        <v>46097</v>
      </c>
      <c r="W67" s="93">
        <v>46073</v>
      </c>
      <c r="X67" s="93">
        <v>46154</v>
      </c>
      <c r="Y67" s="98"/>
      <c r="Z67" s="89" t="s">
        <v>60</v>
      </c>
      <c r="AA67" s="97">
        <v>46108.666666666664</v>
      </c>
      <c r="AB67" s="89" t="s">
        <v>110</v>
      </c>
      <c r="AC67" s="120">
        <v>46153</v>
      </c>
      <c r="AD67" s="89"/>
      <c r="AE67" s="89"/>
      <c r="AF67" s="99"/>
      <c r="AG67" s="99"/>
      <c r="AH67" s="99"/>
      <c r="AI67" s="100" t="s">
        <v>62</v>
      </c>
      <c r="AJ67" s="100" t="s">
        <v>47</v>
      </c>
      <c r="AK67" s="100" t="s">
        <v>47</v>
      </c>
      <c r="AL67" s="45" t="s">
        <v>64</v>
      </c>
      <c r="AM67" s="198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28.5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hidden="1" customHeight="1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220" t="s">
        <v>232</v>
      </c>
      <c r="G68" s="92">
        <v>4249400786</v>
      </c>
      <c r="H68" s="93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4" t="s">
        <v>233</v>
      </c>
      <c r="P68" s="95" t="s">
        <v>55</v>
      </c>
      <c r="Q68" s="144" t="s">
        <v>70</v>
      </c>
      <c r="R68" s="96">
        <v>46073</v>
      </c>
      <c r="S68" s="97"/>
      <c r="T68" s="97" t="s">
        <v>57</v>
      </c>
      <c r="U68" s="97" t="s">
        <v>71</v>
      </c>
      <c r="V68" s="93">
        <v>46073</v>
      </c>
      <c r="W68" s="93" t="s">
        <v>72</v>
      </c>
      <c r="X68" s="93" t="s">
        <v>72</v>
      </c>
      <c r="Y68" s="98"/>
      <c r="Z68" s="89" t="s">
        <v>60</v>
      </c>
      <c r="AA68" s="97">
        <v>46106.666666666664</v>
      </c>
      <c r="AB68" s="89" t="s">
        <v>110</v>
      </c>
      <c r="AC68" s="120">
        <v>46153</v>
      </c>
      <c r="AD68" s="89"/>
      <c r="AE68" s="89"/>
      <c r="AF68" s="99"/>
      <c r="AG68" s="99"/>
      <c r="AH68" s="99"/>
      <c r="AI68" s="100" t="s">
        <v>62</v>
      </c>
      <c r="AJ68" s="100" t="s">
        <v>47</v>
      </c>
      <c r="AK68" s="100" t="s">
        <v>47</v>
      </c>
      <c r="AL68" s="45" t="s">
        <v>64</v>
      </c>
      <c r="AM68" s="198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hidden="1" customHeight="1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220" t="s">
        <v>234</v>
      </c>
      <c r="G69" s="92">
        <v>25289370838</v>
      </c>
      <c r="H69" s="93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4" t="s">
        <v>235</v>
      </c>
      <c r="P69" s="95" t="s">
        <v>55</v>
      </c>
      <c r="Q69" s="144" t="s">
        <v>70</v>
      </c>
      <c r="R69" s="96">
        <v>46128</v>
      </c>
      <c r="S69" s="97"/>
      <c r="T69" s="97" t="s">
        <v>57</v>
      </c>
      <c r="U69" s="97" t="s">
        <v>71</v>
      </c>
      <c r="V69" s="93">
        <v>46111</v>
      </c>
      <c r="W69" s="93">
        <v>46126</v>
      </c>
      <c r="X69" s="93">
        <v>46128</v>
      </c>
      <c r="Y69" s="98"/>
      <c r="Z69" s="89" t="s">
        <v>60</v>
      </c>
      <c r="AA69" s="97">
        <v>46139</v>
      </c>
      <c r="AB69" s="89" t="s">
        <v>61</v>
      </c>
      <c r="AC69" s="120"/>
      <c r="AD69" s="89" t="s">
        <v>73</v>
      </c>
      <c r="AE69" s="89">
        <v>47</v>
      </c>
      <c r="AF69" s="99" t="s">
        <v>90</v>
      </c>
      <c r="AG69" s="99"/>
      <c r="AH69" s="99" t="s">
        <v>236</v>
      </c>
      <c r="AI69" s="100" t="s">
        <v>62</v>
      </c>
      <c r="AJ69" s="100" t="s">
        <v>47</v>
      </c>
      <c r="AK69" s="100" t="s">
        <v>47</v>
      </c>
      <c r="AL69" s="45" t="s">
        <v>64</v>
      </c>
      <c r="AM69" s="198" t="str">
        <f t="shared" si="8"/>
        <v>3/2026</v>
      </c>
      <c r="AN69" s="45">
        <f t="shared" si="9"/>
        <v>2</v>
      </c>
      <c r="AO69" s="45" t="str">
        <f t="shared" si="10"/>
        <v>4/2026</v>
      </c>
      <c r="AP69" s="45">
        <f t="shared" si="11"/>
        <v>3</v>
      </c>
      <c r="AQ69" s="45">
        <f t="shared" si="12"/>
        <v>37</v>
      </c>
      <c r="AR69" s="45">
        <f t="shared" si="13"/>
        <v>0</v>
      </c>
      <c r="AS69" s="45">
        <f t="shared" si="14"/>
        <v>8.5</v>
      </c>
      <c r="AT69" s="45">
        <f t="shared" si="15"/>
        <v>11</v>
      </c>
      <c r="AU69" s="45" t="str">
        <f>_xlfn.XLOOKUP(U69,'Lista Suspensa'!$AA$20:$AA$23,'Lista Suspensa'!$AB$20:$AB$23,"N/A")</f>
        <v>S</v>
      </c>
    </row>
    <row r="70" spans="1:47" ht="12" hidden="1" customHeight="1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220" t="s">
        <v>237</v>
      </c>
      <c r="G70" s="92">
        <v>12711311880</v>
      </c>
      <c r="H70" s="93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4" t="s">
        <v>238</v>
      </c>
      <c r="P70" s="95" t="s">
        <v>55</v>
      </c>
      <c r="Q70" s="144" t="s">
        <v>70</v>
      </c>
      <c r="R70" s="96">
        <v>46073</v>
      </c>
      <c r="S70" s="97"/>
      <c r="T70" s="97" t="s">
        <v>57</v>
      </c>
      <c r="U70" s="97" t="s">
        <v>71</v>
      </c>
      <c r="V70" s="93">
        <v>46073</v>
      </c>
      <c r="W70" s="93">
        <v>46154</v>
      </c>
      <c r="X70" s="93" t="s">
        <v>72</v>
      </c>
      <c r="Y70" s="98"/>
      <c r="Z70" s="89" t="s">
        <v>60</v>
      </c>
      <c r="AA70" s="97">
        <v>46111</v>
      </c>
      <c r="AB70" s="89" t="s">
        <v>118</v>
      </c>
      <c r="AC70" s="120">
        <v>46164.458333333336</v>
      </c>
      <c r="AD70" s="89"/>
      <c r="AE70" s="89"/>
      <c r="AF70" s="99"/>
      <c r="AG70" s="99"/>
      <c r="AH70" s="99"/>
      <c r="AI70" s="100" t="s">
        <v>62</v>
      </c>
      <c r="AJ70" s="100" t="s">
        <v>47</v>
      </c>
      <c r="AK70" s="100" t="s">
        <v>47</v>
      </c>
      <c r="AL70" s="45" t="s">
        <v>64</v>
      </c>
      <c r="AM70" s="198" t="str">
        <f t="shared" si="8"/>
        <v>3/2026</v>
      </c>
      <c r="AN70" s="45">
        <f t="shared" si="9"/>
        <v>2</v>
      </c>
      <c r="AO70" s="45" t="str">
        <f t="shared" si="10"/>
        <v>2/2026</v>
      </c>
      <c r="AP70" s="45">
        <f t="shared" si="11"/>
        <v>3</v>
      </c>
      <c r="AQ70" s="45">
        <f t="shared" si="12"/>
        <v>-18</v>
      </c>
      <c r="AR70" s="45">
        <f t="shared" si="13"/>
        <v>0</v>
      </c>
      <c r="AS70" s="45">
        <f t="shared" si="14"/>
        <v>81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220" t="s">
        <v>239</v>
      </c>
      <c r="G71" s="92">
        <v>39396851</v>
      </c>
      <c r="H71" s="93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4" t="s">
        <v>240</v>
      </c>
      <c r="P71" s="95" t="s">
        <v>55</v>
      </c>
      <c r="Q71" s="144" t="s">
        <v>136</v>
      </c>
      <c r="R71" s="96"/>
      <c r="S71" s="97">
        <v>46150</v>
      </c>
      <c r="T71" s="97" t="s">
        <v>57</v>
      </c>
      <c r="U71" s="97" t="s">
        <v>58</v>
      </c>
      <c r="V71" s="93">
        <v>46097</v>
      </c>
      <c r="W71" s="93">
        <v>46126</v>
      </c>
      <c r="X71" s="93">
        <v>46141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 t="s">
        <v>62</v>
      </c>
      <c r="AJ71" s="100" t="s">
        <v>63</v>
      </c>
      <c r="AK71" s="100" t="s">
        <v>47</v>
      </c>
      <c r="AL71" s="45" t="s">
        <v>64</v>
      </c>
      <c r="AM71" s="198" t="str">
        <f t="shared" si="8"/>
        <v>3/2026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hidden="1" customHeight="1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220" t="s">
        <v>241</v>
      </c>
      <c r="G72" s="92">
        <v>80679986472</v>
      </c>
      <c r="H72" s="93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4" t="s">
        <v>242</v>
      </c>
      <c r="P72" s="95" t="s">
        <v>55</v>
      </c>
      <c r="Q72" s="144" t="s">
        <v>136</v>
      </c>
      <c r="R72" s="96"/>
      <c r="S72" s="97">
        <v>46150</v>
      </c>
      <c r="T72" s="97" t="s">
        <v>57</v>
      </c>
      <c r="U72" s="97" t="s">
        <v>58</v>
      </c>
      <c r="V72" s="93">
        <v>46097</v>
      </c>
      <c r="W72" s="93">
        <v>46126</v>
      </c>
      <c r="X72" s="93">
        <v>46141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 t="s">
        <v>62</v>
      </c>
      <c r="AJ72" s="100" t="s">
        <v>63</v>
      </c>
      <c r="AK72" s="100" t="s">
        <v>47</v>
      </c>
      <c r="AL72" s="45" t="s">
        <v>64</v>
      </c>
      <c r="AM72" s="198" t="str">
        <f t="shared" si="8"/>
        <v>3/2026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220" t="s">
        <v>243</v>
      </c>
      <c r="G73" s="92">
        <v>26920147823</v>
      </c>
      <c r="H73" s="93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4" t="s">
        <v>244</v>
      </c>
      <c r="P73" s="95" t="s">
        <v>55</v>
      </c>
      <c r="Q73" s="144" t="s">
        <v>70</v>
      </c>
      <c r="R73" s="96">
        <v>46128</v>
      </c>
      <c r="S73" s="97"/>
      <c r="T73" s="97" t="s">
        <v>57</v>
      </c>
      <c r="U73" s="97" t="s">
        <v>71</v>
      </c>
      <c r="V73" s="93">
        <v>46111</v>
      </c>
      <c r="W73" s="93">
        <v>46126</v>
      </c>
      <c r="X73" s="93">
        <v>46128</v>
      </c>
      <c r="Y73" s="98"/>
      <c r="Z73" s="89" t="s">
        <v>60</v>
      </c>
      <c r="AA73" s="97">
        <v>46134</v>
      </c>
      <c r="AB73" s="89" t="s">
        <v>110</v>
      </c>
      <c r="AC73" s="120">
        <v>46153</v>
      </c>
      <c r="AD73" s="89"/>
      <c r="AE73" s="89"/>
      <c r="AF73" s="99"/>
      <c r="AG73" s="99"/>
      <c r="AH73" s="99"/>
      <c r="AI73" s="100" t="s">
        <v>62</v>
      </c>
      <c r="AJ73" s="100" t="s">
        <v>47</v>
      </c>
      <c r="AK73" s="100" t="s">
        <v>47</v>
      </c>
      <c r="AL73" s="45" t="s">
        <v>64</v>
      </c>
      <c r="AM73" s="198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8.5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hidden="1" customHeight="1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220" t="s">
        <v>245</v>
      </c>
      <c r="G74" s="92">
        <v>9330781888</v>
      </c>
      <c r="H74" s="93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4" t="s">
        <v>246</v>
      </c>
      <c r="P74" s="95" t="s">
        <v>55</v>
      </c>
      <c r="Q74" s="144" t="s">
        <v>136</v>
      </c>
      <c r="R74" s="96"/>
      <c r="S74" s="97">
        <v>46150</v>
      </c>
      <c r="T74" s="97" t="s">
        <v>57</v>
      </c>
      <c r="U74" s="97" t="s">
        <v>58</v>
      </c>
      <c r="V74" s="93">
        <v>46097</v>
      </c>
      <c r="W74" s="93">
        <v>46126</v>
      </c>
      <c r="X74" s="93">
        <v>46141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 t="s">
        <v>62</v>
      </c>
      <c r="AJ74" s="100" t="s">
        <v>63</v>
      </c>
      <c r="AK74" s="100" t="s">
        <v>47</v>
      </c>
      <c r="AL74" s="45" t="s">
        <v>64</v>
      </c>
      <c r="AM74" s="198" t="str">
        <f t="shared" si="8"/>
        <v>3/2026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220" t="s">
        <v>247</v>
      </c>
      <c r="G75" s="92">
        <v>1975580702</v>
      </c>
      <c r="H75" s="93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4" t="s">
        <v>248</v>
      </c>
      <c r="P75" s="95" t="s">
        <v>55</v>
      </c>
      <c r="Q75" s="144" t="s">
        <v>70</v>
      </c>
      <c r="R75" s="96">
        <v>46128</v>
      </c>
      <c r="S75" s="97"/>
      <c r="T75" s="97" t="s">
        <v>57</v>
      </c>
      <c r="U75" s="97" t="s">
        <v>71</v>
      </c>
      <c r="V75" s="93">
        <v>46111</v>
      </c>
      <c r="W75" s="93">
        <v>46126</v>
      </c>
      <c r="X75" s="93">
        <v>46128</v>
      </c>
      <c r="Y75" s="98"/>
      <c r="Z75" s="89" t="s">
        <v>60</v>
      </c>
      <c r="AA75" s="97">
        <v>46146</v>
      </c>
      <c r="AB75" s="89" t="s">
        <v>110</v>
      </c>
      <c r="AC75" s="120"/>
      <c r="AD75" s="89"/>
      <c r="AE75" s="89"/>
      <c r="AF75" s="99"/>
      <c r="AG75" s="99"/>
      <c r="AH75" s="99"/>
      <c r="AI75" s="100" t="s">
        <v>62</v>
      </c>
      <c r="AJ75" s="100" t="s">
        <v>47</v>
      </c>
      <c r="AK75" s="100" t="s">
        <v>47</v>
      </c>
      <c r="AL75" s="45" t="s">
        <v>64</v>
      </c>
      <c r="AM75" s="198" t="str">
        <f t="shared" si="8"/>
        <v>3/2026</v>
      </c>
      <c r="AN75" s="45">
        <f t="shared" si="9"/>
        <v>2</v>
      </c>
      <c r="AO75" s="45" t="str">
        <f t="shared" si="10"/>
        <v>4/2026</v>
      </c>
      <c r="AP75" s="45">
        <f t="shared" si="11"/>
        <v>3</v>
      </c>
      <c r="AQ75" s="45">
        <f t="shared" si="12"/>
        <v>37</v>
      </c>
      <c r="AR75" s="45">
        <f t="shared" si="13"/>
        <v>0</v>
      </c>
      <c r="AS75" s="45">
        <f t="shared" si="14"/>
        <v>8.5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hidden="1" customHeight="1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220" t="s">
        <v>249</v>
      </c>
      <c r="G76" s="92">
        <v>14504044803</v>
      </c>
      <c r="H76" s="93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4" t="s">
        <v>250</v>
      </c>
      <c r="P76" s="95" t="s">
        <v>55</v>
      </c>
      <c r="Q76" s="144" t="s">
        <v>136</v>
      </c>
      <c r="R76" s="96"/>
      <c r="S76" s="97">
        <v>46150</v>
      </c>
      <c r="T76" s="97" t="s">
        <v>183</v>
      </c>
      <c r="U76" s="97" t="s">
        <v>58</v>
      </c>
      <c r="V76" s="93">
        <v>46111</v>
      </c>
      <c r="W76" s="93">
        <v>46126</v>
      </c>
      <c r="X76" s="93">
        <v>46141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 t="s">
        <v>62</v>
      </c>
      <c r="AJ76" s="100" t="s">
        <v>63</v>
      </c>
      <c r="AK76" s="100" t="s">
        <v>47</v>
      </c>
      <c r="AL76" s="45" t="s">
        <v>64</v>
      </c>
      <c r="AM76" s="198" t="str">
        <f t="shared" si="8"/>
        <v>3/2026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hidden="1" customHeight="1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220" t="s">
        <v>251</v>
      </c>
      <c r="G77" s="92">
        <v>74519263468</v>
      </c>
      <c r="H77" s="93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4" t="s">
        <v>252</v>
      </c>
      <c r="P77" s="95" t="s">
        <v>55</v>
      </c>
      <c r="Q77" s="144" t="s">
        <v>136</v>
      </c>
      <c r="R77" s="96"/>
      <c r="S77" s="97">
        <v>46150</v>
      </c>
      <c r="T77" s="97" t="s">
        <v>183</v>
      </c>
      <c r="U77" s="97" t="s">
        <v>58</v>
      </c>
      <c r="V77" s="93">
        <v>46111</v>
      </c>
      <c r="W77" s="93">
        <v>46126</v>
      </c>
      <c r="X77" s="93">
        <v>46141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 t="s">
        <v>62</v>
      </c>
      <c r="AJ77" s="100" t="s">
        <v>63</v>
      </c>
      <c r="AK77" s="100" t="s">
        <v>47</v>
      </c>
      <c r="AL77" s="45" t="s">
        <v>64</v>
      </c>
      <c r="AM77" s="198" t="str">
        <f t="shared" si="8"/>
        <v>3/2026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hidden="1" customHeight="1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220" t="s">
        <v>253</v>
      </c>
      <c r="G78" s="92">
        <v>38237650867</v>
      </c>
      <c r="H78" s="93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4" t="s">
        <v>254</v>
      </c>
      <c r="P78" s="95" t="s">
        <v>55</v>
      </c>
      <c r="Q78" s="144" t="s">
        <v>136</v>
      </c>
      <c r="R78" s="96"/>
      <c r="S78" s="97">
        <v>46150</v>
      </c>
      <c r="T78" s="97" t="s">
        <v>183</v>
      </c>
      <c r="U78" s="97" t="s">
        <v>58</v>
      </c>
      <c r="V78" s="93">
        <v>46111</v>
      </c>
      <c r="W78" s="93">
        <v>46126</v>
      </c>
      <c r="X78" s="93">
        <v>46141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 t="s">
        <v>62</v>
      </c>
      <c r="AJ78" s="100" t="s">
        <v>63</v>
      </c>
      <c r="AK78" s="100" t="s">
        <v>47</v>
      </c>
      <c r="AL78" s="45" t="s">
        <v>64</v>
      </c>
      <c r="AM78" s="198" t="str">
        <f t="shared" si="8"/>
        <v>3/2026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220" t="s">
        <v>255</v>
      </c>
      <c r="G79" s="92">
        <v>98129104768</v>
      </c>
      <c r="H79" s="93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4" t="s">
        <v>256</v>
      </c>
      <c r="P79" s="95" t="s">
        <v>55</v>
      </c>
      <c r="Q79" s="144" t="s">
        <v>70</v>
      </c>
      <c r="R79" s="96">
        <v>46141</v>
      </c>
      <c r="S79" s="97"/>
      <c r="T79" s="97" t="s">
        <v>57</v>
      </c>
      <c r="U79" s="97" t="s">
        <v>71</v>
      </c>
      <c r="V79" s="93">
        <v>46111</v>
      </c>
      <c r="W79" s="93">
        <v>46126</v>
      </c>
      <c r="X79" s="93">
        <v>46141</v>
      </c>
      <c r="Y79" s="98"/>
      <c r="Z79" s="89" t="s">
        <v>60</v>
      </c>
      <c r="AA79" s="97">
        <v>46146</v>
      </c>
      <c r="AB79" s="89" t="s">
        <v>110</v>
      </c>
      <c r="AC79" s="120"/>
      <c r="AD79" s="89"/>
      <c r="AE79" s="89"/>
      <c r="AF79" s="99"/>
      <c r="AG79" s="99"/>
      <c r="AH79" s="99"/>
      <c r="AI79" s="100" t="s">
        <v>62</v>
      </c>
      <c r="AJ79" s="100" t="s">
        <v>47</v>
      </c>
      <c r="AK79" s="100" t="s">
        <v>47</v>
      </c>
      <c r="AL79" s="45" t="s">
        <v>64</v>
      </c>
      <c r="AM79" s="198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15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hidden="1" customHeight="1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220" t="s">
        <v>257</v>
      </c>
      <c r="G80" s="92">
        <v>74922076700</v>
      </c>
      <c r="H80" s="93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4" t="s">
        <v>259</v>
      </c>
      <c r="P80" s="95" t="s">
        <v>55</v>
      </c>
      <c r="Q80" s="144" t="s">
        <v>70</v>
      </c>
      <c r="R80" s="96">
        <v>46128</v>
      </c>
      <c r="S80" s="97"/>
      <c r="T80" s="97" t="s">
        <v>57</v>
      </c>
      <c r="U80" s="97" t="s">
        <v>71</v>
      </c>
      <c r="V80" s="93">
        <v>46111</v>
      </c>
      <c r="W80" s="93">
        <v>46126</v>
      </c>
      <c r="X80" s="93">
        <v>46128</v>
      </c>
      <c r="Y80" s="98"/>
      <c r="Z80" s="89" t="s">
        <v>60</v>
      </c>
      <c r="AA80" s="97">
        <v>46136</v>
      </c>
      <c r="AB80" s="89" t="s">
        <v>61</v>
      </c>
      <c r="AC80" s="120"/>
      <c r="AD80" s="89"/>
      <c r="AE80" s="89"/>
      <c r="AF80" s="99"/>
      <c r="AG80" s="99"/>
      <c r="AH80" s="99"/>
      <c r="AI80" s="100" t="s">
        <v>62</v>
      </c>
      <c r="AJ80" s="100" t="s">
        <v>47</v>
      </c>
      <c r="AK80" s="100" t="s">
        <v>47</v>
      </c>
      <c r="AL80" s="45" t="s">
        <v>64</v>
      </c>
      <c r="AM80" s="198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3</v>
      </c>
      <c r="AQ80" s="45">
        <f t="shared" si="12"/>
        <v>37</v>
      </c>
      <c r="AR80" s="45">
        <f t="shared" si="13"/>
        <v>0</v>
      </c>
      <c r="AS80" s="45">
        <f t="shared" si="14"/>
        <v>8.5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220" t="s">
        <v>260</v>
      </c>
      <c r="G81" s="92">
        <v>69340862872</v>
      </c>
      <c r="H81" s="93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4" t="s">
        <v>261</v>
      </c>
      <c r="P81" s="95" t="s">
        <v>55</v>
      </c>
      <c r="Q81" s="144" t="s">
        <v>136</v>
      </c>
      <c r="R81" s="96"/>
      <c r="S81" s="97">
        <v>46150</v>
      </c>
      <c r="T81" s="97" t="s">
        <v>183</v>
      </c>
      <c r="U81" s="97" t="s">
        <v>58</v>
      </c>
      <c r="V81" s="93">
        <v>46111</v>
      </c>
      <c r="W81" s="93">
        <v>46126</v>
      </c>
      <c r="X81" s="93">
        <v>46141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 t="s">
        <v>62</v>
      </c>
      <c r="AJ81" s="100" t="s">
        <v>63</v>
      </c>
      <c r="AK81" s="100" t="s">
        <v>47</v>
      </c>
      <c r="AL81" s="45" t="s">
        <v>64</v>
      </c>
      <c r="AM81" s="198" t="str">
        <f t="shared" si="8"/>
        <v>3/2026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220" t="s">
        <v>262</v>
      </c>
      <c r="G82" s="92">
        <v>65118448891</v>
      </c>
      <c r="H82" s="93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4" t="s">
        <v>263</v>
      </c>
      <c r="P82" s="95" t="s">
        <v>55</v>
      </c>
      <c r="Q82" s="144" t="s">
        <v>70</v>
      </c>
      <c r="R82" s="96">
        <v>46178</v>
      </c>
      <c r="S82" s="97"/>
      <c r="T82" s="97" t="s">
        <v>57</v>
      </c>
      <c r="U82" s="97" t="s">
        <v>71</v>
      </c>
      <c r="V82" s="93">
        <v>46111</v>
      </c>
      <c r="W82" s="93">
        <v>46126</v>
      </c>
      <c r="X82" s="93">
        <v>46141</v>
      </c>
      <c r="Y82" s="98"/>
      <c r="Z82" s="89" t="s">
        <v>60</v>
      </c>
      <c r="AA82" s="97">
        <v>46189</v>
      </c>
      <c r="AB82" s="89"/>
      <c r="AC82" s="120"/>
      <c r="AD82" s="89"/>
      <c r="AE82" s="89"/>
      <c r="AF82" s="99"/>
      <c r="AG82" s="99"/>
      <c r="AH82" s="99"/>
      <c r="AI82" s="100" t="s">
        <v>62</v>
      </c>
      <c r="AJ82" s="100" t="s">
        <v>47</v>
      </c>
      <c r="AK82" s="100" t="s">
        <v>47</v>
      </c>
      <c r="AL82" s="45" t="s">
        <v>64</v>
      </c>
      <c r="AM82" s="198" t="str">
        <f t="shared" si="8"/>
        <v>3/2026</v>
      </c>
      <c r="AN82" s="45">
        <f t="shared" si="9"/>
        <v>2</v>
      </c>
      <c r="AO82" s="45" t="str">
        <f t="shared" si="10"/>
        <v>6/2026</v>
      </c>
      <c r="AP82" s="45">
        <f t="shared" si="11"/>
        <v>1</v>
      </c>
      <c r="AQ82" s="45">
        <f t="shared" si="12"/>
        <v>87</v>
      </c>
      <c r="AR82" s="45">
        <f t="shared" si="13"/>
        <v>0</v>
      </c>
      <c r="AS82" s="45">
        <f t="shared" si="14"/>
        <v>15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220" t="s">
        <v>264</v>
      </c>
      <c r="G83" s="92">
        <v>46290335804</v>
      </c>
      <c r="H83" s="93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4" t="s">
        <v>265</v>
      </c>
      <c r="P83" s="95" t="s">
        <v>55</v>
      </c>
      <c r="Q83" s="144" t="s">
        <v>56</v>
      </c>
      <c r="R83" s="96">
        <v>46142</v>
      </c>
      <c r="S83" s="97">
        <v>46153</v>
      </c>
      <c r="T83" s="97" t="s">
        <v>57</v>
      </c>
      <c r="U83" s="97" t="s">
        <v>58</v>
      </c>
      <c r="V83" s="93">
        <v>46111</v>
      </c>
      <c r="W83" s="93">
        <v>46126</v>
      </c>
      <c r="X83" s="93">
        <v>46141</v>
      </c>
      <c r="Y83" s="98" t="s">
        <v>59</v>
      </c>
      <c r="Z83" s="89" t="s">
        <v>60</v>
      </c>
      <c r="AA83" s="97">
        <v>46147</v>
      </c>
      <c r="AB83" s="89" t="s">
        <v>61</v>
      </c>
      <c r="AC83" s="120">
        <v>46153</v>
      </c>
      <c r="AD83" s="89"/>
      <c r="AE83" s="89"/>
      <c r="AF83" s="99"/>
      <c r="AG83" s="99"/>
      <c r="AH83" s="99"/>
      <c r="AI83" s="100" t="s">
        <v>62</v>
      </c>
      <c r="AJ83" s="100" t="s">
        <v>63</v>
      </c>
      <c r="AK83" s="100" t="s">
        <v>47</v>
      </c>
      <c r="AL83" s="45" t="s">
        <v>64</v>
      </c>
      <c r="AM83" s="198" t="str">
        <f t="shared" si="8"/>
        <v>3/2026</v>
      </c>
      <c r="AN83" s="45">
        <f t="shared" si="9"/>
        <v>2</v>
      </c>
      <c r="AO83" s="45" t="str">
        <f t="shared" si="10"/>
        <v>4/2026</v>
      </c>
      <c r="AP83" s="45">
        <f t="shared" si="11"/>
        <v>5</v>
      </c>
      <c r="AQ83" s="45">
        <f t="shared" si="12"/>
        <v>0</v>
      </c>
      <c r="AR83" s="45">
        <f t="shared" si="13"/>
        <v>11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hidden="1" customHeight="1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220" t="s">
        <v>266</v>
      </c>
      <c r="G84" s="92">
        <v>9394998780</v>
      </c>
      <c r="H84" s="93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4" t="s">
        <v>267</v>
      </c>
      <c r="P84" s="95" t="s">
        <v>55</v>
      </c>
      <c r="Q84" s="144" t="s">
        <v>136</v>
      </c>
      <c r="R84" s="96"/>
      <c r="S84" s="97">
        <v>46150</v>
      </c>
      <c r="T84" s="97" t="s">
        <v>183</v>
      </c>
      <c r="U84" s="97" t="s">
        <v>58</v>
      </c>
      <c r="V84" s="93">
        <v>46111</v>
      </c>
      <c r="W84" s="93">
        <v>46126</v>
      </c>
      <c r="X84" s="93">
        <v>46141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 t="s">
        <v>62</v>
      </c>
      <c r="AJ84" s="100" t="s">
        <v>63</v>
      </c>
      <c r="AK84" s="100" t="s">
        <v>47</v>
      </c>
      <c r="AL84" s="45" t="s">
        <v>64</v>
      </c>
      <c r="AM84" s="198" t="str">
        <f t="shared" si="8"/>
        <v>3/2026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hidden="1" customHeight="1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220" t="s">
        <v>268</v>
      </c>
      <c r="G85" s="92">
        <v>26989310782</v>
      </c>
      <c r="H85" s="93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4" t="s">
        <v>269</v>
      </c>
      <c r="P85" s="95" t="s">
        <v>55</v>
      </c>
      <c r="Q85" s="144" t="s">
        <v>136</v>
      </c>
      <c r="R85" s="96"/>
      <c r="S85" s="97">
        <v>46150</v>
      </c>
      <c r="T85" s="97" t="s">
        <v>183</v>
      </c>
      <c r="U85" s="97" t="s">
        <v>58</v>
      </c>
      <c r="V85" s="93">
        <v>46111</v>
      </c>
      <c r="W85" s="93">
        <v>46126</v>
      </c>
      <c r="X85" s="93">
        <v>46141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 t="s">
        <v>62</v>
      </c>
      <c r="AJ85" s="100" t="s">
        <v>63</v>
      </c>
      <c r="AK85" s="100" t="s">
        <v>47</v>
      </c>
      <c r="AL85" s="45" t="s">
        <v>64</v>
      </c>
      <c r="AM85" s="198" t="str">
        <f t="shared" si="8"/>
        <v>3/2026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hidden="1" customHeight="1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220" t="s">
        <v>270</v>
      </c>
      <c r="G86" s="92"/>
      <c r="H86" s="93">
        <v>23808</v>
      </c>
      <c r="I86" s="89">
        <v>61</v>
      </c>
      <c r="J86" s="89" t="s">
        <v>51</v>
      </c>
      <c r="K86" s="89" t="s">
        <v>271</v>
      </c>
      <c r="L86" s="89" t="s">
        <v>272</v>
      </c>
      <c r="M86" s="89"/>
      <c r="N86" s="89" t="s">
        <v>129</v>
      </c>
      <c r="O86" s="94" t="s">
        <v>273</v>
      </c>
      <c r="P86" s="95" t="s">
        <v>55</v>
      </c>
      <c r="Q86" s="144" t="s">
        <v>70</v>
      </c>
      <c r="R86" s="96">
        <v>46127</v>
      </c>
      <c r="S86" s="97"/>
      <c r="T86" s="97" t="s">
        <v>57</v>
      </c>
      <c r="U86" s="97" t="s">
        <v>71</v>
      </c>
      <c r="V86" s="93">
        <v>46122</v>
      </c>
      <c r="W86" s="93">
        <v>46126</v>
      </c>
      <c r="X86" s="93">
        <v>46141</v>
      </c>
      <c r="Y86" s="98"/>
      <c r="Z86" s="89" t="s">
        <v>60</v>
      </c>
      <c r="AA86" s="97">
        <v>46157</v>
      </c>
      <c r="AB86" s="89" t="s">
        <v>110</v>
      </c>
      <c r="AC86" s="120"/>
      <c r="AD86" s="89"/>
      <c r="AE86" s="89"/>
      <c r="AF86" s="99"/>
      <c r="AG86" s="99"/>
      <c r="AH86" s="99"/>
      <c r="AI86" s="100" t="s">
        <v>62</v>
      </c>
      <c r="AJ86" s="100" t="s">
        <v>62</v>
      </c>
      <c r="AK86" s="100" t="s">
        <v>62</v>
      </c>
      <c r="AL86" s="45" t="s">
        <v>64</v>
      </c>
      <c r="AM86" s="198" t="str">
        <f t="shared" si="8"/>
        <v>3/2026</v>
      </c>
      <c r="AN86" s="45">
        <f t="shared" si="9"/>
        <v>4</v>
      </c>
      <c r="AO86" s="45" t="str">
        <f t="shared" si="10"/>
        <v>4/2026</v>
      </c>
      <c r="AP86" s="45">
        <f t="shared" si="11"/>
        <v>3</v>
      </c>
      <c r="AQ86" s="45">
        <f t="shared" si="12"/>
        <v>23</v>
      </c>
      <c r="AR86" s="45">
        <f t="shared" si="13"/>
        <v>0</v>
      </c>
      <c r="AS86" s="45">
        <f t="shared" si="14"/>
        <v>9.5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hidden="1" customHeight="1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220" t="s">
        <v>274</v>
      </c>
      <c r="G87" s="92"/>
      <c r="H87" s="93">
        <v>16363</v>
      </c>
      <c r="I87" s="89">
        <v>81</v>
      </c>
      <c r="J87" s="89" t="s">
        <v>51</v>
      </c>
      <c r="K87" s="89" t="s">
        <v>52</v>
      </c>
      <c r="L87" s="89" t="s">
        <v>275</v>
      </c>
      <c r="M87" s="89"/>
      <c r="N87" s="89" t="s">
        <v>95</v>
      </c>
      <c r="O87" s="94" t="s">
        <v>276</v>
      </c>
      <c r="P87" s="95" t="s">
        <v>55</v>
      </c>
      <c r="Q87" s="144" t="s">
        <v>136</v>
      </c>
      <c r="R87" s="96"/>
      <c r="S87" s="97">
        <v>46150</v>
      </c>
      <c r="T87" s="97" t="s">
        <v>183</v>
      </c>
      <c r="U87" s="97" t="s">
        <v>58</v>
      </c>
      <c r="V87" s="93">
        <v>46122</v>
      </c>
      <c r="W87" s="93">
        <v>46126</v>
      </c>
      <c r="X87" s="93">
        <v>46141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8" t="str">
        <f t="shared" si="8"/>
        <v>3/2026</v>
      </c>
      <c r="AN87" s="45">
        <f t="shared" si="9"/>
        <v>4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220" t="s">
        <v>277</v>
      </c>
      <c r="G88" s="92"/>
      <c r="H88" s="93">
        <v>18878</v>
      </c>
      <c r="I88" s="89">
        <v>74</v>
      </c>
      <c r="J88" s="89" t="s">
        <v>51</v>
      </c>
      <c r="K88" s="89" t="s">
        <v>52</v>
      </c>
      <c r="L88" s="89" t="s">
        <v>278</v>
      </c>
      <c r="M88" s="89"/>
      <c r="N88" s="89" t="s">
        <v>95</v>
      </c>
      <c r="O88" s="94" t="s">
        <v>279</v>
      </c>
      <c r="P88" s="95" t="s">
        <v>55</v>
      </c>
      <c r="Q88" s="144" t="s">
        <v>70</v>
      </c>
      <c r="R88" s="96">
        <v>46122</v>
      </c>
      <c r="S88" s="97"/>
      <c r="T88" s="97" t="s">
        <v>57</v>
      </c>
      <c r="U88" s="97" t="s">
        <v>71</v>
      </c>
      <c r="V88" s="93">
        <v>46122</v>
      </c>
      <c r="W88" s="93" t="s">
        <v>72</v>
      </c>
      <c r="X88" s="93" t="s">
        <v>72</v>
      </c>
      <c r="Y88" s="98"/>
      <c r="Z88" s="89" t="s">
        <v>60</v>
      </c>
      <c r="AA88" s="97">
        <v>46129</v>
      </c>
      <c r="AB88" s="89" t="s">
        <v>110</v>
      </c>
      <c r="AC88" s="120"/>
      <c r="AD88" s="89"/>
      <c r="AE88" s="89"/>
      <c r="AF88" s="99"/>
      <c r="AG88" s="99"/>
      <c r="AH88" s="99"/>
      <c r="AI88" s="100" t="s">
        <v>62</v>
      </c>
      <c r="AJ88" s="100" t="s">
        <v>47</v>
      </c>
      <c r="AK88" s="100" t="s">
        <v>62</v>
      </c>
      <c r="AL88" s="45" t="s">
        <v>64</v>
      </c>
      <c r="AM88" s="198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2</v>
      </c>
      <c r="AQ88" s="45">
        <f t="shared" si="12"/>
        <v>18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220" t="s">
        <v>280</v>
      </c>
      <c r="G89" s="92"/>
      <c r="H89" s="93">
        <v>28443</v>
      </c>
      <c r="I89" s="89">
        <v>48</v>
      </c>
      <c r="J89" s="89" t="s">
        <v>51</v>
      </c>
      <c r="K89" s="89" t="s">
        <v>52</v>
      </c>
      <c r="L89" s="89" t="s">
        <v>275</v>
      </c>
      <c r="M89" s="89"/>
      <c r="N89" s="89" t="s">
        <v>79</v>
      </c>
      <c r="O89" s="94" t="s">
        <v>281</v>
      </c>
      <c r="P89" s="95" t="s">
        <v>55</v>
      </c>
      <c r="Q89" s="144" t="s">
        <v>70</v>
      </c>
      <c r="R89" s="96">
        <v>46128</v>
      </c>
      <c r="S89" s="97"/>
      <c r="T89" s="97" t="s">
        <v>57</v>
      </c>
      <c r="U89" s="97" t="s">
        <v>71</v>
      </c>
      <c r="V89" s="93">
        <v>46122</v>
      </c>
      <c r="W89" s="93">
        <v>46126</v>
      </c>
      <c r="X89" s="93">
        <v>46128</v>
      </c>
      <c r="Y89" s="98"/>
      <c r="Z89" s="89" t="s">
        <v>60</v>
      </c>
      <c r="AA89" s="97">
        <v>46135</v>
      </c>
      <c r="AB89" s="89" t="s">
        <v>110</v>
      </c>
      <c r="AC89" s="120"/>
      <c r="AD89" s="89"/>
      <c r="AE89" s="89"/>
      <c r="AF89" s="99"/>
      <c r="AG89" s="99"/>
      <c r="AH89" s="99"/>
      <c r="AI89" s="100" t="s">
        <v>62</v>
      </c>
      <c r="AJ89" s="100" t="s">
        <v>47</v>
      </c>
      <c r="AK89" s="100" t="s">
        <v>62</v>
      </c>
      <c r="AL89" s="45" t="s">
        <v>64</v>
      </c>
      <c r="AM89" s="198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3</v>
      </c>
      <c r="AQ89" s="45">
        <f t="shared" si="12"/>
        <v>24</v>
      </c>
      <c r="AR89" s="45">
        <f t="shared" si="13"/>
        <v>0</v>
      </c>
      <c r="AS89" s="45">
        <f t="shared" si="14"/>
        <v>3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220" t="s">
        <v>282</v>
      </c>
      <c r="G90" s="92"/>
      <c r="H90" s="93">
        <v>13993</v>
      </c>
      <c r="I90" s="89">
        <v>87</v>
      </c>
      <c r="J90" s="89" t="s">
        <v>51</v>
      </c>
      <c r="K90" s="89" t="s">
        <v>52</v>
      </c>
      <c r="L90" s="89" t="s">
        <v>275</v>
      </c>
      <c r="M90" s="89"/>
      <c r="N90" s="89" t="s">
        <v>151</v>
      </c>
      <c r="O90" s="94" t="s">
        <v>283</v>
      </c>
      <c r="P90" s="95" t="s">
        <v>55</v>
      </c>
      <c r="Q90" s="144" t="s">
        <v>70</v>
      </c>
      <c r="R90" s="96">
        <v>46065</v>
      </c>
      <c r="S90" s="97"/>
      <c r="T90" s="97" t="s">
        <v>57</v>
      </c>
      <c r="U90" s="97" t="s">
        <v>71</v>
      </c>
      <c r="V90" s="93">
        <v>46122</v>
      </c>
      <c r="W90" s="93">
        <v>46126</v>
      </c>
      <c r="X90" s="93">
        <v>46141</v>
      </c>
      <c r="Y90" s="98"/>
      <c r="Z90" s="89" t="s">
        <v>60</v>
      </c>
      <c r="AA90" s="97">
        <v>46157</v>
      </c>
      <c r="AB90" s="89" t="s">
        <v>110</v>
      </c>
      <c r="AC90" s="120"/>
      <c r="AD90" s="89"/>
      <c r="AE90" s="89"/>
      <c r="AF90" s="99"/>
      <c r="AG90" s="99"/>
      <c r="AH90" s="99"/>
      <c r="AI90" s="100" t="s">
        <v>62</v>
      </c>
      <c r="AJ90" s="100" t="s">
        <v>62</v>
      </c>
      <c r="AK90" s="100" t="s">
        <v>62</v>
      </c>
      <c r="AL90" s="45" t="s">
        <v>64</v>
      </c>
      <c r="AM90" s="198" t="str">
        <f t="shared" si="8"/>
        <v>3/2026</v>
      </c>
      <c r="AN90" s="45">
        <f t="shared" si="9"/>
        <v>4</v>
      </c>
      <c r="AO90" s="45" t="str">
        <f t="shared" si="10"/>
        <v>2/2026</v>
      </c>
      <c r="AP90" s="45">
        <f t="shared" si="11"/>
        <v>2</v>
      </c>
      <c r="AQ90" s="45">
        <f t="shared" si="12"/>
        <v>-39</v>
      </c>
      <c r="AR90" s="45">
        <f t="shared" si="13"/>
        <v>0</v>
      </c>
      <c r="AS90" s="45">
        <f t="shared" si="14"/>
        <v>9.5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220" t="s">
        <v>284</v>
      </c>
      <c r="G91" s="92"/>
      <c r="H91" s="93">
        <v>20253</v>
      </c>
      <c r="I91" s="89">
        <v>70</v>
      </c>
      <c r="J91" s="89" t="s">
        <v>51</v>
      </c>
      <c r="K91" s="89" t="s">
        <v>52</v>
      </c>
      <c r="L91" s="89" t="s">
        <v>275</v>
      </c>
      <c r="M91" s="89"/>
      <c r="N91" s="89" t="s">
        <v>151</v>
      </c>
      <c r="O91" s="94" t="s">
        <v>285</v>
      </c>
      <c r="P91" s="95" t="s">
        <v>55</v>
      </c>
      <c r="Q91" s="144" t="s">
        <v>136</v>
      </c>
      <c r="R91" s="96"/>
      <c r="S91" s="97">
        <v>46150</v>
      </c>
      <c r="T91" s="97" t="s">
        <v>183</v>
      </c>
      <c r="U91" s="97" t="s">
        <v>58</v>
      </c>
      <c r="V91" s="93">
        <v>46122</v>
      </c>
      <c r="W91" s="93">
        <v>46126</v>
      </c>
      <c r="X91" s="93">
        <v>46141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8" t="str">
        <f t="shared" si="8"/>
        <v>3/2026</v>
      </c>
      <c r="AN91" s="45">
        <f t="shared" si="9"/>
        <v>4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220" t="s">
        <v>286</v>
      </c>
      <c r="G92" s="92"/>
      <c r="H92" s="93">
        <v>16713</v>
      </c>
      <c r="I92" s="89">
        <v>80</v>
      </c>
      <c r="J92" s="89" t="s">
        <v>77</v>
      </c>
      <c r="K92" s="89" t="s">
        <v>52</v>
      </c>
      <c r="L92" s="89" t="s">
        <v>275</v>
      </c>
      <c r="M92" s="89"/>
      <c r="N92" s="89" t="s">
        <v>151</v>
      </c>
      <c r="O92" s="94" t="s">
        <v>287</v>
      </c>
      <c r="P92" s="95" t="s">
        <v>55</v>
      </c>
      <c r="Q92" s="144" t="s">
        <v>70</v>
      </c>
      <c r="R92" s="96">
        <v>46128</v>
      </c>
      <c r="S92" s="97"/>
      <c r="T92" s="97" t="s">
        <v>57</v>
      </c>
      <c r="U92" s="97" t="s">
        <v>71</v>
      </c>
      <c r="V92" s="93">
        <v>46122</v>
      </c>
      <c r="W92" s="93">
        <v>46126</v>
      </c>
      <c r="X92" s="93">
        <v>46128</v>
      </c>
      <c r="Y92" s="98"/>
      <c r="Z92" s="89" t="s">
        <v>60</v>
      </c>
      <c r="AA92" s="97">
        <v>46135</v>
      </c>
      <c r="AB92" s="89" t="s">
        <v>110</v>
      </c>
      <c r="AC92" s="120"/>
      <c r="AD92" s="89"/>
      <c r="AE92" s="89"/>
      <c r="AF92" s="99"/>
      <c r="AG92" s="99"/>
      <c r="AH92" s="99"/>
      <c r="AI92" s="100" t="s">
        <v>62</v>
      </c>
      <c r="AJ92" s="100" t="s">
        <v>47</v>
      </c>
      <c r="AK92" s="100" t="s">
        <v>62</v>
      </c>
      <c r="AL92" s="45" t="s">
        <v>64</v>
      </c>
      <c r="AM92" s="198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>
        <f t="shared" si="14"/>
        <v>3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220" t="s">
        <v>288</v>
      </c>
      <c r="G93" s="92"/>
      <c r="H93" s="93">
        <v>17665</v>
      </c>
      <c r="I93" s="89">
        <v>77</v>
      </c>
      <c r="J93" s="89" t="s">
        <v>51</v>
      </c>
      <c r="K93" s="89" t="s">
        <v>52</v>
      </c>
      <c r="L93" s="89" t="s">
        <v>275</v>
      </c>
      <c r="M93" s="89"/>
      <c r="N93" s="89" t="s">
        <v>95</v>
      </c>
      <c r="O93" s="94" t="s">
        <v>289</v>
      </c>
      <c r="P93" s="95" t="s">
        <v>55</v>
      </c>
      <c r="Q93" s="144" t="s">
        <v>70</v>
      </c>
      <c r="R93" s="96">
        <v>46128</v>
      </c>
      <c r="S93" s="97"/>
      <c r="T93" s="97" t="s">
        <v>57</v>
      </c>
      <c r="U93" s="97" t="s">
        <v>71</v>
      </c>
      <c r="V93" s="93">
        <v>46122</v>
      </c>
      <c r="W93" s="93">
        <v>46126</v>
      </c>
      <c r="X93" s="93">
        <v>46128</v>
      </c>
      <c r="Y93" s="98"/>
      <c r="Z93" s="89" t="s">
        <v>60</v>
      </c>
      <c r="AA93" s="97">
        <v>46136</v>
      </c>
      <c r="AB93" s="89" t="s">
        <v>110</v>
      </c>
      <c r="AC93" s="120"/>
      <c r="AD93" s="89"/>
      <c r="AE93" s="89"/>
      <c r="AF93" s="99"/>
      <c r="AG93" s="99"/>
      <c r="AH93" s="99"/>
      <c r="AI93" s="100" t="s">
        <v>62</v>
      </c>
      <c r="AJ93" s="100" t="s">
        <v>47</v>
      </c>
      <c r="AK93" s="100" t="s">
        <v>62</v>
      </c>
      <c r="AL93" s="45" t="s">
        <v>64</v>
      </c>
      <c r="AM93" s="198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3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220" t="s">
        <v>290</v>
      </c>
      <c r="G94" s="92"/>
      <c r="H94" s="93">
        <v>14619</v>
      </c>
      <c r="I94" s="89">
        <v>86</v>
      </c>
      <c r="J94" s="89" t="s">
        <v>51</v>
      </c>
      <c r="K94" s="89" t="s">
        <v>52</v>
      </c>
      <c r="L94" s="89" t="s">
        <v>275</v>
      </c>
      <c r="M94" s="89"/>
      <c r="N94" s="89" t="s">
        <v>95</v>
      </c>
      <c r="O94" s="94" t="s">
        <v>291</v>
      </c>
      <c r="P94" s="95" t="s">
        <v>55</v>
      </c>
      <c r="Q94" s="144" t="s">
        <v>136</v>
      </c>
      <c r="R94" s="96"/>
      <c r="S94" s="97">
        <v>46150</v>
      </c>
      <c r="T94" s="97" t="s">
        <v>183</v>
      </c>
      <c r="U94" s="97" t="s">
        <v>58</v>
      </c>
      <c r="V94" s="93">
        <v>46122</v>
      </c>
      <c r="W94" s="93">
        <v>46126</v>
      </c>
      <c r="X94" s="93">
        <v>46141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8" t="str">
        <f t="shared" si="8"/>
        <v>3/2026</v>
      </c>
      <c r="AN94" s="45">
        <f t="shared" si="9"/>
        <v>4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220" t="s">
        <v>292</v>
      </c>
      <c r="G95" s="92"/>
      <c r="H95" s="93">
        <v>18655</v>
      </c>
      <c r="I95" s="89">
        <v>75</v>
      </c>
      <c r="J95" s="89" t="s">
        <v>51</v>
      </c>
      <c r="K95" s="89" t="s">
        <v>271</v>
      </c>
      <c r="L95" s="89" t="s">
        <v>293</v>
      </c>
      <c r="M95" s="89"/>
      <c r="N95" s="89" t="s">
        <v>107</v>
      </c>
      <c r="O95" s="94" t="s">
        <v>294</v>
      </c>
      <c r="P95" s="95" t="s">
        <v>55</v>
      </c>
      <c r="Q95" s="144" t="s">
        <v>70</v>
      </c>
      <c r="R95" s="96">
        <v>46129</v>
      </c>
      <c r="S95" s="97"/>
      <c r="T95" s="97" t="s">
        <v>57</v>
      </c>
      <c r="U95" s="97" t="s">
        <v>71</v>
      </c>
      <c r="V95" s="93">
        <v>46122</v>
      </c>
      <c r="W95" s="93">
        <v>46126</v>
      </c>
      <c r="X95" s="93">
        <v>46141</v>
      </c>
      <c r="Y95" s="98"/>
      <c r="Z95" s="89" t="s">
        <v>60</v>
      </c>
      <c r="AA95" s="97">
        <v>46157</v>
      </c>
      <c r="AB95" s="89" t="s">
        <v>61</v>
      </c>
      <c r="AC95" s="120"/>
      <c r="AD95" s="89"/>
      <c r="AE95" s="89"/>
      <c r="AF95" s="99"/>
      <c r="AG95" s="99"/>
      <c r="AH95" s="99"/>
      <c r="AI95" s="100" t="s">
        <v>62</v>
      </c>
      <c r="AJ95" s="100" t="s">
        <v>62</v>
      </c>
      <c r="AK95" s="100" t="s">
        <v>62</v>
      </c>
      <c r="AL95" s="45" t="s">
        <v>64</v>
      </c>
      <c r="AM95" s="198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25</v>
      </c>
      <c r="AR95" s="45">
        <f t="shared" si="13"/>
        <v>0</v>
      </c>
      <c r="AS95" s="45">
        <f t="shared" si="14"/>
        <v>9.5</v>
      </c>
      <c r="AT95" s="45">
        <f t="shared" si="15"/>
        <v>28</v>
      </c>
      <c r="AU95" s="45" t="str">
        <f>_xlfn.XLOOKUP(U95,'Lista Suspensa'!$AA$20:$AA$23,'Lista Suspensa'!$AB$20:$AB$23,"N/A")</f>
        <v>S</v>
      </c>
    </row>
    <row r="96" spans="1:47" ht="12" hidden="1" customHeight="1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220" t="s">
        <v>295</v>
      </c>
      <c r="G96" s="92"/>
      <c r="H96" s="93">
        <v>17007</v>
      </c>
      <c r="I96" s="89">
        <v>79</v>
      </c>
      <c r="J96" s="89" t="s">
        <v>51</v>
      </c>
      <c r="K96" s="89" t="s">
        <v>271</v>
      </c>
      <c r="L96" s="89" t="s">
        <v>293</v>
      </c>
      <c r="M96" s="89"/>
      <c r="N96" s="89" t="s">
        <v>258</v>
      </c>
      <c r="O96" s="94" t="s">
        <v>296</v>
      </c>
      <c r="P96" s="95" t="s">
        <v>55</v>
      </c>
      <c r="Q96" s="144" t="s">
        <v>70</v>
      </c>
      <c r="R96" s="96">
        <v>46171</v>
      </c>
      <c r="S96" s="97"/>
      <c r="T96" s="97" t="s">
        <v>57</v>
      </c>
      <c r="U96" s="97" t="s">
        <v>71</v>
      </c>
      <c r="V96" s="93">
        <v>46122</v>
      </c>
      <c r="W96" s="93">
        <v>46126</v>
      </c>
      <c r="X96" s="93">
        <v>46141</v>
      </c>
      <c r="Y96" s="98"/>
      <c r="Z96" s="89" t="s">
        <v>60</v>
      </c>
      <c r="AA96" s="97">
        <v>46176</v>
      </c>
      <c r="AB96" s="89" t="s">
        <v>110</v>
      </c>
      <c r="AC96" s="120"/>
      <c r="AD96" s="89"/>
      <c r="AE96" s="89"/>
      <c r="AF96" s="99"/>
      <c r="AG96" s="99"/>
      <c r="AH96" s="99"/>
      <c r="AI96" s="100"/>
      <c r="AJ96" s="100" t="s">
        <v>62</v>
      </c>
      <c r="AK96" s="100" t="s">
        <v>47</v>
      </c>
      <c r="AL96" s="45" t="s">
        <v>64</v>
      </c>
      <c r="AM96" s="198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67</v>
      </c>
      <c r="AR96" s="45">
        <f t="shared" si="13"/>
        <v>0</v>
      </c>
      <c r="AS96" s="45">
        <f t="shared" si="14"/>
        <v>9.5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hidden="1" customHeight="1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220" t="s">
        <v>297</v>
      </c>
      <c r="G97" s="92"/>
      <c r="H97" s="93">
        <v>20825</v>
      </c>
      <c r="I97" s="89">
        <v>69</v>
      </c>
      <c r="J97" s="89" t="s">
        <v>77</v>
      </c>
      <c r="K97" s="89" t="s">
        <v>52</v>
      </c>
      <c r="L97" s="89" t="s">
        <v>298</v>
      </c>
      <c r="M97" s="89"/>
      <c r="N97" s="89" t="s">
        <v>107</v>
      </c>
      <c r="O97" s="94" t="s">
        <v>299</v>
      </c>
      <c r="P97" s="95" t="s">
        <v>55</v>
      </c>
      <c r="Q97" s="144" t="s">
        <v>136</v>
      </c>
      <c r="R97" s="96"/>
      <c r="S97" s="97">
        <v>46150</v>
      </c>
      <c r="T97" s="97" t="s">
        <v>183</v>
      </c>
      <c r="U97" s="97" t="s">
        <v>58</v>
      </c>
      <c r="V97" s="93">
        <v>46122</v>
      </c>
      <c r="W97" s="93">
        <v>46126</v>
      </c>
      <c r="X97" s="93">
        <v>46141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8" t="str">
        <f t="shared" si="8"/>
        <v>3/2026</v>
      </c>
      <c r="AN97" s="45">
        <f t="shared" si="9"/>
        <v>4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220" t="s">
        <v>300</v>
      </c>
      <c r="G98" s="92"/>
      <c r="H98" s="93">
        <v>18921</v>
      </c>
      <c r="I98" s="89">
        <v>74</v>
      </c>
      <c r="J98" s="89" t="s">
        <v>77</v>
      </c>
      <c r="K98" s="89" t="s">
        <v>52</v>
      </c>
      <c r="L98" s="89" t="s">
        <v>275</v>
      </c>
      <c r="M98" s="89"/>
      <c r="N98" s="89" t="s">
        <v>151</v>
      </c>
      <c r="O98" s="94" t="s">
        <v>301</v>
      </c>
      <c r="P98" s="95" t="s">
        <v>55</v>
      </c>
      <c r="Q98" s="144" t="s">
        <v>136</v>
      </c>
      <c r="R98" s="96"/>
      <c r="S98" s="97">
        <v>46150</v>
      </c>
      <c r="T98" s="97" t="s">
        <v>183</v>
      </c>
      <c r="U98" s="97" t="s">
        <v>58</v>
      </c>
      <c r="V98" s="93">
        <v>46122</v>
      </c>
      <c r="W98" s="93">
        <v>46126</v>
      </c>
      <c r="X98" s="93">
        <v>46141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8" t="str">
        <f t="shared" si="8"/>
        <v>3/2026</v>
      </c>
      <c r="AN98" s="45">
        <f t="shared" si="9"/>
        <v>4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220" t="s">
        <v>302</v>
      </c>
      <c r="G99" s="92"/>
      <c r="H99" s="93">
        <v>22337</v>
      </c>
      <c r="I99" s="89">
        <v>65</v>
      </c>
      <c r="J99" s="89" t="s">
        <v>51</v>
      </c>
      <c r="K99" s="89" t="s">
        <v>52</v>
      </c>
      <c r="L99" s="89" t="s">
        <v>275</v>
      </c>
      <c r="M99" s="89"/>
      <c r="N99" s="89" t="s">
        <v>53</v>
      </c>
      <c r="O99" s="94" t="s">
        <v>303</v>
      </c>
      <c r="P99" s="95" t="s">
        <v>55</v>
      </c>
      <c r="Q99" s="144" t="s">
        <v>136</v>
      </c>
      <c r="R99" s="96"/>
      <c r="S99" s="97">
        <v>46150</v>
      </c>
      <c r="T99" s="97" t="s">
        <v>183</v>
      </c>
      <c r="U99" s="97" t="s">
        <v>58</v>
      </c>
      <c r="V99" s="93">
        <v>46122</v>
      </c>
      <c r="W99" s="93">
        <v>46126</v>
      </c>
      <c r="X99" s="93">
        <v>46141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8" t="str">
        <f t="shared" si="8"/>
        <v>3/2026</v>
      </c>
      <c r="AN99" s="45">
        <f t="shared" si="9"/>
        <v>4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220" t="s">
        <v>304</v>
      </c>
      <c r="G100" s="92"/>
      <c r="H100" s="93">
        <v>16613</v>
      </c>
      <c r="I100" s="89">
        <v>80</v>
      </c>
      <c r="J100" s="89" t="s">
        <v>77</v>
      </c>
      <c r="K100" s="89" t="s">
        <v>52</v>
      </c>
      <c r="L100" s="89" t="s">
        <v>275</v>
      </c>
      <c r="M100" s="89"/>
      <c r="N100" s="89" t="s">
        <v>53</v>
      </c>
      <c r="O100" s="94" t="s">
        <v>305</v>
      </c>
      <c r="P100" s="95" t="s">
        <v>55</v>
      </c>
      <c r="Q100" s="144" t="s">
        <v>136</v>
      </c>
      <c r="R100" s="96"/>
      <c r="S100" s="97">
        <v>46150</v>
      </c>
      <c r="T100" s="97" t="s">
        <v>183</v>
      </c>
      <c r="U100" s="97" t="s">
        <v>58</v>
      </c>
      <c r="V100" s="93">
        <v>46122</v>
      </c>
      <c r="W100" s="93">
        <v>46126</v>
      </c>
      <c r="X100" s="93">
        <v>46141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8" t="str">
        <f t="shared" si="8"/>
        <v>3/2026</v>
      </c>
      <c r="AN100" s="45">
        <f t="shared" si="9"/>
        <v>4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220" t="s">
        <v>306</v>
      </c>
      <c r="G101" s="92"/>
      <c r="H101" s="93">
        <v>21504</v>
      </c>
      <c r="I101" s="89">
        <v>67</v>
      </c>
      <c r="J101" s="89" t="s">
        <v>51</v>
      </c>
      <c r="K101" s="89" t="s">
        <v>52</v>
      </c>
      <c r="L101" s="89" t="s">
        <v>275</v>
      </c>
      <c r="M101" s="89"/>
      <c r="N101" s="89" t="s">
        <v>92</v>
      </c>
      <c r="O101" s="94" t="s">
        <v>307</v>
      </c>
      <c r="P101" s="95" t="s">
        <v>55</v>
      </c>
      <c r="Q101" s="144" t="s">
        <v>136</v>
      </c>
      <c r="R101" s="96"/>
      <c r="S101" s="97">
        <v>46150</v>
      </c>
      <c r="T101" s="97" t="s">
        <v>183</v>
      </c>
      <c r="U101" s="97" t="s">
        <v>58</v>
      </c>
      <c r="V101" s="93">
        <v>46122</v>
      </c>
      <c r="W101" s="93">
        <v>46126</v>
      </c>
      <c r="X101" s="93">
        <v>46141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8" t="str">
        <f t="shared" si="8"/>
        <v>3/2026</v>
      </c>
      <c r="AN101" s="45">
        <f t="shared" si="9"/>
        <v>4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220" t="s">
        <v>308</v>
      </c>
      <c r="G102" s="92"/>
      <c r="H102" s="93">
        <v>18037</v>
      </c>
      <c r="I102" s="89">
        <v>76</v>
      </c>
      <c r="J102" s="89" t="s">
        <v>51</v>
      </c>
      <c r="K102" s="89" t="s">
        <v>52</v>
      </c>
      <c r="L102" s="89" t="s">
        <v>275</v>
      </c>
      <c r="M102" s="89"/>
      <c r="N102" s="89" t="s">
        <v>92</v>
      </c>
      <c r="O102" s="94" t="s">
        <v>309</v>
      </c>
      <c r="P102" s="95" t="s">
        <v>55</v>
      </c>
      <c r="Q102" s="144" t="s">
        <v>136</v>
      </c>
      <c r="R102" s="96"/>
      <c r="S102" s="97">
        <v>46150</v>
      </c>
      <c r="T102" s="97" t="s">
        <v>183</v>
      </c>
      <c r="U102" s="97" t="s">
        <v>58</v>
      </c>
      <c r="V102" s="93">
        <v>46122</v>
      </c>
      <c r="W102" s="93">
        <v>46126</v>
      </c>
      <c r="X102" s="93">
        <v>46141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8" t="str">
        <f t="shared" si="8"/>
        <v>3/2026</v>
      </c>
      <c r="AN102" s="45">
        <f t="shared" si="9"/>
        <v>4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220" t="s">
        <v>310</v>
      </c>
      <c r="G103" s="92"/>
      <c r="H103" s="93">
        <v>25057</v>
      </c>
      <c r="I103" s="89">
        <v>57</v>
      </c>
      <c r="J103" s="89" t="s">
        <v>51</v>
      </c>
      <c r="K103" s="89" t="s">
        <v>52</v>
      </c>
      <c r="L103" s="89" t="s">
        <v>275</v>
      </c>
      <c r="M103" s="89"/>
      <c r="N103" s="89" t="s">
        <v>95</v>
      </c>
      <c r="O103" s="94" t="s">
        <v>311</v>
      </c>
      <c r="P103" s="95" t="s">
        <v>55</v>
      </c>
      <c r="Q103" s="144" t="s">
        <v>136</v>
      </c>
      <c r="R103" s="96"/>
      <c r="S103" s="97">
        <v>46150</v>
      </c>
      <c r="T103" s="97" t="s">
        <v>183</v>
      </c>
      <c r="U103" s="97" t="s">
        <v>58</v>
      </c>
      <c r="V103" s="93">
        <v>46122</v>
      </c>
      <c r="W103" s="93">
        <v>46126</v>
      </c>
      <c r="X103" s="93">
        <v>46141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8" t="str">
        <f t="shared" si="8"/>
        <v>3/2026</v>
      </c>
      <c r="AN103" s="45">
        <f t="shared" si="9"/>
        <v>4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220" t="s">
        <v>312</v>
      </c>
      <c r="G104" s="92"/>
      <c r="H104" s="93">
        <v>14502</v>
      </c>
      <c r="I104" s="89">
        <v>86</v>
      </c>
      <c r="J104" s="89" t="s">
        <v>77</v>
      </c>
      <c r="K104" s="89" t="s">
        <v>52</v>
      </c>
      <c r="L104" s="89" t="s">
        <v>275</v>
      </c>
      <c r="M104" s="89"/>
      <c r="N104" s="89" t="s">
        <v>151</v>
      </c>
      <c r="O104" s="94" t="s">
        <v>313</v>
      </c>
      <c r="P104" s="95" t="s">
        <v>55</v>
      </c>
      <c r="Q104" s="144" t="s">
        <v>136</v>
      </c>
      <c r="R104" s="96"/>
      <c r="S104" s="97">
        <v>46150</v>
      </c>
      <c r="T104" s="97" t="s">
        <v>183</v>
      </c>
      <c r="U104" s="97" t="s">
        <v>58</v>
      </c>
      <c r="V104" s="93">
        <v>46122</v>
      </c>
      <c r="W104" s="93">
        <v>46126</v>
      </c>
      <c r="X104" s="93">
        <v>46141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8" t="str">
        <f t="shared" si="8"/>
        <v>3/2026</v>
      </c>
      <c r="AN104" s="45">
        <f t="shared" si="9"/>
        <v>4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220" t="s">
        <v>314</v>
      </c>
      <c r="G105" s="92"/>
      <c r="H105" s="93">
        <v>15744</v>
      </c>
      <c r="I105" s="89">
        <v>83</v>
      </c>
      <c r="J105" s="89" t="s">
        <v>77</v>
      </c>
      <c r="K105" s="89" t="s">
        <v>52</v>
      </c>
      <c r="L105" s="89" t="s">
        <v>275</v>
      </c>
      <c r="M105" s="89"/>
      <c r="N105" s="89" t="s">
        <v>151</v>
      </c>
      <c r="O105" s="94" t="s">
        <v>315</v>
      </c>
      <c r="P105" s="95" t="s">
        <v>55</v>
      </c>
      <c r="Q105" s="144" t="s">
        <v>136</v>
      </c>
      <c r="R105" s="96"/>
      <c r="S105" s="97">
        <v>46150</v>
      </c>
      <c r="T105" s="97" t="s">
        <v>183</v>
      </c>
      <c r="U105" s="97" t="s">
        <v>58</v>
      </c>
      <c r="V105" s="93">
        <v>46122</v>
      </c>
      <c r="W105" s="93">
        <v>46126</v>
      </c>
      <c r="X105" s="93">
        <v>46141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8" t="str">
        <f t="shared" si="8"/>
        <v>3/2026</v>
      </c>
      <c r="AN105" s="45">
        <f t="shared" si="9"/>
        <v>4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220" t="s">
        <v>316</v>
      </c>
      <c r="G106" s="92"/>
      <c r="H106" s="93">
        <v>21928</v>
      </c>
      <c r="I106" s="89">
        <v>66</v>
      </c>
      <c r="J106" s="89" t="s">
        <v>77</v>
      </c>
      <c r="K106" s="89" t="s">
        <v>52</v>
      </c>
      <c r="L106" s="89" t="s">
        <v>275</v>
      </c>
      <c r="M106" s="89"/>
      <c r="N106" s="89" t="s">
        <v>151</v>
      </c>
      <c r="O106" s="94" t="s">
        <v>317</v>
      </c>
      <c r="P106" s="95" t="s">
        <v>55</v>
      </c>
      <c r="Q106" s="144" t="s">
        <v>136</v>
      </c>
      <c r="R106" s="96"/>
      <c r="S106" s="97">
        <v>46150</v>
      </c>
      <c r="T106" s="97" t="s">
        <v>183</v>
      </c>
      <c r="U106" s="97" t="s">
        <v>58</v>
      </c>
      <c r="V106" s="93">
        <v>46122</v>
      </c>
      <c r="W106" s="93">
        <v>46126</v>
      </c>
      <c r="X106" s="93">
        <v>46141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8" t="str">
        <f t="shared" si="8"/>
        <v>3/2026</v>
      </c>
      <c r="AN106" s="45">
        <f t="shared" si="9"/>
        <v>4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hidden="1" customHeight="1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220" t="s">
        <v>318</v>
      </c>
      <c r="G107" s="92"/>
      <c r="H107" s="93">
        <v>17031</v>
      </c>
      <c r="I107" s="89">
        <v>79</v>
      </c>
      <c r="J107" s="89" t="s">
        <v>51</v>
      </c>
      <c r="K107" s="89" t="s">
        <v>52</v>
      </c>
      <c r="L107" s="89" t="s">
        <v>298</v>
      </c>
      <c r="M107" s="89"/>
      <c r="N107" s="89" t="s">
        <v>151</v>
      </c>
      <c r="O107" s="94" t="s">
        <v>319</v>
      </c>
      <c r="P107" s="95" t="s">
        <v>55</v>
      </c>
      <c r="Q107" s="144" t="s">
        <v>136</v>
      </c>
      <c r="R107" s="96"/>
      <c r="S107" s="97">
        <v>46150</v>
      </c>
      <c r="T107" s="97" t="s">
        <v>183</v>
      </c>
      <c r="U107" s="97" t="s">
        <v>58</v>
      </c>
      <c r="V107" s="93">
        <v>46122</v>
      </c>
      <c r="W107" s="93">
        <v>46126</v>
      </c>
      <c r="X107" s="93">
        <v>46141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8" t="str">
        <f t="shared" si="8"/>
        <v>3/2026</v>
      </c>
      <c r="AN107" s="45">
        <f t="shared" si="9"/>
        <v>4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220" t="s">
        <v>320</v>
      </c>
      <c r="G108" s="92"/>
      <c r="H108" s="93">
        <v>15209</v>
      </c>
      <c r="I108" s="89">
        <v>84</v>
      </c>
      <c r="J108" s="89" t="s">
        <v>77</v>
      </c>
      <c r="K108" s="89" t="s">
        <v>52</v>
      </c>
      <c r="L108" s="89" t="s">
        <v>321</v>
      </c>
      <c r="M108" s="89"/>
      <c r="N108" s="89" t="s">
        <v>151</v>
      </c>
      <c r="O108" s="94" t="s">
        <v>322</v>
      </c>
      <c r="P108" s="95" t="s">
        <v>55</v>
      </c>
      <c r="Q108" s="144" t="s">
        <v>70</v>
      </c>
      <c r="R108" s="96">
        <v>46128</v>
      </c>
      <c r="S108" s="97"/>
      <c r="T108" s="97" t="s">
        <v>57</v>
      </c>
      <c r="U108" s="97" t="s">
        <v>71</v>
      </c>
      <c r="V108" s="93">
        <v>46122</v>
      </c>
      <c r="W108" s="93">
        <v>46126</v>
      </c>
      <c r="X108" s="93">
        <v>46128</v>
      </c>
      <c r="Y108" s="98"/>
      <c r="Z108" s="89" t="s">
        <v>60</v>
      </c>
      <c r="AA108" s="97">
        <v>46136</v>
      </c>
      <c r="AB108" s="89" t="s">
        <v>110</v>
      </c>
      <c r="AC108" s="120"/>
      <c r="AD108" s="89"/>
      <c r="AE108" s="89"/>
      <c r="AF108" s="99"/>
      <c r="AG108" s="99"/>
      <c r="AH108" s="99"/>
      <c r="AI108" s="100" t="s">
        <v>62</v>
      </c>
      <c r="AJ108" s="100" t="s">
        <v>47</v>
      </c>
      <c r="AK108" s="100" t="s">
        <v>62</v>
      </c>
      <c r="AL108" s="45" t="s">
        <v>64</v>
      </c>
      <c r="AM108" s="198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3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220" t="s">
        <v>323</v>
      </c>
      <c r="G109" s="92"/>
      <c r="H109" s="93">
        <v>18280</v>
      </c>
      <c r="I109" s="89">
        <v>76</v>
      </c>
      <c r="J109" s="89" t="s">
        <v>51</v>
      </c>
      <c r="K109" s="89" t="s">
        <v>52</v>
      </c>
      <c r="L109" s="89" t="s">
        <v>275</v>
      </c>
      <c r="M109" s="89"/>
      <c r="N109" s="89" t="s">
        <v>151</v>
      </c>
      <c r="O109" s="94" t="s">
        <v>324</v>
      </c>
      <c r="P109" s="95" t="s">
        <v>55</v>
      </c>
      <c r="Q109" s="144" t="s">
        <v>70</v>
      </c>
      <c r="R109" s="96">
        <v>46122</v>
      </c>
      <c r="S109" s="97"/>
      <c r="T109" s="97" t="s">
        <v>57</v>
      </c>
      <c r="U109" s="97" t="s">
        <v>71</v>
      </c>
      <c r="V109" s="93">
        <v>46122</v>
      </c>
      <c r="W109" s="93" t="s">
        <v>72</v>
      </c>
      <c r="X109" s="93" t="s">
        <v>72</v>
      </c>
      <c r="Y109" s="98"/>
      <c r="Z109" s="89" t="s">
        <v>60</v>
      </c>
      <c r="AA109" s="97">
        <v>46126</v>
      </c>
      <c r="AB109" s="89" t="s">
        <v>61</v>
      </c>
      <c r="AC109" s="120"/>
      <c r="AD109" s="89"/>
      <c r="AE109" s="89"/>
      <c r="AF109" s="99"/>
      <c r="AG109" s="99"/>
      <c r="AH109" s="99"/>
      <c r="AI109" s="100" t="s">
        <v>62</v>
      </c>
      <c r="AJ109" s="100" t="s">
        <v>47</v>
      </c>
      <c r="AK109" s="100" t="s">
        <v>62</v>
      </c>
      <c r="AL109" s="45" t="s">
        <v>64</v>
      </c>
      <c r="AM109" s="198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2</v>
      </c>
      <c r="AQ109" s="45">
        <f t="shared" si="12"/>
        <v>18</v>
      </c>
      <c r="AR109" s="45">
        <f t="shared" si="13"/>
        <v>0</v>
      </c>
      <c r="AS109" s="45">
        <f t="shared" si="14"/>
        <v>0</v>
      </c>
      <c r="AT109" s="45">
        <f t="shared" si="15"/>
        <v>4</v>
      </c>
      <c r="AU109" s="45" t="str">
        <f>_xlfn.XLOOKUP(U109,'Lista Suspensa'!$AA$20:$AA$23,'Lista Suspensa'!$AB$20:$AB$23,"N/A")</f>
        <v>S</v>
      </c>
    </row>
    <row r="110" spans="1:47" ht="12" hidden="1" customHeight="1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220" t="s">
        <v>325</v>
      </c>
      <c r="G110" s="92"/>
      <c r="H110" s="93">
        <v>24079</v>
      </c>
      <c r="I110" s="89">
        <v>60</v>
      </c>
      <c r="J110" s="89" t="s">
        <v>51</v>
      </c>
      <c r="K110" s="89" t="s">
        <v>52</v>
      </c>
      <c r="L110" s="89" t="s">
        <v>275</v>
      </c>
      <c r="M110" s="89"/>
      <c r="N110" s="89" t="s">
        <v>151</v>
      </c>
      <c r="O110" s="94" t="s">
        <v>326</v>
      </c>
      <c r="P110" s="95" t="s">
        <v>55</v>
      </c>
      <c r="Q110" s="144" t="s">
        <v>136</v>
      </c>
      <c r="R110" s="96"/>
      <c r="S110" s="97">
        <v>46150</v>
      </c>
      <c r="T110" s="97" t="s">
        <v>183</v>
      </c>
      <c r="U110" s="97" t="s">
        <v>58</v>
      </c>
      <c r="V110" s="93">
        <v>46122</v>
      </c>
      <c r="W110" s="93">
        <v>46126</v>
      </c>
      <c r="X110" s="93">
        <v>46141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8" t="str">
        <f t="shared" si="8"/>
        <v>3/2026</v>
      </c>
      <c r="AN110" s="45">
        <f t="shared" si="9"/>
        <v>4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220" t="s">
        <v>327</v>
      </c>
      <c r="G111" s="92"/>
      <c r="H111" s="93">
        <v>28001</v>
      </c>
      <c r="I111" s="89">
        <v>49</v>
      </c>
      <c r="J111" s="89" t="s">
        <v>51</v>
      </c>
      <c r="K111" s="89" t="s">
        <v>52</v>
      </c>
      <c r="L111" s="89" t="s">
        <v>328</v>
      </c>
      <c r="M111" s="89"/>
      <c r="N111" s="89" t="s">
        <v>79</v>
      </c>
      <c r="O111" s="94" t="s">
        <v>329</v>
      </c>
      <c r="P111" s="95" t="s">
        <v>55</v>
      </c>
      <c r="Q111" s="144" t="s">
        <v>136</v>
      </c>
      <c r="R111" s="96"/>
      <c r="S111" s="97">
        <v>46150</v>
      </c>
      <c r="T111" s="97" t="s">
        <v>183</v>
      </c>
      <c r="U111" s="97" t="s">
        <v>58</v>
      </c>
      <c r="V111" s="93">
        <v>46122</v>
      </c>
      <c r="W111" s="93">
        <v>46126</v>
      </c>
      <c r="X111" s="93">
        <v>46141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8" t="str">
        <f t="shared" si="8"/>
        <v>3/2026</v>
      </c>
      <c r="AN111" s="45">
        <f t="shared" si="9"/>
        <v>4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220" t="s">
        <v>330</v>
      </c>
      <c r="G112" s="92"/>
      <c r="H112" s="93">
        <v>19565</v>
      </c>
      <c r="I112" s="89">
        <v>72</v>
      </c>
      <c r="J112" s="89" t="s">
        <v>51</v>
      </c>
      <c r="K112" s="89" t="s">
        <v>271</v>
      </c>
      <c r="L112" s="89" t="s">
        <v>293</v>
      </c>
      <c r="M112" s="89"/>
      <c r="N112" s="89" t="s">
        <v>107</v>
      </c>
      <c r="O112" s="94" t="s">
        <v>331</v>
      </c>
      <c r="P112" s="95" t="s">
        <v>55</v>
      </c>
      <c r="Q112" s="144" t="s">
        <v>70</v>
      </c>
      <c r="R112" s="96">
        <v>46171</v>
      </c>
      <c r="S112" s="97"/>
      <c r="T112" s="97" t="s">
        <v>57</v>
      </c>
      <c r="U112" s="97" t="s">
        <v>71</v>
      </c>
      <c r="V112" s="93">
        <v>46122</v>
      </c>
      <c r="W112" s="93">
        <v>46126</v>
      </c>
      <c r="X112" s="93">
        <v>46141</v>
      </c>
      <c r="Y112" s="98"/>
      <c r="Z112" s="89" t="s">
        <v>60</v>
      </c>
      <c r="AA112" s="97">
        <v>46178</v>
      </c>
      <c r="AB112" s="89" t="s">
        <v>110</v>
      </c>
      <c r="AC112" s="120"/>
      <c r="AD112" s="89"/>
      <c r="AE112" s="89"/>
      <c r="AF112" s="99"/>
      <c r="AG112" s="99"/>
      <c r="AH112" s="99"/>
      <c r="AI112" s="100"/>
      <c r="AJ112" s="100" t="s">
        <v>62</v>
      </c>
      <c r="AK112" s="100" t="s">
        <v>47</v>
      </c>
      <c r="AL112" s="45" t="s">
        <v>64</v>
      </c>
      <c r="AM112" s="198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67</v>
      </c>
      <c r="AR112" s="45">
        <f t="shared" si="13"/>
        <v>0</v>
      </c>
      <c r="AS112" s="45">
        <f t="shared" si="14"/>
        <v>9.5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220" t="s">
        <v>332</v>
      </c>
      <c r="G113" s="92"/>
      <c r="H113" s="93">
        <v>16867</v>
      </c>
      <c r="I113" s="89">
        <v>80</v>
      </c>
      <c r="J113" s="89" t="s">
        <v>51</v>
      </c>
      <c r="K113" s="89" t="s">
        <v>52</v>
      </c>
      <c r="L113" s="89" t="s">
        <v>275</v>
      </c>
      <c r="M113" s="89"/>
      <c r="N113" s="89" t="s">
        <v>92</v>
      </c>
      <c r="O113" s="94" t="s">
        <v>333</v>
      </c>
      <c r="P113" s="95" t="s">
        <v>55</v>
      </c>
      <c r="Q113" s="144" t="s">
        <v>136</v>
      </c>
      <c r="R113" s="96"/>
      <c r="S113" s="97">
        <v>46150</v>
      </c>
      <c r="T113" s="97" t="s">
        <v>183</v>
      </c>
      <c r="U113" s="97" t="s">
        <v>58</v>
      </c>
      <c r="V113" s="93">
        <v>46122</v>
      </c>
      <c r="W113" s="93">
        <v>46126</v>
      </c>
      <c r="X113" s="93">
        <v>46141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8" t="str">
        <f t="shared" si="8"/>
        <v>3/2026</v>
      </c>
      <c r="AN113" s="45">
        <f t="shared" si="9"/>
        <v>4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220" t="s">
        <v>334</v>
      </c>
      <c r="G114" s="92">
        <v>10872920852</v>
      </c>
      <c r="H114" s="93">
        <v>26050</v>
      </c>
      <c r="I114" s="89">
        <v>54</v>
      </c>
      <c r="J114" s="89" t="s">
        <v>77</v>
      </c>
      <c r="K114" s="89" t="s">
        <v>52</v>
      </c>
      <c r="L114" s="89" t="s">
        <v>335</v>
      </c>
      <c r="M114" s="89"/>
      <c r="N114" s="89" t="s">
        <v>79</v>
      </c>
      <c r="O114" s="94" t="s">
        <v>336</v>
      </c>
      <c r="P114" s="95" t="s">
        <v>55</v>
      </c>
      <c r="Q114" s="144" t="s">
        <v>70</v>
      </c>
      <c r="R114" s="96">
        <v>46128</v>
      </c>
      <c r="S114" s="97"/>
      <c r="T114" s="97" t="s">
        <v>57</v>
      </c>
      <c r="U114" s="97" t="s">
        <v>71</v>
      </c>
      <c r="V114" s="93">
        <v>46122</v>
      </c>
      <c r="W114" s="93">
        <v>46126</v>
      </c>
      <c r="X114" s="93">
        <v>46128</v>
      </c>
      <c r="Y114" s="98"/>
      <c r="Z114" s="89" t="s">
        <v>60</v>
      </c>
      <c r="AA114" s="97">
        <v>46139</v>
      </c>
      <c r="AB114" s="89" t="s">
        <v>110</v>
      </c>
      <c r="AC114" s="120">
        <v>46161</v>
      </c>
      <c r="AD114" s="89"/>
      <c r="AE114" s="89"/>
      <c r="AF114" s="99"/>
      <c r="AG114" s="99"/>
      <c r="AH114" s="99"/>
      <c r="AI114" s="100" t="s">
        <v>62</v>
      </c>
      <c r="AJ114" s="100" t="s">
        <v>47</v>
      </c>
      <c r="AK114" s="100" t="s">
        <v>62</v>
      </c>
      <c r="AL114" s="45" t="s">
        <v>64</v>
      </c>
      <c r="AM114" s="198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3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220" t="s">
        <v>337</v>
      </c>
      <c r="G115" s="92"/>
      <c r="H115" s="93">
        <v>26181</v>
      </c>
      <c r="I115" s="89">
        <v>54</v>
      </c>
      <c r="J115" s="89" t="s">
        <v>51</v>
      </c>
      <c r="K115" s="89" t="s">
        <v>52</v>
      </c>
      <c r="L115" s="89" t="s">
        <v>275</v>
      </c>
      <c r="M115" s="89"/>
      <c r="N115" s="89" t="s">
        <v>53</v>
      </c>
      <c r="O115" s="94" t="s">
        <v>338</v>
      </c>
      <c r="P115" s="95" t="s">
        <v>55</v>
      </c>
      <c r="Q115" s="144" t="s">
        <v>136</v>
      </c>
      <c r="R115" s="96"/>
      <c r="S115" s="97">
        <v>46150</v>
      </c>
      <c r="T115" s="97" t="s">
        <v>183</v>
      </c>
      <c r="U115" s="97" t="s">
        <v>58</v>
      </c>
      <c r="V115" s="93">
        <v>46122</v>
      </c>
      <c r="W115" s="93">
        <v>46126</v>
      </c>
      <c r="X115" s="93">
        <v>46141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8" t="str">
        <f t="shared" si="8"/>
        <v>3/2026</v>
      </c>
      <c r="AN115" s="45">
        <f t="shared" si="9"/>
        <v>4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220" t="s">
        <v>339</v>
      </c>
      <c r="G116" s="92">
        <v>86569236768</v>
      </c>
      <c r="H116" s="93">
        <v>16879</v>
      </c>
      <c r="I116" s="89">
        <v>80</v>
      </c>
      <c r="J116" s="89" t="s">
        <v>77</v>
      </c>
      <c r="K116" s="89" t="s">
        <v>271</v>
      </c>
      <c r="L116" s="89" t="s">
        <v>293</v>
      </c>
      <c r="M116" s="89"/>
      <c r="N116" s="89" t="s">
        <v>92</v>
      </c>
      <c r="O116" s="94" t="s">
        <v>340</v>
      </c>
      <c r="P116" s="95" t="s">
        <v>55</v>
      </c>
      <c r="Q116" s="144" t="s">
        <v>70</v>
      </c>
      <c r="R116" s="96">
        <v>46141</v>
      </c>
      <c r="S116" s="97"/>
      <c r="T116" s="97" t="s">
        <v>57</v>
      </c>
      <c r="U116" s="97" t="s">
        <v>71</v>
      </c>
      <c r="V116" s="93">
        <v>46122</v>
      </c>
      <c r="W116" s="93">
        <v>46126</v>
      </c>
      <c r="X116" s="93">
        <v>46141</v>
      </c>
      <c r="Y116" s="98"/>
      <c r="Z116" s="89" t="s">
        <v>60</v>
      </c>
      <c r="AA116" s="97">
        <v>46148</v>
      </c>
      <c r="AB116" s="89" t="s">
        <v>110</v>
      </c>
      <c r="AC116" s="120">
        <v>46161</v>
      </c>
      <c r="AD116" s="89"/>
      <c r="AE116" s="89"/>
      <c r="AF116" s="99"/>
      <c r="AG116" s="99"/>
      <c r="AH116" s="99"/>
      <c r="AI116" s="100" t="s">
        <v>62</v>
      </c>
      <c r="AJ116" s="100" t="s">
        <v>47</v>
      </c>
      <c r="AK116" s="100" t="s">
        <v>62</v>
      </c>
      <c r="AL116" s="45" t="s">
        <v>64</v>
      </c>
      <c r="AM116" s="198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5</v>
      </c>
      <c r="AQ116" s="45">
        <f t="shared" si="12"/>
        <v>37</v>
      </c>
      <c r="AR116" s="45">
        <f t="shared" si="13"/>
        <v>0</v>
      </c>
      <c r="AS116" s="45">
        <f t="shared" si="14"/>
        <v>9.5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220" t="s">
        <v>341</v>
      </c>
      <c r="G117" s="92"/>
      <c r="H117" s="93">
        <v>21778</v>
      </c>
      <c r="I117" s="89">
        <v>66</v>
      </c>
      <c r="J117" s="89" t="s">
        <v>77</v>
      </c>
      <c r="K117" s="89" t="s">
        <v>271</v>
      </c>
      <c r="L117" s="89" t="s">
        <v>342</v>
      </c>
      <c r="M117" s="89"/>
      <c r="N117" s="89" t="s">
        <v>53</v>
      </c>
      <c r="O117" s="94" t="s">
        <v>343</v>
      </c>
      <c r="P117" s="95" t="s">
        <v>55</v>
      </c>
      <c r="Q117" s="144" t="s">
        <v>70</v>
      </c>
      <c r="R117" s="96">
        <v>46128</v>
      </c>
      <c r="S117" s="97"/>
      <c r="T117" s="97" t="s">
        <v>57</v>
      </c>
      <c r="U117" s="97" t="s">
        <v>71</v>
      </c>
      <c r="V117" s="93">
        <v>46122</v>
      </c>
      <c r="W117" s="93">
        <v>46126</v>
      </c>
      <c r="X117" s="93">
        <v>46128</v>
      </c>
      <c r="Y117" s="98"/>
      <c r="Z117" s="89" t="s">
        <v>60</v>
      </c>
      <c r="AA117" s="97">
        <v>46135</v>
      </c>
      <c r="AB117" s="89" t="s">
        <v>110</v>
      </c>
      <c r="AC117" s="120"/>
      <c r="AD117" s="89"/>
      <c r="AE117" s="89"/>
      <c r="AF117" s="99"/>
      <c r="AG117" s="99"/>
      <c r="AH117" s="99"/>
      <c r="AI117" s="100" t="s">
        <v>62</v>
      </c>
      <c r="AJ117" s="100" t="s">
        <v>47</v>
      </c>
      <c r="AK117" s="100" t="s">
        <v>62</v>
      </c>
      <c r="AL117" s="45" t="s">
        <v>64</v>
      </c>
      <c r="AM117" s="198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3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hidden="1" customHeight="1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220" t="s">
        <v>344</v>
      </c>
      <c r="G118" s="92"/>
      <c r="H118" s="93">
        <v>21349</v>
      </c>
      <c r="I118" s="89">
        <v>67</v>
      </c>
      <c r="J118" s="89" t="s">
        <v>51</v>
      </c>
      <c r="K118" s="89" t="s">
        <v>52</v>
      </c>
      <c r="L118" s="89" t="s">
        <v>275</v>
      </c>
      <c r="M118" s="89"/>
      <c r="N118" s="89" t="s">
        <v>53</v>
      </c>
      <c r="O118" s="94" t="s">
        <v>345</v>
      </c>
      <c r="P118" s="95" t="s">
        <v>55</v>
      </c>
      <c r="Q118" s="144" t="s">
        <v>136</v>
      </c>
      <c r="R118" s="96"/>
      <c r="S118" s="97">
        <v>46150</v>
      </c>
      <c r="T118" s="97" t="s">
        <v>183</v>
      </c>
      <c r="U118" s="97" t="s">
        <v>58</v>
      </c>
      <c r="V118" s="93">
        <v>46122</v>
      </c>
      <c r="W118" s="93">
        <v>46126</v>
      </c>
      <c r="X118" s="93">
        <v>46141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/>
      <c r="AK118" s="100"/>
      <c r="AL118" s="45" t="s">
        <v>64</v>
      </c>
      <c r="AM118" s="198" t="str">
        <f t="shared" si="8"/>
        <v>3/2026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220" t="s">
        <v>346</v>
      </c>
      <c r="G119" s="92"/>
      <c r="H119" s="93">
        <v>15582</v>
      </c>
      <c r="I119" s="89">
        <v>83</v>
      </c>
      <c r="J119" s="89" t="s">
        <v>77</v>
      </c>
      <c r="K119" s="89" t="s">
        <v>52</v>
      </c>
      <c r="L119" s="89" t="s">
        <v>275</v>
      </c>
      <c r="M119" s="89"/>
      <c r="N119" s="89" t="s">
        <v>92</v>
      </c>
      <c r="O119" s="94" t="s">
        <v>347</v>
      </c>
      <c r="P119" s="95" t="s">
        <v>55</v>
      </c>
      <c r="Q119" s="144" t="s">
        <v>70</v>
      </c>
      <c r="R119" s="96">
        <v>46128</v>
      </c>
      <c r="S119" s="97"/>
      <c r="T119" s="97" t="s">
        <v>57</v>
      </c>
      <c r="U119" s="97" t="s">
        <v>71</v>
      </c>
      <c r="V119" s="93">
        <v>46122</v>
      </c>
      <c r="W119" s="93">
        <v>46126</v>
      </c>
      <c r="X119" s="93">
        <v>46128</v>
      </c>
      <c r="Y119" s="98"/>
      <c r="Z119" s="89" t="s">
        <v>60</v>
      </c>
      <c r="AA119" s="97">
        <v>46135</v>
      </c>
      <c r="AB119" s="89" t="s">
        <v>110</v>
      </c>
      <c r="AC119" s="120"/>
      <c r="AD119" s="89"/>
      <c r="AE119" s="89"/>
      <c r="AF119" s="99"/>
      <c r="AG119" s="99"/>
      <c r="AH119" s="99"/>
      <c r="AI119" s="100" t="s">
        <v>62</v>
      </c>
      <c r="AJ119" s="100" t="s">
        <v>47</v>
      </c>
      <c r="AK119" s="100" t="s">
        <v>62</v>
      </c>
      <c r="AL119" s="45" t="s">
        <v>64</v>
      </c>
      <c r="AM119" s="198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3</v>
      </c>
      <c r="AQ119" s="45">
        <f t="shared" si="12"/>
        <v>24</v>
      </c>
      <c r="AR119" s="45">
        <f t="shared" si="13"/>
        <v>0</v>
      </c>
      <c r="AS119" s="45">
        <f t="shared" si="14"/>
        <v>3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220" t="s">
        <v>348</v>
      </c>
      <c r="G120" s="92"/>
      <c r="H120" s="93">
        <v>19438</v>
      </c>
      <c r="I120" s="89">
        <v>73</v>
      </c>
      <c r="J120" s="89" t="s">
        <v>77</v>
      </c>
      <c r="K120" s="89" t="s">
        <v>52</v>
      </c>
      <c r="L120" s="89" t="s">
        <v>275</v>
      </c>
      <c r="M120" s="89"/>
      <c r="N120" s="89" t="s">
        <v>107</v>
      </c>
      <c r="O120" s="94" t="s">
        <v>349</v>
      </c>
      <c r="P120" s="95" t="s">
        <v>55</v>
      </c>
      <c r="Q120" s="144" t="s">
        <v>70</v>
      </c>
      <c r="R120" s="96">
        <v>46129</v>
      </c>
      <c r="S120" s="97"/>
      <c r="T120" s="97" t="s">
        <v>57</v>
      </c>
      <c r="U120" s="97" t="s">
        <v>71</v>
      </c>
      <c r="V120" s="93">
        <v>46122</v>
      </c>
      <c r="W120" s="93">
        <v>46126</v>
      </c>
      <c r="X120" s="93">
        <v>46141</v>
      </c>
      <c r="Y120" s="98"/>
      <c r="Z120" s="89" t="s">
        <v>60</v>
      </c>
      <c r="AA120" s="97">
        <v>46157</v>
      </c>
      <c r="AB120" s="89" t="s">
        <v>110</v>
      </c>
      <c r="AC120" s="120"/>
      <c r="AD120" s="89"/>
      <c r="AE120" s="89"/>
      <c r="AF120" s="99"/>
      <c r="AG120" s="99"/>
      <c r="AH120" s="99"/>
      <c r="AI120" s="100" t="s">
        <v>62</v>
      </c>
      <c r="AJ120" s="100" t="s">
        <v>62</v>
      </c>
      <c r="AK120" s="100" t="s">
        <v>62</v>
      </c>
      <c r="AL120" s="45" t="s">
        <v>64</v>
      </c>
      <c r="AM120" s="198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3</v>
      </c>
      <c r="AQ120" s="45">
        <f t="shared" si="12"/>
        <v>25</v>
      </c>
      <c r="AR120" s="45">
        <f t="shared" si="13"/>
        <v>0</v>
      </c>
      <c r="AS120" s="45">
        <f t="shared" si="14"/>
        <v>9.5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220" t="s">
        <v>350</v>
      </c>
      <c r="G121" s="92"/>
      <c r="H121" s="93">
        <v>17147</v>
      </c>
      <c r="I121" s="89">
        <v>79</v>
      </c>
      <c r="J121" s="89" t="s">
        <v>51</v>
      </c>
      <c r="K121" s="89" t="s">
        <v>52</v>
      </c>
      <c r="L121" s="89" t="s">
        <v>328</v>
      </c>
      <c r="M121" s="89"/>
      <c r="N121" s="89" t="s">
        <v>53</v>
      </c>
      <c r="O121" s="94" t="s">
        <v>351</v>
      </c>
      <c r="P121" s="95" t="s">
        <v>55</v>
      </c>
      <c r="Q121" s="144" t="s">
        <v>70</v>
      </c>
      <c r="R121" s="96">
        <v>46171</v>
      </c>
      <c r="S121" s="97"/>
      <c r="T121" s="97" t="s">
        <v>57</v>
      </c>
      <c r="U121" s="97" t="s">
        <v>71</v>
      </c>
      <c r="V121" s="93">
        <v>46122</v>
      </c>
      <c r="W121" s="93">
        <v>46126</v>
      </c>
      <c r="X121" s="93">
        <v>46141</v>
      </c>
      <c r="Y121" s="98"/>
      <c r="Z121" s="89" t="s">
        <v>60</v>
      </c>
      <c r="AA121" s="97">
        <v>46176</v>
      </c>
      <c r="AB121" s="89" t="s">
        <v>110</v>
      </c>
      <c r="AC121" s="120"/>
      <c r="AD121" s="89"/>
      <c r="AE121" s="89"/>
      <c r="AF121" s="99"/>
      <c r="AG121" s="99"/>
      <c r="AH121" s="99"/>
      <c r="AI121" s="100"/>
      <c r="AJ121" s="100" t="s">
        <v>62</v>
      </c>
      <c r="AK121" s="100" t="s">
        <v>47</v>
      </c>
      <c r="AL121" s="45" t="s">
        <v>64</v>
      </c>
      <c r="AM121" s="198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67</v>
      </c>
      <c r="AR121" s="45">
        <f t="shared" si="13"/>
        <v>0</v>
      </c>
      <c r="AS121" s="45">
        <f t="shared" si="14"/>
        <v>9.5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hidden="1" customHeight="1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220" t="s">
        <v>352</v>
      </c>
      <c r="G122" s="92">
        <v>8482081888</v>
      </c>
      <c r="H122" s="93">
        <v>17384</v>
      </c>
      <c r="I122" s="89">
        <v>78</v>
      </c>
      <c r="J122" s="89" t="s">
        <v>77</v>
      </c>
      <c r="K122" s="89" t="s">
        <v>52</v>
      </c>
      <c r="L122" s="89" t="s">
        <v>275</v>
      </c>
      <c r="M122" s="89"/>
      <c r="N122" s="89" t="s">
        <v>53</v>
      </c>
      <c r="O122" s="94" t="s">
        <v>353</v>
      </c>
      <c r="P122" s="95" t="s">
        <v>55</v>
      </c>
      <c r="Q122" s="144" t="s">
        <v>70</v>
      </c>
      <c r="R122" s="96">
        <v>46128</v>
      </c>
      <c r="S122" s="97"/>
      <c r="T122" s="97" t="s">
        <v>57</v>
      </c>
      <c r="U122" s="97" t="s">
        <v>71</v>
      </c>
      <c r="V122" s="93">
        <v>46122</v>
      </c>
      <c r="W122" s="93">
        <v>46126</v>
      </c>
      <c r="X122" s="93">
        <v>46128</v>
      </c>
      <c r="Y122" s="98" t="s">
        <v>354</v>
      </c>
      <c r="Z122" s="89" t="s">
        <v>60</v>
      </c>
      <c r="AA122" s="97">
        <v>46134</v>
      </c>
      <c r="AB122" s="89" t="s">
        <v>110</v>
      </c>
      <c r="AC122" s="120">
        <v>46161</v>
      </c>
      <c r="AD122" s="89"/>
      <c r="AE122" s="89"/>
      <c r="AF122" s="99"/>
      <c r="AG122" s="99"/>
      <c r="AH122" s="99"/>
      <c r="AI122" s="100" t="s">
        <v>62</v>
      </c>
      <c r="AJ122" s="100" t="s">
        <v>47</v>
      </c>
      <c r="AK122" s="100" t="s">
        <v>62</v>
      </c>
      <c r="AL122" s="45" t="s">
        <v>64</v>
      </c>
      <c r="AM122" s="198" t="str">
        <f t="shared" si="8"/>
        <v>3/2026</v>
      </c>
      <c r="AN122" s="45">
        <f t="shared" si="9"/>
        <v>4</v>
      </c>
      <c r="AO122" s="45" t="str">
        <f t="shared" si="10"/>
        <v>4/2026</v>
      </c>
      <c r="AP122" s="45">
        <f t="shared" si="11"/>
        <v>3</v>
      </c>
      <c r="AQ122" s="45">
        <f t="shared" si="12"/>
        <v>24</v>
      </c>
      <c r="AR122" s="45">
        <f t="shared" si="13"/>
        <v>0</v>
      </c>
      <c r="AS122" s="45">
        <f t="shared" si="14"/>
        <v>3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220" t="s">
        <v>355</v>
      </c>
      <c r="G123" s="92"/>
      <c r="H123" s="93">
        <v>19092</v>
      </c>
      <c r="I123" s="89">
        <v>73</v>
      </c>
      <c r="J123" s="89" t="s">
        <v>51</v>
      </c>
      <c r="K123" s="89" t="s">
        <v>52</v>
      </c>
      <c r="L123" s="89" t="s">
        <v>275</v>
      </c>
      <c r="M123" s="89"/>
      <c r="N123" s="89" t="s">
        <v>53</v>
      </c>
      <c r="O123" s="94" t="s">
        <v>356</v>
      </c>
      <c r="P123" s="95" t="s">
        <v>55</v>
      </c>
      <c r="Q123" s="144" t="s">
        <v>136</v>
      </c>
      <c r="R123" s="96"/>
      <c r="S123" s="97">
        <v>46150</v>
      </c>
      <c r="T123" s="97" t="s">
        <v>183</v>
      </c>
      <c r="U123" s="97" t="s">
        <v>58</v>
      </c>
      <c r="V123" s="93">
        <v>46122</v>
      </c>
      <c r="W123" s="93">
        <v>46126</v>
      </c>
      <c r="X123" s="93">
        <v>46141</v>
      </c>
      <c r="Y123" s="98"/>
      <c r="Z123" s="89"/>
      <c r="AA123" s="97"/>
      <c r="AB123" s="89"/>
      <c r="AC123" s="120"/>
      <c r="AD123" s="89"/>
      <c r="AE123" s="89"/>
      <c r="AF123" s="99"/>
      <c r="AG123" s="99"/>
      <c r="AH123" s="99"/>
      <c r="AI123" s="100"/>
      <c r="AJ123" s="100"/>
      <c r="AK123" s="100"/>
      <c r="AL123" s="45" t="s">
        <v>64</v>
      </c>
      <c r="AM123" s="198" t="str">
        <f t="shared" si="8"/>
        <v>3/2026</v>
      </c>
      <c r="AN123" s="45">
        <f t="shared" si="9"/>
        <v>4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hidden="1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220" t="s">
        <v>357</v>
      </c>
      <c r="G124" s="92" t="s">
        <v>358</v>
      </c>
      <c r="H124" s="93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4">
        <v>11976399518</v>
      </c>
      <c r="P124" s="95" t="s">
        <v>55</v>
      </c>
      <c r="Q124" s="144" t="s">
        <v>56</v>
      </c>
      <c r="R124" s="96">
        <v>46141</v>
      </c>
      <c r="S124" s="97">
        <v>46146</v>
      </c>
      <c r="T124" s="97" t="s">
        <v>57</v>
      </c>
      <c r="U124" s="97" t="s">
        <v>58</v>
      </c>
      <c r="V124" s="93">
        <v>46111</v>
      </c>
      <c r="W124" s="93">
        <v>46126</v>
      </c>
      <c r="X124" s="93">
        <v>46141</v>
      </c>
      <c r="Y124" s="98" t="s">
        <v>359</v>
      </c>
      <c r="Z124" s="89" t="s">
        <v>60</v>
      </c>
      <c r="AA124" s="97">
        <v>46146</v>
      </c>
      <c r="AB124" s="89" t="s">
        <v>61</v>
      </c>
      <c r="AC124" s="120"/>
      <c r="AD124" s="89"/>
      <c r="AE124" s="89"/>
      <c r="AF124" s="99"/>
      <c r="AG124" s="99"/>
      <c r="AH124" s="99"/>
      <c r="AI124" s="100" t="s">
        <v>62</v>
      </c>
      <c r="AJ124" s="100" t="s">
        <v>63</v>
      </c>
      <c r="AK124" s="100" t="s">
        <v>47</v>
      </c>
      <c r="AL124" s="45" t="s">
        <v>64</v>
      </c>
      <c r="AM124" s="198" t="str">
        <f t="shared" si="8"/>
        <v>3/2026</v>
      </c>
      <c r="AN124" s="45">
        <f t="shared" si="9"/>
        <v>4</v>
      </c>
      <c r="AO124" s="45" t="str">
        <f t="shared" si="10"/>
        <v>4/2026</v>
      </c>
      <c r="AP124" s="45">
        <f t="shared" si="11"/>
        <v>5</v>
      </c>
      <c r="AQ124" s="45">
        <f t="shared" si="12"/>
        <v>0</v>
      </c>
      <c r="AR124" s="45">
        <f t="shared" si="13"/>
        <v>5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hidden="1" customHeight="1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220" t="s">
        <v>360</v>
      </c>
      <c r="G125" s="92">
        <v>18039400856</v>
      </c>
      <c r="H125" s="93">
        <v>27540</v>
      </c>
      <c r="I125" s="89">
        <v>50</v>
      </c>
      <c r="J125" s="89" t="s">
        <v>51</v>
      </c>
      <c r="K125" s="89" t="s">
        <v>52</v>
      </c>
      <c r="L125" s="89" t="s">
        <v>275</v>
      </c>
      <c r="M125" s="89"/>
      <c r="N125" s="89" t="s">
        <v>151</v>
      </c>
      <c r="O125" s="94" t="s">
        <v>361</v>
      </c>
      <c r="P125" s="95" t="s">
        <v>55</v>
      </c>
      <c r="Q125" s="144" t="s">
        <v>56</v>
      </c>
      <c r="R125" s="96">
        <v>46128</v>
      </c>
      <c r="S125" s="97">
        <v>46140</v>
      </c>
      <c r="T125" s="97" t="s">
        <v>57</v>
      </c>
      <c r="U125" s="97" t="s">
        <v>58</v>
      </c>
      <c r="V125" s="93">
        <v>46111</v>
      </c>
      <c r="W125" s="93">
        <v>46126</v>
      </c>
      <c r="X125" s="93">
        <v>46128</v>
      </c>
      <c r="Y125" s="98" t="s">
        <v>362</v>
      </c>
      <c r="Z125" s="89" t="s">
        <v>60</v>
      </c>
      <c r="AA125" s="97">
        <v>46139</v>
      </c>
      <c r="AB125" s="89" t="s">
        <v>61</v>
      </c>
      <c r="AC125" s="120">
        <v>46153</v>
      </c>
      <c r="AD125" s="89"/>
      <c r="AE125" s="89"/>
      <c r="AF125" s="99"/>
      <c r="AG125" s="99"/>
      <c r="AH125" s="99"/>
      <c r="AI125" s="100" t="s">
        <v>62</v>
      </c>
      <c r="AJ125" s="100" t="s">
        <v>63</v>
      </c>
      <c r="AK125" s="100"/>
      <c r="AL125" s="45" t="s">
        <v>64</v>
      </c>
      <c r="AM125" s="198" t="str">
        <f t="shared" si="8"/>
        <v>3/2026</v>
      </c>
      <c r="AN125" s="45">
        <f t="shared" si="9"/>
        <v>4</v>
      </c>
      <c r="AO125" s="45" t="str">
        <f t="shared" si="10"/>
        <v>4/2026</v>
      </c>
      <c r="AP125" s="45">
        <f t="shared" si="11"/>
        <v>3</v>
      </c>
      <c r="AQ125" s="45">
        <f t="shared" si="12"/>
        <v>0</v>
      </c>
      <c r="AR125" s="45">
        <f t="shared" si="13"/>
        <v>12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hidden="1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220" t="s">
        <v>363</v>
      </c>
      <c r="G126" s="92" t="s">
        <v>364</v>
      </c>
      <c r="H126" s="93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4" t="s">
        <v>365</v>
      </c>
      <c r="P126" s="95" t="s">
        <v>55</v>
      </c>
      <c r="Q126" s="144" t="s">
        <v>70</v>
      </c>
      <c r="R126" s="96">
        <v>46111</v>
      </c>
      <c r="S126" s="97"/>
      <c r="T126" s="97" t="s">
        <v>57</v>
      </c>
      <c r="U126" s="97" t="s">
        <v>71</v>
      </c>
      <c r="V126" s="93">
        <v>46111</v>
      </c>
      <c r="W126" s="93" t="s">
        <v>72</v>
      </c>
      <c r="X126" s="93" t="s">
        <v>72</v>
      </c>
      <c r="Y126" s="98"/>
      <c r="Z126" s="89" t="s">
        <v>60</v>
      </c>
      <c r="AA126" s="97">
        <v>46119</v>
      </c>
      <c r="AB126" s="89" t="s">
        <v>61</v>
      </c>
      <c r="AC126" s="120"/>
      <c r="AD126" s="89"/>
      <c r="AE126" s="89"/>
      <c r="AF126" s="99"/>
      <c r="AG126" s="99"/>
      <c r="AH126" s="99"/>
      <c r="AI126" s="100" t="s">
        <v>62</v>
      </c>
      <c r="AJ126" s="100" t="s">
        <v>47</v>
      </c>
      <c r="AK126" s="100" t="s">
        <v>47</v>
      </c>
      <c r="AL126" s="45" t="s">
        <v>64</v>
      </c>
      <c r="AM126" s="198" t="str">
        <f t="shared" si="8"/>
        <v>3/2026</v>
      </c>
      <c r="AN126" s="45">
        <f t="shared" si="9"/>
        <v>4</v>
      </c>
      <c r="AO126" s="45" t="str">
        <f t="shared" si="10"/>
        <v>3/2026</v>
      </c>
      <c r="AP126" s="45">
        <f t="shared" si="11"/>
        <v>5</v>
      </c>
      <c r="AQ126" s="45">
        <f t="shared" si="12"/>
        <v>7</v>
      </c>
      <c r="AR126" s="45">
        <f t="shared" si="13"/>
        <v>0</v>
      </c>
      <c r="AS126" s="45">
        <f t="shared" si="14"/>
        <v>0</v>
      </c>
      <c r="AT126" s="45">
        <f t="shared" si="15"/>
        <v>8</v>
      </c>
      <c r="AU126" s="45" t="str">
        <f>_xlfn.XLOOKUP(U126,'Lista Suspensa'!$AA$20:$AA$23,'Lista Suspensa'!$AB$20:$AB$23,"N/A")</f>
        <v>S</v>
      </c>
    </row>
    <row r="127" spans="1:47" ht="12" hidden="1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220" t="s">
        <v>366</v>
      </c>
      <c r="G127" s="92" t="s">
        <v>367</v>
      </c>
      <c r="H127" s="93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4">
        <v>11972039501</v>
      </c>
      <c r="P127" s="95" t="s">
        <v>55</v>
      </c>
      <c r="Q127" s="144" t="s">
        <v>70</v>
      </c>
      <c r="R127" s="96">
        <v>46128</v>
      </c>
      <c r="S127" s="97"/>
      <c r="T127" s="97" t="s">
        <v>57</v>
      </c>
      <c r="U127" s="97" t="s">
        <v>71</v>
      </c>
      <c r="V127" s="93">
        <v>46111</v>
      </c>
      <c r="W127" s="93">
        <v>46126</v>
      </c>
      <c r="X127" s="93">
        <v>46128</v>
      </c>
      <c r="Y127" s="98"/>
      <c r="Z127" s="89" t="s">
        <v>60</v>
      </c>
      <c r="AA127" s="97">
        <v>46135</v>
      </c>
      <c r="AB127" s="89" t="s">
        <v>61</v>
      </c>
      <c r="AC127" s="120"/>
      <c r="AD127" s="89"/>
      <c r="AE127" s="89"/>
      <c r="AF127" s="99"/>
      <c r="AG127" s="99"/>
      <c r="AH127" s="99"/>
      <c r="AI127" s="100" t="s">
        <v>62</v>
      </c>
      <c r="AJ127" s="100" t="s">
        <v>47</v>
      </c>
      <c r="AK127" s="100" t="s">
        <v>47</v>
      </c>
      <c r="AL127" s="45" t="s">
        <v>64</v>
      </c>
      <c r="AM127" s="198" t="str">
        <f t="shared" si="8"/>
        <v>3/2026</v>
      </c>
      <c r="AN127" s="45">
        <f t="shared" si="9"/>
        <v>4</v>
      </c>
      <c r="AO127" s="45" t="str">
        <f t="shared" si="10"/>
        <v>4/2026</v>
      </c>
      <c r="AP127" s="45">
        <f t="shared" si="11"/>
        <v>3</v>
      </c>
      <c r="AQ127" s="45">
        <f t="shared" si="12"/>
        <v>24</v>
      </c>
      <c r="AR127" s="45">
        <f t="shared" si="13"/>
        <v>0</v>
      </c>
      <c r="AS127" s="45">
        <f t="shared" si="14"/>
        <v>8.5</v>
      </c>
      <c r="AT127" s="45">
        <f t="shared" si="15"/>
        <v>7</v>
      </c>
      <c r="AU127" s="45" t="str">
        <f>_xlfn.XLOOKUP(U127,'Lista Suspensa'!$AA$20:$AA$23,'Lista Suspensa'!$AB$20:$AB$23,"N/A")</f>
        <v>S</v>
      </c>
    </row>
    <row r="128" spans="1:47" ht="12" hidden="1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220" t="s">
        <v>368</v>
      </c>
      <c r="G128" s="92" t="s">
        <v>369</v>
      </c>
      <c r="H128" s="93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4" t="s">
        <v>370</v>
      </c>
      <c r="P128" s="95" t="s">
        <v>55</v>
      </c>
      <c r="Q128" s="144" t="s">
        <v>136</v>
      </c>
      <c r="R128" s="96"/>
      <c r="S128" s="97">
        <v>46150</v>
      </c>
      <c r="T128" s="97" t="s">
        <v>183</v>
      </c>
      <c r="U128" s="97" t="s">
        <v>58</v>
      </c>
      <c r="V128" s="93">
        <v>46111</v>
      </c>
      <c r="W128" s="93">
        <v>46126</v>
      </c>
      <c r="X128" s="93">
        <v>46141</v>
      </c>
      <c r="Y128" s="98"/>
      <c r="Z128" s="89"/>
      <c r="AA128" s="97"/>
      <c r="AB128" s="89"/>
      <c r="AC128" s="120"/>
      <c r="AD128" s="89"/>
      <c r="AE128" s="89"/>
      <c r="AF128" s="99"/>
      <c r="AG128" s="99"/>
      <c r="AH128" s="99"/>
      <c r="AI128" s="100" t="s">
        <v>62</v>
      </c>
      <c r="AJ128" s="100" t="s">
        <v>63</v>
      </c>
      <c r="AK128" s="100" t="s">
        <v>47</v>
      </c>
      <c r="AL128" s="45" t="s">
        <v>64</v>
      </c>
      <c r="AM128" s="198" t="str">
        <f t="shared" si="8"/>
        <v>3/2026</v>
      </c>
      <c r="AN128" s="45">
        <f t="shared" si="9"/>
        <v>4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hidden="1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220" t="s">
        <v>371</v>
      </c>
      <c r="G129" s="92" t="s">
        <v>372</v>
      </c>
      <c r="H129" s="93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4" t="s">
        <v>373</v>
      </c>
      <c r="P129" s="95" t="s">
        <v>55</v>
      </c>
      <c r="Q129" s="144" t="s">
        <v>136</v>
      </c>
      <c r="R129" s="96"/>
      <c r="S129" s="97">
        <v>46150</v>
      </c>
      <c r="T129" s="97" t="s">
        <v>183</v>
      </c>
      <c r="U129" s="97" t="s">
        <v>58</v>
      </c>
      <c r="V129" s="93">
        <v>46111</v>
      </c>
      <c r="W129" s="93">
        <v>46126</v>
      </c>
      <c r="X129" s="93">
        <v>46141</v>
      </c>
      <c r="Y129" s="98"/>
      <c r="Z129" s="89"/>
      <c r="AA129" s="97"/>
      <c r="AB129" s="89"/>
      <c r="AC129" s="120"/>
      <c r="AD129" s="89"/>
      <c r="AE129" s="89"/>
      <c r="AF129" s="99"/>
      <c r="AG129" s="99"/>
      <c r="AH129" s="99"/>
      <c r="AI129" s="100" t="s">
        <v>62</v>
      </c>
      <c r="AJ129" s="100" t="s">
        <v>63</v>
      </c>
      <c r="AK129" s="100" t="s">
        <v>47</v>
      </c>
      <c r="AL129" s="45" t="s">
        <v>64</v>
      </c>
      <c r="AM129" s="198" t="str">
        <f t="shared" si="8"/>
        <v>3/2026</v>
      </c>
      <c r="AN129" s="45">
        <f t="shared" si="9"/>
        <v>4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220" t="s">
        <v>374</v>
      </c>
      <c r="G130" s="92" t="s">
        <v>375</v>
      </c>
      <c r="H130" s="93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4" t="s">
        <v>376</v>
      </c>
      <c r="P130" s="95" t="s">
        <v>55</v>
      </c>
      <c r="Q130" s="144" t="s">
        <v>70</v>
      </c>
      <c r="R130" s="96">
        <v>46128</v>
      </c>
      <c r="S130" s="97"/>
      <c r="T130" s="97" t="s">
        <v>57</v>
      </c>
      <c r="U130" s="97" t="s">
        <v>71</v>
      </c>
      <c r="V130" s="93">
        <v>46111</v>
      </c>
      <c r="W130" s="93">
        <v>46126</v>
      </c>
      <c r="X130" s="93">
        <v>46128</v>
      </c>
      <c r="Y130" s="98"/>
      <c r="Z130" s="89" t="s">
        <v>60</v>
      </c>
      <c r="AA130" s="97">
        <v>46135</v>
      </c>
      <c r="AB130" s="89" t="s">
        <v>61</v>
      </c>
      <c r="AC130" s="120"/>
      <c r="AD130" s="89" t="s">
        <v>377</v>
      </c>
      <c r="AE130" s="89">
        <v>36</v>
      </c>
      <c r="AF130" s="99" t="s">
        <v>378</v>
      </c>
      <c r="AG130" s="99"/>
      <c r="AH130" s="99" t="s">
        <v>75</v>
      </c>
      <c r="AI130" s="100" t="s">
        <v>62</v>
      </c>
      <c r="AJ130" s="100" t="s">
        <v>47</v>
      </c>
      <c r="AK130" s="100" t="s">
        <v>47</v>
      </c>
      <c r="AL130" s="45" t="s">
        <v>64</v>
      </c>
      <c r="AM130" s="198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4/2026</v>
      </c>
      <c r="AP130" s="45">
        <f t="shared" ref="AP130:AP193" si="19">WEEKNUM(R130)-WEEKNUM(EOMONTH(R130,-1)+1)+1</f>
        <v>3</v>
      </c>
      <c r="AQ130" s="45">
        <f t="shared" ref="AQ130:AQ193" si="20">IF(AU130="S",IF(Q130="1. Aceitou o programa",R130-B130,0),0)</f>
        <v>24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8.5</v>
      </c>
      <c r="AT130" s="45">
        <f t="shared" ref="AT130:AT193" si="23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hidden="1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220" t="s">
        <v>379</v>
      </c>
      <c r="G131" s="92" t="s">
        <v>380</v>
      </c>
      <c r="H131" s="93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4" t="s">
        <v>381</v>
      </c>
      <c r="P131" s="95" t="s">
        <v>55</v>
      </c>
      <c r="Q131" s="144" t="s">
        <v>70</v>
      </c>
      <c r="R131" s="96">
        <v>46128</v>
      </c>
      <c r="S131" s="97"/>
      <c r="T131" s="97" t="s">
        <v>57</v>
      </c>
      <c r="U131" s="97" t="s">
        <v>71</v>
      </c>
      <c r="V131" s="93">
        <v>46111</v>
      </c>
      <c r="W131" s="93">
        <v>46126</v>
      </c>
      <c r="X131" s="93">
        <v>46128</v>
      </c>
      <c r="Y131" s="98"/>
      <c r="Z131" s="89" t="s">
        <v>60</v>
      </c>
      <c r="AA131" s="97">
        <v>46132</v>
      </c>
      <c r="AB131" s="89" t="s">
        <v>61</v>
      </c>
      <c r="AC131" s="120"/>
      <c r="AD131" s="89" t="s">
        <v>85</v>
      </c>
      <c r="AE131" s="89">
        <v>52</v>
      </c>
      <c r="AF131" s="99" t="s">
        <v>382</v>
      </c>
      <c r="AG131" s="99"/>
      <c r="AH131" s="99" t="s">
        <v>75</v>
      </c>
      <c r="AI131" s="100" t="s">
        <v>62</v>
      </c>
      <c r="AJ131" s="100" t="s">
        <v>47</v>
      </c>
      <c r="AK131" s="100" t="s">
        <v>47</v>
      </c>
      <c r="AL131" s="45" t="s">
        <v>64</v>
      </c>
      <c r="AM131" s="198" t="str">
        <f t="shared" si="16"/>
        <v>3/2026</v>
      </c>
      <c r="AN131" s="45">
        <f t="shared" si="17"/>
        <v>4</v>
      </c>
      <c r="AO131" s="45" t="str">
        <f t="shared" si="18"/>
        <v>4/2026</v>
      </c>
      <c r="AP131" s="45">
        <f t="shared" si="19"/>
        <v>3</v>
      </c>
      <c r="AQ131" s="45">
        <f t="shared" si="20"/>
        <v>24</v>
      </c>
      <c r="AR131" s="45">
        <f t="shared" si="21"/>
        <v>0</v>
      </c>
      <c r="AS131" s="45">
        <f t="shared" si="22"/>
        <v>8.5</v>
      </c>
      <c r="AT131" s="45">
        <f t="shared" si="23"/>
        <v>4</v>
      </c>
      <c r="AU131" s="45" t="str">
        <f>_xlfn.XLOOKUP(U131,'Lista Suspensa'!$AA$20:$AA$23,'Lista Suspensa'!$AB$20:$AB$23,"N/A")</f>
        <v>S</v>
      </c>
    </row>
    <row r="132" spans="1:47" ht="12" hidden="1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220" t="s">
        <v>383</v>
      </c>
      <c r="G132" s="92" t="s">
        <v>384</v>
      </c>
      <c r="H132" s="93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4" t="s">
        <v>385</v>
      </c>
      <c r="P132" s="95" t="s">
        <v>55</v>
      </c>
      <c r="Q132" s="144" t="s">
        <v>136</v>
      </c>
      <c r="R132" s="96"/>
      <c r="S132" s="97">
        <v>46150</v>
      </c>
      <c r="T132" s="97" t="s">
        <v>183</v>
      </c>
      <c r="U132" s="97" t="s">
        <v>58</v>
      </c>
      <c r="V132" s="93">
        <v>46111</v>
      </c>
      <c r="W132" s="93">
        <v>46126</v>
      </c>
      <c r="X132" s="93">
        <v>46141</v>
      </c>
      <c r="Y132" s="98"/>
      <c r="Z132" s="89"/>
      <c r="AA132" s="97"/>
      <c r="AB132" s="89"/>
      <c r="AC132" s="120"/>
      <c r="AD132" s="89"/>
      <c r="AE132" s="89"/>
      <c r="AF132" s="99"/>
      <c r="AG132" s="99"/>
      <c r="AH132" s="99"/>
      <c r="AI132" s="100" t="s">
        <v>62</v>
      </c>
      <c r="AJ132" s="100" t="s">
        <v>63</v>
      </c>
      <c r="AK132" s="100" t="s">
        <v>47</v>
      </c>
      <c r="AL132" s="45" t="s">
        <v>64</v>
      </c>
      <c r="AM132" s="198" t="str">
        <f t="shared" si="16"/>
        <v>3/2026</v>
      </c>
      <c r="AN132" s="45">
        <f t="shared" si="17"/>
        <v>4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220" t="s">
        <v>386</v>
      </c>
      <c r="G133" s="92"/>
      <c r="H133" s="93">
        <v>20952</v>
      </c>
      <c r="I133" s="89">
        <v>68</v>
      </c>
      <c r="J133" s="89" t="s">
        <v>51</v>
      </c>
      <c r="K133" s="89" t="s">
        <v>271</v>
      </c>
      <c r="L133" s="89" t="s">
        <v>387</v>
      </c>
      <c r="M133" s="89"/>
      <c r="N133" s="89" t="s">
        <v>92</v>
      </c>
      <c r="O133" s="94" t="s">
        <v>388</v>
      </c>
      <c r="P133" s="95" t="s">
        <v>55</v>
      </c>
      <c r="Q133" s="144" t="s">
        <v>70</v>
      </c>
      <c r="R133" s="96">
        <v>46122</v>
      </c>
      <c r="S133" s="97"/>
      <c r="T133" s="97" t="s">
        <v>57</v>
      </c>
      <c r="U133" s="97" t="s">
        <v>71</v>
      </c>
      <c r="V133" s="93">
        <v>46122</v>
      </c>
      <c r="W133" s="93" t="s">
        <v>72</v>
      </c>
      <c r="X133" s="93" t="s">
        <v>72</v>
      </c>
      <c r="Y133" s="98"/>
      <c r="Z133" s="89" t="s">
        <v>60</v>
      </c>
      <c r="AA133" s="97">
        <v>46128</v>
      </c>
      <c r="AB133" s="89" t="s">
        <v>61</v>
      </c>
      <c r="AC133" s="120"/>
      <c r="AD133" s="89" t="s">
        <v>85</v>
      </c>
      <c r="AE133" s="89">
        <v>68</v>
      </c>
      <c r="AF133" s="99" t="s">
        <v>389</v>
      </c>
      <c r="AG133" s="99"/>
      <c r="AH133" s="99"/>
      <c r="AI133" s="100" t="s">
        <v>62</v>
      </c>
      <c r="AJ133" s="100" t="s">
        <v>47</v>
      </c>
      <c r="AK133" s="100" t="s">
        <v>62</v>
      </c>
      <c r="AL133" s="45" t="s">
        <v>64</v>
      </c>
      <c r="AM133" s="198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6</v>
      </c>
      <c r="AU133" s="45" t="str">
        <f>_xlfn.XLOOKUP(U133,'Lista Suspensa'!$AA$20:$AA$23,'Lista Suspensa'!$AB$20:$AB$23,"N/A")</f>
        <v>S</v>
      </c>
    </row>
    <row r="134" spans="1:47" ht="12" hidden="1" customHeight="1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220" t="s">
        <v>390</v>
      </c>
      <c r="G134" s="92"/>
      <c r="H134" s="93">
        <v>15845</v>
      </c>
      <c r="I134" s="89">
        <v>82</v>
      </c>
      <c r="J134" s="89" t="s">
        <v>77</v>
      </c>
      <c r="K134" s="89" t="s">
        <v>52</v>
      </c>
      <c r="L134" s="89" t="s">
        <v>328</v>
      </c>
      <c r="M134" s="89"/>
      <c r="N134" s="89" t="s">
        <v>95</v>
      </c>
      <c r="O134" s="94" t="s">
        <v>391</v>
      </c>
      <c r="P134" s="95" t="s">
        <v>55</v>
      </c>
      <c r="Q134" s="144" t="s">
        <v>70</v>
      </c>
      <c r="R134" s="96">
        <v>46122</v>
      </c>
      <c r="S134" s="97"/>
      <c r="T134" s="97" t="s">
        <v>57</v>
      </c>
      <c r="U134" s="97" t="s">
        <v>71</v>
      </c>
      <c r="V134" s="93">
        <v>46122</v>
      </c>
      <c r="W134" s="93" t="s">
        <v>72</v>
      </c>
      <c r="X134" s="93" t="s">
        <v>72</v>
      </c>
      <c r="Y134" s="98"/>
      <c r="Z134" s="89" t="s">
        <v>60</v>
      </c>
      <c r="AA134" s="97">
        <v>46132</v>
      </c>
      <c r="AB134" s="89" t="s">
        <v>61</v>
      </c>
      <c r="AC134" s="120"/>
      <c r="AD134" s="89" t="s">
        <v>377</v>
      </c>
      <c r="AE134" s="89">
        <v>36</v>
      </c>
      <c r="AF134" s="99" t="s">
        <v>74</v>
      </c>
      <c r="AG134" s="99"/>
      <c r="AH134" s="99" t="s">
        <v>75</v>
      </c>
      <c r="AI134" s="100" t="s">
        <v>62</v>
      </c>
      <c r="AJ134" s="100" t="s">
        <v>47</v>
      </c>
      <c r="AK134" s="100" t="s">
        <v>62</v>
      </c>
      <c r="AL134" s="45" t="s">
        <v>64</v>
      </c>
      <c r="AM134" s="198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2</v>
      </c>
      <c r="AQ134" s="45">
        <f t="shared" si="20"/>
        <v>18</v>
      </c>
      <c r="AR134" s="45">
        <f t="shared" si="21"/>
        <v>0</v>
      </c>
      <c r="AS134" s="45">
        <f t="shared" si="22"/>
        <v>0</v>
      </c>
      <c r="AT134" s="45">
        <f t="shared" si="23"/>
        <v>10</v>
      </c>
      <c r="AU134" s="45" t="str">
        <f>_xlfn.XLOOKUP(U134,'Lista Suspensa'!$AA$20:$AA$23,'Lista Suspensa'!$AB$20:$AB$23,"N/A")</f>
        <v>S</v>
      </c>
    </row>
    <row r="135" spans="1:47" ht="12" hidden="1" customHeight="1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220" t="s">
        <v>392</v>
      </c>
      <c r="G135" s="92"/>
      <c r="H135" s="93">
        <v>19916</v>
      </c>
      <c r="I135" s="89">
        <v>71</v>
      </c>
      <c r="J135" s="89" t="s">
        <v>51</v>
      </c>
      <c r="K135" s="89" t="s">
        <v>52</v>
      </c>
      <c r="L135" s="89" t="s">
        <v>275</v>
      </c>
      <c r="M135" s="89"/>
      <c r="N135" s="89" t="s">
        <v>151</v>
      </c>
      <c r="O135" s="94" t="s">
        <v>393</v>
      </c>
      <c r="P135" s="95" t="s">
        <v>55</v>
      </c>
      <c r="Q135" s="144" t="s">
        <v>70</v>
      </c>
      <c r="R135" s="96">
        <v>46122</v>
      </c>
      <c r="S135" s="97"/>
      <c r="T135" s="97" t="s">
        <v>57</v>
      </c>
      <c r="U135" s="97" t="s">
        <v>71</v>
      </c>
      <c r="V135" s="93">
        <v>46122</v>
      </c>
      <c r="W135" s="93" t="s">
        <v>72</v>
      </c>
      <c r="X135" s="93" t="s">
        <v>72</v>
      </c>
      <c r="Y135" s="98"/>
      <c r="Z135" s="89" t="s">
        <v>60</v>
      </c>
      <c r="AA135" s="97">
        <v>46128</v>
      </c>
      <c r="AB135" s="89" t="s">
        <v>61</v>
      </c>
      <c r="AC135" s="120"/>
      <c r="AD135" s="89" t="s">
        <v>73</v>
      </c>
      <c r="AE135" s="89">
        <v>48</v>
      </c>
      <c r="AF135" s="99" t="s">
        <v>389</v>
      </c>
      <c r="AG135" s="99"/>
      <c r="AH135" s="99" t="s">
        <v>75</v>
      </c>
      <c r="AI135" s="100" t="s">
        <v>62</v>
      </c>
      <c r="AJ135" s="100" t="s">
        <v>47</v>
      </c>
      <c r="AK135" s="100" t="s">
        <v>62</v>
      </c>
      <c r="AL135" s="45" t="s">
        <v>64</v>
      </c>
      <c r="AM135" s="198" t="str">
        <f t="shared" si="16"/>
        <v>3/2026</v>
      </c>
      <c r="AN135" s="45">
        <f t="shared" si="17"/>
        <v>4</v>
      </c>
      <c r="AO135" s="45" t="str">
        <f t="shared" si="18"/>
        <v>4/2026</v>
      </c>
      <c r="AP135" s="45">
        <f t="shared" si="19"/>
        <v>2</v>
      </c>
      <c r="AQ135" s="45">
        <f t="shared" si="20"/>
        <v>18</v>
      </c>
      <c r="AR135" s="45">
        <f t="shared" si="21"/>
        <v>0</v>
      </c>
      <c r="AS135" s="45">
        <f t="shared" si="22"/>
        <v>0</v>
      </c>
      <c r="AT135" s="45">
        <f t="shared" si="23"/>
        <v>6</v>
      </c>
      <c r="AU135" s="45" t="str">
        <f>_xlfn.XLOOKUP(U135,'Lista Suspensa'!$AA$20:$AA$23,'Lista Suspensa'!$AB$20:$AB$23,"N/A")</f>
        <v>S</v>
      </c>
    </row>
    <row r="136" spans="1:47" ht="12" hidden="1" customHeight="1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220" t="s">
        <v>394</v>
      </c>
      <c r="G136" s="92"/>
      <c r="H136" s="93">
        <v>17280</v>
      </c>
      <c r="I136" s="89">
        <v>78</v>
      </c>
      <c r="J136" s="89" t="s">
        <v>51</v>
      </c>
      <c r="K136" s="89" t="s">
        <v>52</v>
      </c>
      <c r="L136" s="89" t="s">
        <v>275</v>
      </c>
      <c r="M136" s="89"/>
      <c r="N136" s="89" t="s">
        <v>151</v>
      </c>
      <c r="O136" s="94" t="s">
        <v>395</v>
      </c>
      <c r="P136" s="95" t="s">
        <v>55</v>
      </c>
      <c r="Q136" s="144" t="s">
        <v>70</v>
      </c>
      <c r="R136" s="96">
        <v>46128</v>
      </c>
      <c r="S136" s="97"/>
      <c r="T136" s="97" t="s">
        <v>57</v>
      </c>
      <c r="U136" s="97" t="s">
        <v>71</v>
      </c>
      <c r="V136" s="93">
        <v>46122</v>
      </c>
      <c r="W136" s="93">
        <v>46126</v>
      </c>
      <c r="X136" s="93">
        <v>46128</v>
      </c>
      <c r="Y136" s="98"/>
      <c r="Z136" s="89" t="s">
        <v>60</v>
      </c>
      <c r="AA136" s="97">
        <v>46134</v>
      </c>
      <c r="AB136" s="89" t="s">
        <v>61</v>
      </c>
      <c r="AC136" s="120"/>
      <c r="AD136" s="89" t="s">
        <v>85</v>
      </c>
      <c r="AE136" s="89">
        <v>62</v>
      </c>
      <c r="AF136" s="99" t="s">
        <v>100</v>
      </c>
      <c r="AG136" s="99"/>
      <c r="AH136" s="99" t="s">
        <v>75</v>
      </c>
      <c r="AI136" s="100" t="s">
        <v>62</v>
      </c>
      <c r="AJ136" s="100" t="s">
        <v>47</v>
      </c>
      <c r="AK136" s="100" t="s">
        <v>62</v>
      </c>
      <c r="AL136" s="45" t="s">
        <v>64</v>
      </c>
      <c r="AM136" s="198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3</v>
      </c>
      <c r="AQ136" s="45">
        <f t="shared" si="20"/>
        <v>24</v>
      </c>
      <c r="AR136" s="45">
        <f t="shared" si="21"/>
        <v>0</v>
      </c>
      <c r="AS136" s="45">
        <f t="shared" si="22"/>
        <v>3</v>
      </c>
      <c r="AT136" s="45">
        <f t="shared" si="23"/>
        <v>6</v>
      </c>
      <c r="AU136" s="45" t="str">
        <f>_xlfn.XLOOKUP(U136,'Lista Suspensa'!$AA$20:$AA$23,'Lista Suspensa'!$AB$20:$AB$23,"N/A")</f>
        <v>S</v>
      </c>
    </row>
    <row r="137" spans="1:47" ht="12" hidden="1" customHeight="1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220" t="s">
        <v>396</v>
      </c>
      <c r="G137" s="92"/>
      <c r="H137" s="93">
        <v>18033</v>
      </c>
      <c r="I137" s="89">
        <v>76</v>
      </c>
      <c r="J137" s="89" t="s">
        <v>77</v>
      </c>
      <c r="K137" s="89" t="s">
        <v>52</v>
      </c>
      <c r="L137" s="89" t="s">
        <v>328</v>
      </c>
      <c r="M137" s="89"/>
      <c r="N137" s="89" t="s">
        <v>79</v>
      </c>
      <c r="O137" s="94" t="s">
        <v>397</v>
      </c>
      <c r="P137" s="95" t="s">
        <v>55</v>
      </c>
      <c r="Q137" s="144" t="s">
        <v>70</v>
      </c>
      <c r="R137" s="96">
        <v>46128</v>
      </c>
      <c r="S137" s="97"/>
      <c r="T137" s="97" t="s">
        <v>57</v>
      </c>
      <c r="U137" s="97" t="s">
        <v>71</v>
      </c>
      <c r="V137" s="93">
        <v>46122</v>
      </c>
      <c r="W137" s="93">
        <v>46126</v>
      </c>
      <c r="X137" s="93">
        <v>46128</v>
      </c>
      <c r="Y137" s="98"/>
      <c r="Z137" s="89" t="s">
        <v>60</v>
      </c>
      <c r="AA137" s="97">
        <v>46135</v>
      </c>
      <c r="AB137" s="89" t="s">
        <v>61</v>
      </c>
      <c r="AC137" s="120"/>
      <c r="AD137" s="89" t="s">
        <v>73</v>
      </c>
      <c r="AE137" s="89">
        <v>54</v>
      </c>
      <c r="AF137" s="99" t="s">
        <v>90</v>
      </c>
      <c r="AG137" s="99"/>
      <c r="AH137" s="99" t="s">
        <v>236</v>
      </c>
      <c r="AI137" s="100" t="s">
        <v>62</v>
      </c>
      <c r="AJ137" s="100" t="s">
        <v>47</v>
      </c>
      <c r="AK137" s="100" t="s">
        <v>62</v>
      </c>
      <c r="AL137" s="45" t="s">
        <v>64</v>
      </c>
      <c r="AM137" s="198" t="str">
        <f t="shared" si="16"/>
        <v>3/2026</v>
      </c>
      <c r="AN137" s="45">
        <f t="shared" si="17"/>
        <v>4</v>
      </c>
      <c r="AO137" s="45" t="str">
        <f t="shared" si="18"/>
        <v>4/2026</v>
      </c>
      <c r="AP137" s="45">
        <f t="shared" si="19"/>
        <v>3</v>
      </c>
      <c r="AQ137" s="45">
        <f t="shared" si="20"/>
        <v>24</v>
      </c>
      <c r="AR137" s="45">
        <f t="shared" si="21"/>
        <v>0</v>
      </c>
      <c r="AS137" s="45">
        <f t="shared" si="22"/>
        <v>3</v>
      </c>
      <c r="AT137" s="45">
        <f t="shared" si="23"/>
        <v>7</v>
      </c>
      <c r="AU137" s="45" t="str">
        <f>_xlfn.XLOOKUP(U137,'Lista Suspensa'!$AA$20:$AA$23,'Lista Suspensa'!$AB$20:$AB$23,"N/A")</f>
        <v>S</v>
      </c>
    </row>
    <row r="138" spans="1:47" ht="12" hidden="1" customHeight="1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220" t="s">
        <v>398</v>
      </c>
      <c r="G138" s="92">
        <v>27652850800</v>
      </c>
      <c r="H138" s="93">
        <v>28136</v>
      </c>
      <c r="I138" s="89">
        <v>49</v>
      </c>
      <c r="J138" s="89" t="s">
        <v>51</v>
      </c>
      <c r="K138" s="89" t="s">
        <v>52</v>
      </c>
      <c r="L138" s="89" t="s">
        <v>328</v>
      </c>
      <c r="M138" s="89"/>
      <c r="N138" s="89" t="s">
        <v>53</v>
      </c>
      <c r="O138" s="94" t="s">
        <v>399</v>
      </c>
      <c r="P138" s="95" t="s">
        <v>55</v>
      </c>
      <c r="Q138" s="144" t="s">
        <v>70</v>
      </c>
      <c r="R138" s="96">
        <v>46122</v>
      </c>
      <c r="S138" s="97"/>
      <c r="T138" s="97" t="s">
        <v>57</v>
      </c>
      <c r="U138" s="97" t="s">
        <v>71</v>
      </c>
      <c r="V138" s="93">
        <v>46122</v>
      </c>
      <c r="W138" s="93">
        <v>46154</v>
      </c>
      <c r="X138" s="93" t="s">
        <v>72</v>
      </c>
      <c r="Y138" s="98"/>
      <c r="Z138" s="89" t="s">
        <v>60</v>
      </c>
      <c r="AA138" s="97">
        <v>46115</v>
      </c>
      <c r="AB138" s="89" t="s">
        <v>61</v>
      </c>
      <c r="AC138" s="120"/>
      <c r="AD138" s="89" t="s">
        <v>73</v>
      </c>
      <c r="AE138" s="89">
        <v>56</v>
      </c>
      <c r="AF138" s="99"/>
      <c r="AG138" s="99"/>
      <c r="AH138" s="99"/>
      <c r="AI138" s="100" t="s">
        <v>62</v>
      </c>
      <c r="AJ138" s="100" t="s">
        <v>47</v>
      </c>
      <c r="AK138" s="100" t="s">
        <v>62</v>
      </c>
      <c r="AL138" s="45" t="s">
        <v>64</v>
      </c>
      <c r="AM138" s="198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32</v>
      </c>
      <c r="AT138" s="45">
        <f t="shared" si="23"/>
        <v>-7</v>
      </c>
      <c r="AU138" s="45" t="str">
        <f>_xlfn.XLOOKUP(U138,'Lista Suspensa'!$AA$20:$AA$23,'Lista Suspensa'!$AB$20:$AB$23,"N/A")</f>
        <v>S</v>
      </c>
    </row>
    <row r="139" spans="1:47" ht="12" hidden="1" customHeight="1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220" t="s">
        <v>400</v>
      </c>
      <c r="G139" s="92">
        <v>29336414887</v>
      </c>
      <c r="H139" s="93">
        <v>17226</v>
      </c>
      <c r="I139" s="89">
        <v>79</v>
      </c>
      <c r="J139" s="89" t="s">
        <v>51</v>
      </c>
      <c r="K139" s="89" t="s">
        <v>52</v>
      </c>
      <c r="L139" s="89" t="s">
        <v>275</v>
      </c>
      <c r="M139" s="89" t="s">
        <v>401</v>
      </c>
      <c r="N139" s="89"/>
      <c r="O139" s="94" t="s">
        <v>402</v>
      </c>
      <c r="P139" s="95" t="s">
        <v>55</v>
      </c>
      <c r="Q139" s="144" t="s">
        <v>70</v>
      </c>
      <c r="R139" s="96">
        <v>46128</v>
      </c>
      <c r="S139" s="97"/>
      <c r="T139" s="97" t="s">
        <v>57</v>
      </c>
      <c r="U139" s="97" t="s">
        <v>71</v>
      </c>
      <c r="V139" s="93">
        <v>46122</v>
      </c>
      <c r="W139" s="93">
        <v>46126</v>
      </c>
      <c r="X139" s="93">
        <v>46128</v>
      </c>
      <c r="Y139" s="98"/>
      <c r="Z139" s="89" t="s">
        <v>60</v>
      </c>
      <c r="AA139" s="97">
        <v>46132</v>
      </c>
      <c r="AB139" s="89" t="s">
        <v>61</v>
      </c>
      <c r="AC139" s="120"/>
      <c r="AD139" s="89"/>
      <c r="AE139" s="89"/>
      <c r="AF139" s="99"/>
      <c r="AG139" s="99"/>
      <c r="AH139" s="99"/>
      <c r="AI139" s="100" t="s">
        <v>62</v>
      </c>
      <c r="AJ139" s="100" t="s">
        <v>47</v>
      </c>
      <c r="AK139" s="100" t="s">
        <v>47</v>
      </c>
      <c r="AL139" s="45" t="s">
        <v>64</v>
      </c>
      <c r="AM139" s="198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21</v>
      </c>
      <c r="AR139" s="45">
        <f t="shared" si="21"/>
        <v>0</v>
      </c>
      <c r="AS139" s="45">
        <f t="shared" si="22"/>
        <v>3</v>
      </c>
      <c r="AT139" s="45">
        <f t="shared" si="23"/>
        <v>4</v>
      </c>
      <c r="AU139" s="45" t="str">
        <f>_xlfn.XLOOKUP(U139,'Lista Suspensa'!$AA$20:$AA$23,'Lista Suspensa'!$AB$20:$AB$23,"N/A")</f>
        <v>S</v>
      </c>
    </row>
    <row r="140" spans="1:47" ht="12" hidden="1" customHeight="1">
      <c r="A140" s="87" t="s">
        <v>47</v>
      </c>
      <c r="B140" s="88">
        <v>46120</v>
      </c>
      <c r="C140" s="89" t="s">
        <v>48</v>
      </c>
      <c r="D140" s="89" t="s">
        <v>403</v>
      </c>
      <c r="E140" s="90">
        <v>92848596</v>
      </c>
      <c r="F140" s="220" t="s">
        <v>404</v>
      </c>
      <c r="G140" s="92" t="s">
        <v>405</v>
      </c>
      <c r="H140" s="93">
        <v>29337</v>
      </c>
      <c r="I140" s="89">
        <v>45</v>
      </c>
      <c r="J140" s="89" t="s">
        <v>51</v>
      </c>
      <c r="K140" s="89" t="s">
        <v>271</v>
      </c>
      <c r="L140" s="89" t="s">
        <v>342</v>
      </c>
      <c r="M140" s="89" t="s">
        <v>406</v>
      </c>
      <c r="N140" s="89" t="s">
        <v>126</v>
      </c>
      <c r="O140" s="94" t="s">
        <v>407</v>
      </c>
      <c r="P140" s="95" t="s">
        <v>55</v>
      </c>
      <c r="Q140" s="144" t="s">
        <v>70</v>
      </c>
      <c r="R140" s="96">
        <v>46128</v>
      </c>
      <c r="S140" s="97"/>
      <c r="T140" s="97" t="s">
        <v>57</v>
      </c>
      <c r="U140" s="97" t="s">
        <v>71</v>
      </c>
      <c r="V140" s="93">
        <v>46122</v>
      </c>
      <c r="W140" s="93">
        <v>46126</v>
      </c>
      <c r="X140" s="93">
        <v>46128</v>
      </c>
      <c r="Y140" s="98"/>
      <c r="Z140" s="89" t="s">
        <v>60</v>
      </c>
      <c r="AA140" s="97">
        <v>46136</v>
      </c>
      <c r="AB140" s="89" t="s">
        <v>110</v>
      </c>
      <c r="AC140" s="120"/>
      <c r="AD140" s="89"/>
      <c r="AE140" s="89"/>
      <c r="AF140" s="99"/>
      <c r="AG140" s="99"/>
      <c r="AH140" s="99"/>
      <c r="AI140" s="100" t="s">
        <v>62</v>
      </c>
      <c r="AJ140" s="100" t="s">
        <v>47</v>
      </c>
      <c r="AK140" s="100" t="s">
        <v>47</v>
      </c>
      <c r="AL140" s="45" t="s">
        <v>64</v>
      </c>
      <c r="AM140" s="198" t="str">
        <f t="shared" si="16"/>
        <v>4/2026</v>
      </c>
      <c r="AN140" s="45">
        <f t="shared" si="17"/>
        <v>2</v>
      </c>
      <c r="AO140" s="45" t="str">
        <f t="shared" si="18"/>
        <v>4/2026</v>
      </c>
      <c r="AP140" s="45">
        <f t="shared" si="19"/>
        <v>3</v>
      </c>
      <c r="AQ140" s="45">
        <f t="shared" si="20"/>
        <v>8</v>
      </c>
      <c r="AR140" s="45">
        <f t="shared" si="21"/>
        <v>0</v>
      </c>
      <c r="AS140" s="45">
        <f t="shared" si="22"/>
        <v>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hidden="1" customHeight="1">
      <c r="A141" s="87" t="s">
        <v>47</v>
      </c>
      <c r="B141" s="88">
        <v>46120</v>
      </c>
      <c r="C141" s="89" t="s">
        <v>48</v>
      </c>
      <c r="D141" s="89" t="s">
        <v>403</v>
      </c>
      <c r="E141" s="90">
        <v>755343646</v>
      </c>
      <c r="F141" s="220" t="s">
        <v>408</v>
      </c>
      <c r="G141" s="92">
        <v>65070437704</v>
      </c>
      <c r="H141" s="93">
        <v>19514</v>
      </c>
      <c r="I141" s="89">
        <v>72</v>
      </c>
      <c r="J141" s="89" t="s">
        <v>77</v>
      </c>
      <c r="K141" s="89" t="s">
        <v>271</v>
      </c>
      <c r="L141" s="89" t="s">
        <v>342</v>
      </c>
      <c r="M141" s="89" t="s">
        <v>409</v>
      </c>
      <c r="N141" s="89" t="s">
        <v>53</v>
      </c>
      <c r="O141" s="94" t="s">
        <v>410</v>
      </c>
      <c r="P141" s="95" t="s">
        <v>55</v>
      </c>
      <c r="Q141" s="144" t="s">
        <v>70</v>
      </c>
      <c r="R141" s="96">
        <v>46128</v>
      </c>
      <c r="S141" s="97"/>
      <c r="T141" s="97" t="s">
        <v>57</v>
      </c>
      <c r="U141" s="97" t="s">
        <v>71</v>
      </c>
      <c r="V141" s="93">
        <v>46122</v>
      </c>
      <c r="W141" s="93">
        <v>46126</v>
      </c>
      <c r="X141" s="93">
        <v>46128</v>
      </c>
      <c r="Y141" s="98"/>
      <c r="Z141" s="89" t="s">
        <v>60</v>
      </c>
      <c r="AA141" s="97">
        <v>46132</v>
      </c>
      <c r="AB141" s="89" t="s">
        <v>61</v>
      </c>
      <c r="AC141" s="120"/>
      <c r="AD141" s="89" t="s">
        <v>411</v>
      </c>
      <c r="AE141" s="89">
        <v>32</v>
      </c>
      <c r="AF141" s="99" t="s">
        <v>81</v>
      </c>
      <c r="AG141" s="99"/>
      <c r="AH141" s="99" t="s">
        <v>75</v>
      </c>
      <c r="AI141" s="100" t="s">
        <v>62</v>
      </c>
      <c r="AJ141" s="100" t="s">
        <v>47</v>
      </c>
      <c r="AK141" s="100" t="s">
        <v>47</v>
      </c>
      <c r="AL141" s="45" t="s">
        <v>64</v>
      </c>
      <c r="AM141" s="198" t="str">
        <f t="shared" si="16"/>
        <v>4/2026</v>
      </c>
      <c r="AN141" s="45">
        <f t="shared" si="17"/>
        <v>2</v>
      </c>
      <c r="AO141" s="45" t="str">
        <f t="shared" si="18"/>
        <v>4/2026</v>
      </c>
      <c r="AP141" s="45">
        <f t="shared" si="19"/>
        <v>3</v>
      </c>
      <c r="AQ141" s="45">
        <f t="shared" si="20"/>
        <v>8</v>
      </c>
      <c r="AR141" s="45">
        <f t="shared" si="21"/>
        <v>0</v>
      </c>
      <c r="AS141" s="45">
        <f t="shared" si="22"/>
        <v>3</v>
      </c>
      <c r="AT141" s="45">
        <f t="shared" si="23"/>
        <v>4</v>
      </c>
      <c r="AU141" s="45" t="str">
        <f>_xlfn.XLOOKUP(U141,'Lista Suspensa'!$AA$20:$AA$23,'Lista Suspensa'!$AB$20:$AB$23,"N/A")</f>
        <v>S</v>
      </c>
    </row>
    <row r="142" spans="1:47" ht="12" hidden="1" customHeight="1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220" t="s">
        <v>412</v>
      </c>
      <c r="G142" s="92">
        <v>1791288847</v>
      </c>
      <c r="H142" s="93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4">
        <v>11980509560</v>
      </c>
      <c r="P142" s="95" t="s">
        <v>55</v>
      </c>
      <c r="Q142" s="144" t="s">
        <v>70</v>
      </c>
      <c r="R142" s="96">
        <v>46128</v>
      </c>
      <c r="S142" s="97"/>
      <c r="T142" s="97" t="s">
        <v>57</v>
      </c>
      <c r="U142" s="97" t="s">
        <v>71</v>
      </c>
      <c r="V142" s="93">
        <v>46126</v>
      </c>
      <c r="W142" s="93">
        <v>46128</v>
      </c>
      <c r="X142" s="93" t="s">
        <v>72</v>
      </c>
      <c r="Y142" s="98"/>
      <c r="Z142" s="89" t="s">
        <v>60</v>
      </c>
      <c r="AA142" s="97">
        <v>46134</v>
      </c>
      <c r="AB142" s="89" t="s">
        <v>110</v>
      </c>
      <c r="AC142" s="120"/>
      <c r="AD142" s="89"/>
      <c r="AE142" s="89"/>
      <c r="AF142" s="99"/>
      <c r="AG142" s="99"/>
      <c r="AH142" s="99"/>
      <c r="AI142" s="100" t="s">
        <v>62</v>
      </c>
      <c r="AJ142" s="100" t="s">
        <v>47</v>
      </c>
      <c r="AK142" s="100" t="s">
        <v>47</v>
      </c>
      <c r="AL142" s="45" t="s">
        <v>64</v>
      </c>
      <c r="AM142" s="198" t="str">
        <f t="shared" si="16"/>
        <v>4/2026</v>
      </c>
      <c r="AN142" s="45">
        <f t="shared" si="17"/>
        <v>2</v>
      </c>
      <c r="AO142" s="45" t="str">
        <f t="shared" si="18"/>
        <v>4/2026</v>
      </c>
      <c r="AP142" s="45">
        <f t="shared" si="19"/>
        <v>3</v>
      </c>
      <c r="AQ142" s="45">
        <f t="shared" si="20"/>
        <v>6</v>
      </c>
      <c r="AR142" s="45">
        <f t="shared" si="21"/>
        <v>0</v>
      </c>
      <c r="AS142" s="45">
        <f t="shared" si="22"/>
        <v>2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>
      <c r="A143" s="87" t="s">
        <v>47</v>
      </c>
      <c r="B143" s="88">
        <v>46122</v>
      </c>
      <c r="C143" s="89" t="s">
        <v>48</v>
      </c>
      <c r="D143" s="89" t="s">
        <v>403</v>
      </c>
      <c r="E143" s="90">
        <v>450081605</v>
      </c>
      <c r="F143" s="220" t="s">
        <v>413</v>
      </c>
      <c r="G143" s="92">
        <v>67372155800</v>
      </c>
      <c r="H143" s="93">
        <v>20123</v>
      </c>
      <c r="I143" s="89">
        <v>71</v>
      </c>
      <c r="J143" s="89" t="s">
        <v>51</v>
      </c>
      <c r="K143" s="89" t="s">
        <v>52</v>
      </c>
      <c r="L143" s="89" t="s">
        <v>275</v>
      </c>
      <c r="M143" s="89" t="s">
        <v>414</v>
      </c>
      <c r="N143" s="89" t="s">
        <v>53</v>
      </c>
      <c r="O143" s="94">
        <v>11991785087</v>
      </c>
      <c r="P143" s="95" t="s">
        <v>55</v>
      </c>
      <c r="Q143" s="144" t="s">
        <v>70</v>
      </c>
      <c r="R143" s="96">
        <v>46122</v>
      </c>
      <c r="S143" s="97"/>
      <c r="T143" s="97" t="s">
        <v>57</v>
      </c>
      <c r="U143" s="97" t="s">
        <v>71</v>
      </c>
      <c r="V143" s="93">
        <v>46122</v>
      </c>
      <c r="W143" s="93" t="s">
        <v>72</v>
      </c>
      <c r="X143" s="93" t="s">
        <v>72</v>
      </c>
      <c r="Y143" s="98"/>
      <c r="Z143" s="89" t="s">
        <v>60</v>
      </c>
      <c r="AA143" s="97">
        <v>46128</v>
      </c>
      <c r="AB143" s="89" t="s">
        <v>110</v>
      </c>
      <c r="AC143" s="120">
        <v>46161</v>
      </c>
      <c r="AD143" s="89"/>
      <c r="AE143" s="89"/>
      <c r="AF143" s="99"/>
      <c r="AG143" s="99"/>
      <c r="AH143" s="99"/>
      <c r="AI143" s="100" t="s">
        <v>62</v>
      </c>
      <c r="AJ143" s="100" t="s">
        <v>47</v>
      </c>
      <c r="AK143" s="100" t="s">
        <v>47</v>
      </c>
      <c r="AL143" s="45" t="s">
        <v>64</v>
      </c>
      <c r="AM143" s="198" t="str">
        <f t="shared" si="16"/>
        <v>4/2026</v>
      </c>
      <c r="AN143" s="45">
        <f t="shared" si="17"/>
        <v>2</v>
      </c>
      <c r="AO143" s="45" t="str">
        <f t="shared" si="18"/>
        <v>4/2026</v>
      </c>
      <c r="AP143" s="45">
        <f t="shared" si="19"/>
        <v>2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hidden="1" customHeight="1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220" t="s">
        <v>415</v>
      </c>
      <c r="G144" s="92">
        <v>10717308863</v>
      </c>
      <c r="H144" s="93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4">
        <v>11943245271</v>
      </c>
      <c r="P144" s="95" t="s">
        <v>55</v>
      </c>
      <c r="Q144" s="144" t="s">
        <v>136</v>
      </c>
      <c r="R144" s="96"/>
      <c r="S144" s="97">
        <v>46167</v>
      </c>
      <c r="T144" s="97" t="s">
        <v>183</v>
      </c>
      <c r="U144" s="97" t="s">
        <v>58</v>
      </c>
      <c r="V144" s="93">
        <v>46126</v>
      </c>
      <c r="W144" s="93">
        <v>46141</v>
      </c>
      <c r="X144" s="93">
        <v>46164</v>
      </c>
      <c r="Y144" s="98"/>
      <c r="Z144" s="89"/>
      <c r="AA144" s="97"/>
      <c r="AB144" s="89"/>
      <c r="AC144" s="120"/>
      <c r="AD144" s="89"/>
      <c r="AE144" s="89"/>
      <c r="AF144" s="99"/>
      <c r="AG144" s="99"/>
      <c r="AH144" s="99"/>
      <c r="AI144" s="100" t="s">
        <v>62</v>
      </c>
      <c r="AJ144" s="100" t="s">
        <v>63</v>
      </c>
      <c r="AK144" s="100" t="s">
        <v>47</v>
      </c>
      <c r="AL144" s="45" t="s">
        <v>64</v>
      </c>
      <c r="AM144" s="198" t="str">
        <f t="shared" si="16"/>
        <v>4/2026</v>
      </c>
      <c r="AN144" s="45">
        <f t="shared" si="17"/>
        <v>2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220" t="s">
        <v>416</v>
      </c>
      <c r="G145" s="92">
        <v>85264679800</v>
      </c>
      <c r="H145" s="93">
        <v>20974</v>
      </c>
      <c r="I145" s="89">
        <v>68</v>
      </c>
      <c r="J145" s="89" t="s">
        <v>51</v>
      </c>
      <c r="K145" s="89" t="s">
        <v>52</v>
      </c>
      <c r="L145" s="89" t="s">
        <v>275</v>
      </c>
      <c r="M145" s="89"/>
      <c r="N145" s="89" t="s">
        <v>79</v>
      </c>
      <c r="O145" s="94">
        <v>11995000031</v>
      </c>
      <c r="P145" s="95" t="s">
        <v>55</v>
      </c>
      <c r="Q145" s="144" t="s">
        <v>70</v>
      </c>
      <c r="R145" s="96">
        <v>46128</v>
      </c>
      <c r="S145" s="97"/>
      <c r="T145" s="97" t="s">
        <v>57</v>
      </c>
      <c r="U145" s="97" t="s">
        <v>71</v>
      </c>
      <c r="V145" s="93">
        <v>46126</v>
      </c>
      <c r="W145" s="93">
        <v>46128</v>
      </c>
      <c r="X145" s="93" t="s">
        <v>72</v>
      </c>
      <c r="Y145" s="98"/>
      <c r="Z145" s="89" t="s">
        <v>60</v>
      </c>
      <c r="AA145" s="97">
        <v>46132</v>
      </c>
      <c r="AB145" s="89" t="s">
        <v>61</v>
      </c>
      <c r="AC145" s="120"/>
      <c r="AD145" s="89" t="s">
        <v>417</v>
      </c>
      <c r="AE145" s="89">
        <v>61</v>
      </c>
      <c r="AF145" s="99" t="s">
        <v>97</v>
      </c>
      <c r="AG145" s="99"/>
      <c r="AH145" s="99" t="s">
        <v>75</v>
      </c>
      <c r="AI145" s="100" t="s">
        <v>62</v>
      </c>
      <c r="AJ145" s="100" t="s">
        <v>47</v>
      </c>
      <c r="AK145" s="100" t="s">
        <v>47</v>
      </c>
      <c r="AL145" s="45" t="s">
        <v>64</v>
      </c>
      <c r="AM145" s="198" t="str">
        <f t="shared" si="16"/>
        <v>4/2026</v>
      </c>
      <c r="AN145" s="45">
        <f t="shared" si="17"/>
        <v>2</v>
      </c>
      <c r="AO145" s="45" t="str">
        <f t="shared" si="18"/>
        <v>4/2026</v>
      </c>
      <c r="AP145" s="45">
        <f t="shared" si="19"/>
        <v>3</v>
      </c>
      <c r="AQ145" s="45">
        <f t="shared" si="20"/>
        <v>6</v>
      </c>
      <c r="AR145" s="45">
        <f t="shared" si="21"/>
        <v>0</v>
      </c>
      <c r="AS145" s="45">
        <f t="shared" si="22"/>
        <v>2</v>
      </c>
      <c r="AT145" s="45">
        <f t="shared" si="23"/>
        <v>4</v>
      </c>
      <c r="AU145" s="45" t="str">
        <f>_xlfn.XLOOKUP(U145,'Lista Suspensa'!$AA$20:$AA$23,'Lista Suspensa'!$AB$20:$AB$23,"N/A")</f>
        <v>S</v>
      </c>
    </row>
    <row r="146" spans="1:47" ht="12" hidden="1" customHeight="1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220" t="s">
        <v>418</v>
      </c>
      <c r="G146" s="92">
        <v>87215942872</v>
      </c>
      <c r="H146" s="93">
        <v>21074</v>
      </c>
      <c r="I146" s="89">
        <v>68</v>
      </c>
      <c r="J146" s="89" t="s">
        <v>51</v>
      </c>
      <c r="K146" s="89" t="s">
        <v>52</v>
      </c>
      <c r="L146" s="89" t="s">
        <v>275</v>
      </c>
      <c r="M146" s="89"/>
      <c r="N146" s="89" t="s">
        <v>104</v>
      </c>
      <c r="O146" s="94">
        <v>11950208935</v>
      </c>
      <c r="P146" s="95" t="s">
        <v>55</v>
      </c>
      <c r="Q146" s="144" t="s">
        <v>70</v>
      </c>
      <c r="R146" s="96">
        <v>46141</v>
      </c>
      <c r="S146" s="97"/>
      <c r="T146" s="97" t="s">
        <v>57</v>
      </c>
      <c r="U146" s="97" t="s">
        <v>71</v>
      </c>
      <c r="V146" s="93">
        <v>46126</v>
      </c>
      <c r="W146" s="93">
        <v>46141</v>
      </c>
      <c r="X146" s="93">
        <v>46141</v>
      </c>
      <c r="Y146" s="98"/>
      <c r="Z146" s="89" t="s">
        <v>60</v>
      </c>
      <c r="AA146" s="97">
        <v>46146</v>
      </c>
      <c r="AB146" s="89" t="s">
        <v>110</v>
      </c>
      <c r="AC146" s="120">
        <v>46174</v>
      </c>
      <c r="AD146" s="89"/>
      <c r="AE146" s="89"/>
      <c r="AF146" s="99" t="s">
        <v>378</v>
      </c>
      <c r="AG146" s="99"/>
      <c r="AH146" s="99" t="s">
        <v>75</v>
      </c>
      <c r="AI146" s="100" t="s">
        <v>62</v>
      </c>
      <c r="AJ146" s="100" t="s">
        <v>47</v>
      </c>
      <c r="AK146" s="100" t="s">
        <v>47</v>
      </c>
      <c r="AL146" s="45" t="s">
        <v>64</v>
      </c>
      <c r="AM146" s="198" t="str">
        <f t="shared" si="16"/>
        <v>4/2026</v>
      </c>
      <c r="AN146" s="45">
        <f t="shared" si="17"/>
        <v>2</v>
      </c>
      <c r="AO146" s="45" t="str">
        <f t="shared" si="18"/>
        <v>4/2026</v>
      </c>
      <c r="AP146" s="45">
        <f t="shared" si="19"/>
        <v>5</v>
      </c>
      <c r="AQ146" s="45">
        <f t="shared" si="20"/>
        <v>19</v>
      </c>
      <c r="AR146" s="45">
        <f t="shared" si="21"/>
        <v>0</v>
      </c>
      <c r="AS146" s="45">
        <f t="shared" si="22"/>
        <v>7.5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46128</v>
      </c>
      <c r="C147" s="89" t="s">
        <v>48</v>
      </c>
      <c r="D147" s="89" t="s">
        <v>403</v>
      </c>
      <c r="E147" s="90">
        <v>451628462</v>
      </c>
      <c r="F147" s="220" t="s">
        <v>419</v>
      </c>
      <c r="G147" s="92" t="s">
        <v>420</v>
      </c>
      <c r="H147" s="93">
        <v>12399</v>
      </c>
      <c r="I147" s="89">
        <v>92</v>
      </c>
      <c r="J147" s="89" t="s">
        <v>51</v>
      </c>
      <c r="K147" s="89" t="s">
        <v>52</v>
      </c>
      <c r="L147" s="89" t="s">
        <v>275</v>
      </c>
      <c r="M147" s="89" t="s">
        <v>421</v>
      </c>
      <c r="N147" s="89">
        <v>100</v>
      </c>
      <c r="O147" s="94">
        <v>11983064224</v>
      </c>
      <c r="P147" s="95" t="s">
        <v>55</v>
      </c>
      <c r="Q147" s="144" t="s">
        <v>70</v>
      </c>
      <c r="R147" s="96">
        <v>46178</v>
      </c>
      <c r="S147" s="97"/>
      <c r="T147" s="97" t="s">
        <v>57</v>
      </c>
      <c r="U147" s="97" t="s">
        <v>71</v>
      </c>
      <c r="V147" s="93">
        <v>46141</v>
      </c>
      <c r="W147" s="93">
        <v>46147</v>
      </c>
      <c r="X147" s="93">
        <v>46164</v>
      </c>
      <c r="Y147" s="98"/>
      <c r="Z147" s="89" t="s">
        <v>60</v>
      </c>
      <c r="AA147" s="97">
        <v>46183</v>
      </c>
      <c r="AB147" s="89"/>
      <c r="AC147" s="120"/>
      <c r="AD147" s="89"/>
      <c r="AE147" s="89"/>
      <c r="AF147" s="99"/>
      <c r="AG147" s="99"/>
      <c r="AH147" s="99"/>
      <c r="AI147" s="100" t="s">
        <v>62</v>
      </c>
      <c r="AJ147" s="100" t="s">
        <v>47</v>
      </c>
      <c r="AK147" s="100" t="s">
        <v>47</v>
      </c>
      <c r="AL147" s="45" t="s">
        <v>64</v>
      </c>
      <c r="AM147" s="198" t="str">
        <f t="shared" si="16"/>
        <v>4/2026</v>
      </c>
      <c r="AN147" s="45">
        <f t="shared" si="17"/>
        <v>3</v>
      </c>
      <c r="AO147" s="45" t="str">
        <f t="shared" si="18"/>
        <v>6/2026</v>
      </c>
      <c r="AP147" s="45">
        <f t="shared" si="19"/>
        <v>1</v>
      </c>
      <c r="AQ147" s="45">
        <f t="shared" si="20"/>
        <v>50</v>
      </c>
      <c r="AR147" s="45">
        <f t="shared" si="21"/>
        <v>0</v>
      </c>
      <c r="AS147" s="45">
        <f t="shared" si="22"/>
        <v>11.5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>
      <c r="A148" s="87" t="s">
        <v>47</v>
      </c>
      <c r="B148" s="88">
        <v>46128</v>
      </c>
      <c r="C148" s="89" t="s">
        <v>48</v>
      </c>
      <c r="D148" s="89" t="s">
        <v>403</v>
      </c>
      <c r="E148" s="90">
        <v>76913676</v>
      </c>
      <c r="F148" s="220" t="s">
        <v>422</v>
      </c>
      <c r="G148" s="92" t="s">
        <v>423</v>
      </c>
      <c r="H148" s="93">
        <v>23537</v>
      </c>
      <c r="I148" s="89">
        <v>61</v>
      </c>
      <c r="J148" s="89" t="s">
        <v>77</v>
      </c>
      <c r="K148" s="89" t="s">
        <v>52</v>
      </c>
      <c r="L148" s="89" t="s">
        <v>275</v>
      </c>
      <c r="M148" s="89" t="s">
        <v>424</v>
      </c>
      <c r="N148" s="89">
        <v>50</v>
      </c>
      <c r="O148" s="94">
        <v>11965831583</v>
      </c>
      <c r="P148" s="95" t="s">
        <v>55</v>
      </c>
      <c r="Q148" s="144" t="s">
        <v>70</v>
      </c>
      <c r="R148" s="96">
        <v>46114</v>
      </c>
      <c r="S148" s="97"/>
      <c r="T148" s="97" t="s">
        <v>57</v>
      </c>
      <c r="U148" s="97" t="s">
        <v>71</v>
      </c>
      <c r="V148" s="93">
        <v>46114</v>
      </c>
      <c r="W148" s="93">
        <v>46114</v>
      </c>
      <c r="X148" s="93" t="s">
        <v>72</v>
      </c>
      <c r="Y148" s="98"/>
      <c r="Z148" s="89" t="s">
        <v>60</v>
      </c>
      <c r="AA148" s="97">
        <v>46146</v>
      </c>
      <c r="AB148" s="89" t="s">
        <v>61</v>
      </c>
      <c r="AC148" s="120"/>
      <c r="AD148" s="89"/>
      <c r="AE148" s="89"/>
      <c r="AF148" s="99" t="s">
        <v>100</v>
      </c>
      <c r="AG148" s="99"/>
      <c r="AH148" s="99" t="s">
        <v>75</v>
      </c>
      <c r="AI148" s="100" t="s">
        <v>62</v>
      </c>
      <c r="AJ148" s="100" t="s">
        <v>47</v>
      </c>
      <c r="AK148" s="100" t="s">
        <v>47</v>
      </c>
      <c r="AL148" s="45" t="s">
        <v>64</v>
      </c>
      <c r="AM148" s="198" t="str">
        <f t="shared" si="16"/>
        <v>4/2026</v>
      </c>
      <c r="AN148" s="45">
        <f t="shared" si="17"/>
        <v>3</v>
      </c>
      <c r="AO148" s="45" t="str">
        <f t="shared" si="18"/>
        <v>4/2026</v>
      </c>
      <c r="AP148" s="45">
        <f t="shared" si="19"/>
        <v>1</v>
      </c>
      <c r="AQ148" s="45">
        <f t="shared" si="20"/>
        <v>-14</v>
      </c>
      <c r="AR148" s="45">
        <f t="shared" si="21"/>
        <v>0</v>
      </c>
      <c r="AS148" s="45">
        <f t="shared" si="22"/>
        <v>0</v>
      </c>
      <c r="AT148" s="45">
        <f t="shared" si="23"/>
        <v>32</v>
      </c>
      <c r="AU148" s="45" t="str">
        <f>_xlfn.XLOOKUP(U148,'Lista Suspensa'!$AA$20:$AA$23,'Lista Suspensa'!$AB$20:$AB$23,"N/A")</f>
        <v>S</v>
      </c>
    </row>
    <row r="149" spans="1:47" ht="12" hidden="1" customHeight="1">
      <c r="A149" s="87" t="s">
        <v>47</v>
      </c>
      <c r="B149" s="88">
        <v>46134</v>
      </c>
      <c r="C149" s="89" t="s">
        <v>48</v>
      </c>
      <c r="D149" s="89" t="s">
        <v>403</v>
      </c>
      <c r="E149" s="90">
        <v>93038167</v>
      </c>
      <c r="F149" s="220" t="s">
        <v>425</v>
      </c>
      <c r="G149" s="92" t="s">
        <v>426</v>
      </c>
      <c r="H149" s="93">
        <v>20845</v>
      </c>
      <c r="I149" s="89">
        <v>69</v>
      </c>
      <c r="J149" s="89" t="s">
        <v>51</v>
      </c>
      <c r="K149" s="89" t="s">
        <v>52</v>
      </c>
      <c r="L149" s="89" t="s">
        <v>275</v>
      </c>
      <c r="M149" s="89" t="s">
        <v>427</v>
      </c>
      <c r="N149" s="89">
        <v>60</v>
      </c>
      <c r="O149" s="94">
        <v>11997108954</v>
      </c>
      <c r="P149" s="95" t="s">
        <v>55</v>
      </c>
      <c r="Q149" s="144" t="s">
        <v>136</v>
      </c>
      <c r="R149" s="96"/>
      <c r="S149" s="97">
        <v>46167</v>
      </c>
      <c r="T149" s="97" t="s">
        <v>183</v>
      </c>
      <c r="U149" s="97" t="s">
        <v>58</v>
      </c>
      <c r="V149" s="93">
        <v>46141</v>
      </c>
      <c r="W149" s="93">
        <v>46147</v>
      </c>
      <c r="X149" s="93">
        <v>46164</v>
      </c>
      <c r="Y149" s="98"/>
      <c r="Z149" s="89"/>
      <c r="AA149" s="97"/>
      <c r="AB149" s="89"/>
      <c r="AC149" s="120"/>
      <c r="AD149" s="89"/>
      <c r="AE149" s="89"/>
      <c r="AF149" s="99"/>
      <c r="AG149" s="99"/>
      <c r="AH149" s="99"/>
      <c r="AI149" s="100" t="s">
        <v>47</v>
      </c>
      <c r="AJ149" s="100" t="s">
        <v>63</v>
      </c>
      <c r="AK149" s="100" t="s">
        <v>47</v>
      </c>
      <c r="AL149" s="45" t="s">
        <v>64</v>
      </c>
      <c r="AM149" s="198" t="str">
        <f t="shared" si="16"/>
        <v>4/2026</v>
      </c>
      <c r="AN149" s="45">
        <f t="shared" si="17"/>
        <v>4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hidden="1" customHeight="1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220" t="s">
        <v>428</v>
      </c>
      <c r="G150" s="92">
        <v>31057896853</v>
      </c>
      <c r="H150" s="93">
        <v>16205</v>
      </c>
      <c r="I150" s="89">
        <v>81</v>
      </c>
      <c r="J150" s="89" t="s">
        <v>77</v>
      </c>
      <c r="K150" s="89" t="s">
        <v>52</v>
      </c>
      <c r="L150" s="89" t="s">
        <v>275</v>
      </c>
      <c r="M150" s="89" t="s">
        <v>429</v>
      </c>
      <c r="N150" s="89">
        <v>100</v>
      </c>
      <c r="O150" s="94" t="s">
        <v>430</v>
      </c>
      <c r="P150" s="95" t="s">
        <v>55</v>
      </c>
      <c r="Q150" s="144" t="s">
        <v>70</v>
      </c>
      <c r="R150" s="96">
        <v>46147</v>
      </c>
      <c r="S150" s="97"/>
      <c r="T150" s="97" t="s">
        <v>57</v>
      </c>
      <c r="U150" s="97" t="s">
        <v>71</v>
      </c>
      <c r="V150" s="93">
        <v>46141</v>
      </c>
      <c r="W150" s="93">
        <v>46147</v>
      </c>
      <c r="X150" s="93" t="s">
        <v>72</v>
      </c>
      <c r="Y150" s="98"/>
      <c r="Z150" s="89" t="s">
        <v>60</v>
      </c>
      <c r="AA150" s="97">
        <v>46149</v>
      </c>
      <c r="AB150" s="89" t="s">
        <v>61</v>
      </c>
      <c r="AC150" s="120"/>
      <c r="AD150" s="89" t="s">
        <v>73</v>
      </c>
      <c r="AE150" s="89">
        <v>46</v>
      </c>
      <c r="AF150" s="99" t="s">
        <v>97</v>
      </c>
      <c r="AG150" s="99"/>
      <c r="AH150" s="99" t="s">
        <v>75</v>
      </c>
      <c r="AI150" s="100" t="s">
        <v>47</v>
      </c>
      <c r="AJ150" s="100" t="s">
        <v>47</v>
      </c>
      <c r="AK150" s="100" t="s">
        <v>47</v>
      </c>
      <c r="AL150" s="45" t="s">
        <v>64</v>
      </c>
      <c r="AM150" s="198" t="str">
        <f t="shared" si="16"/>
        <v>4/2026</v>
      </c>
      <c r="AN150" s="45">
        <f t="shared" si="17"/>
        <v>4</v>
      </c>
      <c r="AO150" s="45" t="str">
        <f t="shared" si="18"/>
        <v>5/2026</v>
      </c>
      <c r="AP150" s="45">
        <f t="shared" si="19"/>
        <v>2</v>
      </c>
      <c r="AQ150" s="45">
        <f t="shared" si="20"/>
        <v>12</v>
      </c>
      <c r="AR150" s="45">
        <f t="shared" si="21"/>
        <v>0</v>
      </c>
      <c r="AS150" s="45">
        <f t="shared" si="22"/>
        <v>6</v>
      </c>
      <c r="AT150" s="45">
        <f t="shared" si="23"/>
        <v>2</v>
      </c>
      <c r="AU150" s="45" t="str">
        <f>_xlfn.XLOOKUP(U150,'Lista Suspensa'!$AA$20:$AA$23,'Lista Suspensa'!$AB$20:$AB$23,"N/A")</f>
        <v>S</v>
      </c>
    </row>
    <row r="151" spans="1:47" ht="12" hidden="1" customHeight="1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220" t="s">
        <v>431</v>
      </c>
      <c r="G151" s="92" t="s">
        <v>432</v>
      </c>
      <c r="H151" s="93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4">
        <v>11966695038</v>
      </c>
      <c r="P151" s="95" t="s">
        <v>55</v>
      </c>
      <c r="Q151" s="144" t="s">
        <v>136</v>
      </c>
      <c r="R151" s="96"/>
      <c r="S151" s="97">
        <v>46167</v>
      </c>
      <c r="T151" s="97" t="s">
        <v>183</v>
      </c>
      <c r="U151" s="97" t="s">
        <v>58</v>
      </c>
      <c r="V151" s="93">
        <v>46141</v>
      </c>
      <c r="W151" s="93">
        <v>46147</v>
      </c>
      <c r="X151" s="93">
        <v>46164</v>
      </c>
      <c r="Y151" s="98"/>
      <c r="Z151" s="89"/>
      <c r="AA151" s="97"/>
      <c r="AB151" s="89"/>
      <c r="AC151" s="120"/>
      <c r="AD151" s="89"/>
      <c r="AE151" s="89"/>
      <c r="AF151" s="99"/>
      <c r="AG151" s="99"/>
      <c r="AH151" s="99"/>
      <c r="AI151" s="100" t="s">
        <v>47</v>
      </c>
      <c r="AJ151" s="100" t="s">
        <v>63</v>
      </c>
      <c r="AK151" s="100" t="s">
        <v>47</v>
      </c>
      <c r="AL151" s="45" t="s">
        <v>64</v>
      </c>
      <c r="AM151" s="198" t="str">
        <f t="shared" si="16"/>
        <v>4/2026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220" t="s">
        <v>433</v>
      </c>
      <c r="G152" s="92" t="s">
        <v>434</v>
      </c>
      <c r="H152" s="93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4">
        <v>11983076948</v>
      </c>
      <c r="P152" s="95" t="s">
        <v>55</v>
      </c>
      <c r="Q152" s="144" t="s">
        <v>70</v>
      </c>
      <c r="R152" s="96">
        <v>46147</v>
      </c>
      <c r="S152" s="97"/>
      <c r="T152" s="97" t="s">
        <v>57</v>
      </c>
      <c r="U152" s="97" t="s">
        <v>71</v>
      </c>
      <c r="V152" s="93">
        <v>46141</v>
      </c>
      <c r="W152" s="93">
        <v>46147</v>
      </c>
      <c r="X152" s="93" t="s">
        <v>72</v>
      </c>
      <c r="Y152" s="98"/>
      <c r="Z152" s="89" t="s">
        <v>60</v>
      </c>
      <c r="AA152" s="97">
        <v>46153</v>
      </c>
      <c r="AB152" s="89" t="s">
        <v>61</v>
      </c>
      <c r="AC152" s="120">
        <v>46153</v>
      </c>
      <c r="AD152" s="89" t="s">
        <v>73</v>
      </c>
      <c r="AE152" s="89">
        <v>50</v>
      </c>
      <c r="AF152" s="99"/>
      <c r="AG152" s="99"/>
      <c r="AH152" s="99"/>
      <c r="AI152" s="100" t="s">
        <v>47</v>
      </c>
      <c r="AJ152" s="100" t="s">
        <v>47</v>
      </c>
      <c r="AK152" s="100" t="s">
        <v>47</v>
      </c>
      <c r="AL152" s="45" t="s">
        <v>64</v>
      </c>
      <c r="AM152" s="198" t="str">
        <f t="shared" si="16"/>
        <v>4/2026</v>
      </c>
      <c r="AN152" s="45">
        <f t="shared" si="17"/>
        <v>5</v>
      </c>
      <c r="AO152" s="45" t="str">
        <f t="shared" si="18"/>
        <v>5/2026</v>
      </c>
      <c r="AP152" s="45">
        <f t="shared" si="19"/>
        <v>2</v>
      </c>
      <c r="AQ152" s="45">
        <f t="shared" si="20"/>
        <v>7</v>
      </c>
      <c r="AR152" s="45">
        <f t="shared" si="21"/>
        <v>0</v>
      </c>
      <c r="AS152" s="45">
        <f t="shared" si="22"/>
        <v>6</v>
      </c>
      <c r="AT152" s="45">
        <f t="shared" si="23"/>
        <v>6</v>
      </c>
      <c r="AU152" s="45" t="str">
        <f>_xlfn.XLOOKUP(U152,'Lista Suspensa'!$AA$20:$AA$23,'Lista Suspensa'!$AB$20:$AB$23,"N/A")</f>
        <v>S</v>
      </c>
    </row>
    <row r="153" spans="1:47" ht="12" hidden="1" customHeight="1">
      <c r="A153" s="87" t="s">
        <v>47</v>
      </c>
      <c r="B153" s="88">
        <v>46146</v>
      </c>
      <c r="C153" s="89" t="s">
        <v>48</v>
      </c>
      <c r="D153" s="89" t="s">
        <v>403</v>
      </c>
      <c r="E153" s="90">
        <v>592983935</v>
      </c>
      <c r="F153" s="220" t="s">
        <v>435</v>
      </c>
      <c r="G153" s="92" t="s">
        <v>436</v>
      </c>
      <c r="H153" s="93">
        <v>23353</v>
      </c>
      <c r="I153" s="89">
        <v>62</v>
      </c>
      <c r="J153" s="89" t="s">
        <v>51</v>
      </c>
      <c r="K153" s="89" t="s">
        <v>52</v>
      </c>
      <c r="L153" s="89" t="s">
        <v>328</v>
      </c>
      <c r="M153" s="89"/>
      <c r="N153" s="89">
        <v>50</v>
      </c>
      <c r="O153" s="94">
        <v>11940109661</v>
      </c>
      <c r="P153" s="95" t="s">
        <v>55</v>
      </c>
      <c r="Q153" s="144" t="s">
        <v>70</v>
      </c>
      <c r="R153" s="96">
        <v>46154</v>
      </c>
      <c r="S153" s="97"/>
      <c r="T153" s="97" t="s">
        <v>57</v>
      </c>
      <c r="U153" s="97" t="s">
        <v>71</v>
      </c>
      <c r="V153" s="93">
        <v>46147</v>
      </c>
      <c r="W153" s="93">
        <v>46154</v>
      </c>
      <c r="X153" s="93" t="s">
        <v>72</v>
      </c>
      <c r="Y153" s="98"/>
      <c r="Z153" s="89" t="s">
        <v>60</v>
      </c>
      <c r="AA153" s="97">
        <v>46153</v>
      </c>
      <c r="AB153" s="89" t="s">
        <v>110</v>
      </c>
      <c r="AC153" s="120"/>
      <c r="AD153" s="89"/>
      <c r="AE153" s="89"/>
      <c r="AF153" s="99"/>
      <c r="AG153" s="99"/>
      <c r="AH153" s="99"/>
      <c r="AI153" s="100" t="s">
        <v>47</v>
      </c>
      <c r="AJ153" s="100" t="s">
        <v>47</v>
      </c>
      <c r="AK153" s="100" t="s">
        <v>47</v>
      </c>
      <c r="AL153" s="45" t="s">
        <v>64</v>
      </c>
      <c r="AM153" s="198" t="str">
        <f t="shared" si="16"/>
        <v>5/2026</v>
      </c>
      <c r="AN153" s="45">
        <f t="shared" si="17"/>
        <v>2</v>
      </c>
      <c r="AO153" s="45" t="str">
        <f t="shared" si="18"/>
        <v>5/2026</v>
      </c>
      <c r="AP153" s="45">
        <f t="shared" si="19"/>
        <v>3</v>
      </c>
      <c r="AQ153" s="45">
        <f t="shared" si="20"/>
        <v>8</v>
      </c>
      <c r="AR153" s="45">
        <f t="shared" si="21"/>
        <v>0</v>
      </c>
      <c r="AS153" s="45">
        <f t="shared" si="22"/>
        <v>7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220" t="s">
        <v>437</v>
      </c>
      <c r="G154" s="92">
        <v>33595330706</v>
      </c>
      <c r="H154" s="93">
        <v>19451</v>
      </c>
      <c r="I154" s="89">
        <v>73</v>
      </c>
      <c r="J154" s="89" t="s">
        <v>51</v>
      </c>
      <c r="K154" s="89" t="s">
        <v>271</v>
      </c>
      <c r="L154" s="89" t="s">
        <v>438</v>
      </c>
      <c r="M154" s="89"/>
      <c r="N154" s="89">
        <v>400</v>
      </c>
      <c r="O154" s="94" t="s">
        <v>439</v>
      </c>
      <c r="P154" s="95" t="s">
        <v>55</v>
      </c>
      <c r="Q154" s="144" t="s">
        <v>136</v>
      </c>
      <c r="R154" s="96"/>
      <c r="S154" s="97">
        <v>46167</v>
      </c>
      <c r="T154" s="97" t="s">
        <v>183</v>
      </c>
      <c r="U154" s="97" t="s">
        <v>58</v>
      </c>
      <c r="V154" s="93">
        <v>46154</v>
      </c>
      <c r="W154" s="93">
        <v>46160</v>
      </c>
      <c r="X154" s="93">
        <v>46164</v>
      </c>
      <c r="Y154" s="98"/>
      <c r="Z154" s="89"/>
      <c r="AA154" s="97"/>
      <c r="AB154" s="89"/>
      <c r="AC154" s="120"/>
      <c r="AD154" s="89"/>
      <c r="AE154" s="89"/>
      <c r="AF154" s="99"/>
      <c r="AG154" s="99"/>
      <c r="AH154" s="99"/>
      <c r="AI154" s="100" t="s">
        <v>47</v>
      </c>
      <c r="AJ154" s="100" t="s">
        <v>63</v>
      </c>
      <c r="AK154" s="100" t="s">
        <v>47</v>
      </c>
      <c r="AL154" s="45" t="s">
        <v>64</v>
      </c>
      <c r="AM154" s="198" t="str">
        <f t="shared" si="16"/>
        <v>5/2026</v>
      </c>
      <c r="AN154" s="45">
        <f t="shared" si="17"/>
        <v>2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220" t="s">
        <v>440</v>
      </c>
      <c r="G155" s="92">
        <v>36319037822</v>
      </c>
      <c r="H155" s="93">
        <v>32563</v>
      </c>
      <c r="I155" s="89">
        <v>37</v>
      </c>
      <c r="J155" s="89" t="s">
        <v>51</v>
      </c>
      <c r="K155" s="89" t="s">
        <v>52</v>
      </c>
      <c r="L155" s="89" t="s">
        <v>275</v>
      </c>
      <c r="M155" s="89"/>
      <c r="N155" s="89">
        <v>450</v>
      </c>
      <c r="O155" s="94" t="s">
        <v>441</v>
      </c>
      <c r="P155" s="95" t="s">
        <v>55</v>
      </c>
      <c r="Q155" s="144" t="s">
        <v>70</v>
      </c>
      <c r="R155" s="96">
        <v>46164</v>
      </c>
      <c r="S155" s="97"/>
      <c r="T155" s="97" t="s">
        <v>57</v>
      </c>
      <c r="U155" s="97" t="s">
        <v>71</v>
      </c>
      <c r="V155" s="93">
        <v>46154</v>
      </c>
      <c r="W155" s="93">
        <v>46160</v>
      </c>
      <c r="X155" s="93" t="s">
        <v>72</v>
      </c>
      <c r="Y155" s="98"/>
      <c r="Z155" s="89" t="s">
        <v>60</v>
      </c>
      <c r="AA155" s="97">
        <v>46170</v>
      </c>
      <c r="AB155" s="89" t="s">
        <v>110</v>
      </c>
      <c r="AC155" s="120"/>
      <c r="AD155" s="89"/>
      <c r="AE155" s="89"/>
      <c r="AF155" s="99"/>
      <c r="AG155" s="99"/>
      <c r="AH155" s="99"/>
      <c r="AI155" s="100" t="s">
        <v>47</v>
      </c>
      <c r="AJ155" s="100" t="s">
        <v>47</v>
      </c>
      <c r="AK155" s="100" t="s">
        <v>47</v>
      </c>
      <c r="AL155" s="45" t="s">
        <v>64</v>
      </c>
      <c r="AM155" s="198" t="str">
        <f t="shared" si="16"/>
        <v>5/2026</v>
      </c>
      <c r="AN155" s="45">
        <f t="shared" si="17"/>
        <v>2</v>
      </c>
      <c r="AO155" s="45" t="str">
        <f t="shared" si="18"/>
        <v>5/2026</v>
      </c>
      <c r="AP155" s="45">
        <f t="shared" si="19"/>
        <v>4</v>
      </c>
      <c r="AQ155" s="45">
        <f t="shared" si="20"/>
        <v>16</v>
      </c>
      <c r="AR155" s="45">
        <f t="shared" si="21"/>
        <v>0</v>
      </c>
      <c r="AS155" s="45">
        <f t="shared" si="22"/>
        <v>6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hidden="1" customHeight="1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220" t="s">
        <v>442</v>
      </c>
      <c r="G156" s="92">
        <v>95453040653</v>
      </c>
      <c r="H156" s="93">
        <v>25079</v>
      </c>
      <c r="I156" s="89">
        <v>57</v>
      </c>
      <c r="J156" s="89" t="s">
        <v>51</v>
      </c>
      <c r="K156" s="89" t="s">
        <v>271</v>
      </c>
      <c r="L156" s="89" t="s">
        <v>293</v>
      </c>
      <c r="M156" s="89" t="s">
        <v>443</v>
      </c>
      <c r="N156" s="89">
        <v>75</v>
      </c>
      <c r="O156" s="94" t="s">
        <v>444</v>
      </c>
      <c r="P156" s="95" t="s">
        <v>55</v>
      </c>
      <c r="Q156" s="144" t="s">
        <v>70</v>
      </c>
      <c r="R156" s="96">
        <v>46154</v>
      </c>
      <c r="S156" s="97"/>
      <c r="T156" s="97" t="s">
        <v>57</v>
      </c>
      <c r="U156" s="97" t="s">
        <v>71</v>
      </c>
      <c r="V156" s="93">
        <v>46154</v>
      </c>
      <c r="W156" s="93" t="s">
        <v>72</v>
      </c>
      <c r="X156" s="93" t="s">
        <v>72</v>
      </c>
      <c r="Y156" s="98"/>
      <c r="Z156" s="89" t="s">
        <v>60</v>
      </c>
      <c r="AA156" s="97">
        <v>46161</v>
      </c>
      <c r="AB156" s="89" t="s">
        <v>110</v>
      </c>
      <c r="AC156" s="120"/>
      <c r="AD156" s="89"/>
      <c r="AE156" s="89"/>
      <c r="AF156" s="99"/>
      <c r="AG156" s="99"/>
      <c r="AH156" s="99"/>
      <c r="AI156" s="100" t="s">
        <v>47</v>
      </c>
      <c r="AJ156" s="100" t="s">
        <v>47</v>
      </c>
      <c r="AK156" s="100" t="s">
        <v>47</v>
      </c>
      <c r="AL156" s="45" t="s">
        <v>64</v>
      </c>
      <c r="AM156" s="198" t="str">
        <f t="shared" si="16"/>
        <v>5/2026</v>
      </c>
      <c r="AN156" s="45">
        <f t="shared" si="17"/>
        <v>2</v>
      </c>
      <c r="AO156" s="45" t="str">
        <f t="shared" si="18"/>
        <v>5/2026</v>
      </c>
      <c r="AP156" s="45">
        <f t="shared" si="19"/>
        <v>3</v>
      </c>
      <c r="AQ156" s="45">
        <f t="shared" si="20"/>
        <v>6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220" t="s">
        <v>445</v>
      </c>
      <c r="G157" s="92">
        <v>36952729372</v>
      </c>
      <c r="H157" s="93">
        <v>25297</v>
      </c>
      <c r="I157" s="89">
        <v>57</v>
      </c>
      <c r="J157" s="89" t="s">
        <v>77</v>
      </c>
      <c r="K157" s="89" t="s">
        <v>52</v>
      </c>
      <c r="L157" s="89" t="s">
        <v>275</v>
      </c>
      <c r="M157" s="89" t="s">
        <v>446</v>
      </c>
      <c r="N157" s="89">
        <v>110</v>
      </c>
      <c r="O157" s="94" t="s">
        <v>447</v>
      </c>
      <c r="P157" s="95" t="s">
        <v>55</v>
      </c>
      <c r="Q157" s="144" t="s">
        <v>136</v>
      </c>
      <c r="R157" s="96"/>
      <c r="S157" s="97">
        <v>46167</v>
      </c>
      <c r="T157" s="97" t="s">
        <v>183</v>
      </c>
      <c r="U157" s="97" t="s">
        <v>58</v>
      </c>
      <c r="V157" s="93">
        <v>46154</v>
      </c>
      <c r="W157" s="93">
        <v>46160</v>
      </c>
      <c r="X157" s="93">
        <v>46164</v>
      </c>
      <c r="Y157" s="98"/>
      <c r="Z157" s="89"/>
      <c r="AA157" s="97"/>
      <c r="AB157" s="89"/>
      <c r="AC157" s="120"/>
      <c r="AD157" s="89"/>
      <c r="AE157" s="89"/>
      <c r="AF157" s="99"/>
      <c r="AG157" s="99"/>
      <c r="AH157" s="99"/>
      <c r="AI157" s="100" t="s">
        <v>47</v>
      </c>
      <c r="AJ157" s="100" t="s">
        <v>63</v>
      </c>
      <c r="AK157" s="100" t="s">
        <v>47</v>
      </c>
      <c r="AL157" s="45" t="s">
        <v>64</v>
      </c>
      <c r="AM157" s="198" t="str">
        <f t="shared" si="16"/>
        <v>5/2026</v>
      </c>
      <c r="AN157" s="45">
        <f t="shared" si="17"/>
        <v>2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220" t="s">
        <v>448</v>
      </c>
      <c r="G158" s="92">
        <v>2746414708</v>
      </c>
      <c r="H158" s="93">
        <v>26085</v>
      </c>
      <c r="I158" s="89">
        <v>54</v>
      </c>
      <c r="J158" s="89" t="s">
        <v>77</v>
      </c>
      <c r="K158" s="89" t="s">
        <v>271</v>
      </c>
      <c r="L158" s="89" t="s">
        <v>449</v>
      </c>
      <c r="M158" s="89" t="s">
        <v>450</v>
      </c>
      <c r="N158" s="89">
        <v>60</v>
      </c>
      <c r="O158" s="94">
        <v>21974828674</v>
      </c>
      <c r="P158" s="95" t="s">
        <v>55</v>
      </c>
      <c r="Q158" s="144" t="s">
        <v>70</v>
      </c>
      <c r="R158" s="96">
        <v>46154</v>
      </c>
      <c r="S158" s="97"/>
      <c r="T158" s="97" t="s">
        <v>57</v>
      </c>
      <c r="U158" s="97" t="s">
        <v>71</v>
      </c>
      <c r="V158" s="93">
        <v>46154</v>
      </c>
      <c r="W158" s="93" t="s">
        <v>72</v>
      </c>
      <c r="X158" s="93" t="s">
        <v>72</v>
      </c>
      <c r="Y158" s="98"/>
      <c r="Z158" s="89" t="s">
        <v>60</v>
      </c>
      <c r="AA158" s="97">
        <v>46156</v>
      </c>
      <c r="AB158" s="89" t="s">
        <v>110</v>
      </c>
      <c r="AC158" s="120"/>
      <c r="AD158" s="89"/>
      <c r="AE158" s="89"/>
      <c r="AF158" s="99"/>
      <c r="AG158" s="99"/>
      <c r="AH158" s="99"/>
      <c r="AI158" s="100" t="s">
        <v>47</v>
      </c>
      <c r="AJ158" s="100" t="s">
        <v>47</v>
      </c>
      <c r="AK158" s="100" t="s">
        <v>47</v>
      </c>
      <c r="AL158" s="45" t="s">
        <v>64</v>
      </c>
      <c r="AM158" s="198" t="str">
        <f t="shared" si="16"/>
        <v>5/2026</v>
      </c>
      <c r="AN158" s="45">
        <f t="shared" si="17"/>
        <v>2</v>
      </c>
      <c r="AO158" s="45" t="str">
        <f t="shared" si="18"/>
        <v>5/2026</v>
      </c>
      <c r="AP158" s="45">
        <f t="shared" si="19"/>
        <v>3</v>
      </c>
      <c r="AQ158" s="45">
        <f t="shared" si="20"/>
        <v>5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hidden="1" customHeight="1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220" t="s">
        <v>451</v>
      </c>
      <c r="G159" s="92">
        <v>2214007709</v>
      </c>
      <c r="H159" s="93">
        <v>26270</v>
      </c>
      <c r="I159" s="89">
        <v>54</v>
      </c>
      <c r="J159" s="89" t="s">
        <v>51</v>
      </c>
      <c r="K159" s="89" t="s">
        <v>271</v>
      </c>
      <c r="L159" s="89" t="s">
        <v>438</v>
      </c>
      <c r="M159" s="89"/>
      <c r="N159" s="89">
        <v>580</v>
      </c>
      <c r="O159" s="94">
        <v>21968254243</v>
      </c>
      <c r="P159" s="95" t="s">
        <v>55</v>
      </c>
      <c r="Q159" s="144" t="s">
        <v>70</v>
      </c>
      <c r="R159" s="96">
        <v>46154</v>
      </c>
      <c r="S159" s="97"/>
      <c r="T159" s="97" t="s">
        <v>57</v>
      </c>
      <c r="U159" s="97" t="s">
        <v>71</v>
      </c>
      <c r="V159" s="93">
        <v>46154</v>
      </c>
      <c r="W159" s="93" t="s">
        <v>72</v>
      </c>
      <c r="X159" s="93" t="s">
        <v>72</v>
      </c>
      <c r="Y159" s="98"/>
      <c r="Z159" s="89" t="s">
        <v>60</v>
      </c>
      <c r="AA159" s="97">
        <v>46162</v>
      </c>
      <c r="AB159" s="89" t="s">
        <v>110</v>
      </c>
      <c r="AC159" s="120"/>
      <c r="AD159" s="89"/>
      <c r="AE159" s="89"/>
      <c r="AF159" s="99"/>
      <c r="AG159" s="99"/>
      <c r="AH159" s="99"/>
      <c r="AI159" s="100" t="s">
        <v>47</v>
      </c>
      <c r="AJ159" s="100" t="s">
        <v>47</v>
      </c>
      <c r="AK159" s="100" t="s">
        <v>47</v>
      </c>
      <c r="AL159" s="45" t="s">
        <v>64</v>
      </c>
      <c r="AM159" s="198" t="str">
        <f t="shared" si="16"/>
        <v>5/2026</v>
      </c>
      <c r="AN159" s="45">
        <f t="shared" si="17"/>
        <v>2</v>
      </c>
      <c r="AO159" s="45" t="str">
        <f t="shared" si="18"/>
        <v>5/2026</v>
      </c>
      <c r="AP159" s="45">
        <f t="shared" si="19"/>
        <v>3</v>
      </c>
      <c r="AQ159" s="45">
        <f t="shared" si="20"/>
        <v>5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220" t="s">
        <v>452</v>
      </c>
      <c r="G160" s="92">
        <v>14008427783</v>
      </c>
      <c r="H160" s="93">
        <v>32920</v>
      </c>
      <c r="I160" s="89">
        <v>36</v>
      </c>
      <c r="J160" s="89" t="s">
        <v>51</v>
      </c>
      <c r="K160" s="89" t="s">
        <v>271</v>
      </c>
      <c r="L160" s="89" t="s">
        <v>293</v>
      </c>
      <c r="M160" s="89" t="s">
        <v>453</v>
      </c>
      <c r="N160" s="89">
        <v>380</v>
      </c>
      <c r="O160" s="94">
        <v>21992315380</v>
      </c>
      <c r="P160" s="95" t="s">
        <v>55</v>
      </c>
      <c r="Q160" s="144" t="s">
        <v>70</v>
      </c>
      <c r="R160" s="96">
        <v>46164</v>
      </c>
      <c r="S160" s="97"/>
      <c r="T160" s="97" t="s">
        <v>57</v>
      </c>
      <c r="U160" s="97" t="s">
        <v>71</v>
      </c>
      <c r="V160" s="93">
        <v>46154</v>
      </c>
      <c r="W160" s="93">
        <v>46160</v>
      </c>
      <c r="X160" s="93">
        <v>46164</v>
      </c>
      <c r="Y160" s="98"/>
      <c r="Z160" s="89" t="s">
        <v>60</v>
      </c>
      <c r="AA160" s="97">
        <v>46170</v>
      </c>
      <c r="AB160" s="89" t="s">
        <v>110</v>
      </c>
      <c r="AC160" s="120"/>
      <c r="AD160" s="89"/>
      <c r="AE160" s="89"/>
      <c r="AF160" s="99"/>
      <c r="AG160" s="99"/>
      <c r="AH160" s="99"/>
      <c r="AI160" s="100" t="s">
        <v>47</v>
      </c>
      <c r="AJ160" s="100" t="s">
        <v>47</v>
      </c>
      <c r="AK160" s="100" t="s">
        <v>47</v>
      </c>
      <c r="AL160" s="45" t="s">
        <v>64</v>
      </c>
      <c r="AM160" s="198" t="str">
        <f t="shared" si="16"/>
        <v>5/2026</v>
      </c>
      <c r="AN160" s="45">
        <f t="shared" si="17"/>
        <v>3</v>
      </c>
      <c r="AO160" s="45" t="str">
        <f t="shared" si="18"/>
        <v>5/2026</v>
      </c>
      <c r="AP160" s="45">
        <f t="shared" si="19"/>
        <v>4</v>
      </c>
      <c r="AQ160" s="45">
        <f t="shared" si="20"/>
        <v>11</v>
      </c>
      <c r="AR160" s="45">
        <f t="shared" si="21"/>
        <v>0</v>
      </c>
      <c r="AS160" s="45">
        <f t="shared" si="22"/>
        <v>5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hidden="1" customHeight="1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220" t="s">
        <v>454</v>
      </c>
      <c r="G161" s="92">
        <v>63054493768</v>
      </c>
      <c r="H161" s="93">
        <v>22236</v>
      </c>
      <c r="I161" s="89">
        <v>65</v>
      </c>
      <c r="J161" s="89" t="s">
        <v>51</v>
      </c>
      <c r="K161" s="89" t="s">
        <v>52</v>
      </c>
      <c r="L161" s="89" t="s">
        <v>275</v>
      </c>
      <c r="M161" s="89" t="s">
        <v>455</v>
      </c>
      <c r="N161" s="89">
        <v>60</v>
      </c>
      <c r="O161" s="94" t="s">
        <v>456</v>
      </c>
      <c r="P161" s="95" t="s">
        <v>55</v>
      </c>
      <c r="Q161" s="144" t="s">
        <v>457</v>
      </c>
      <c r="R161" s="96"/>
      <c r="S161" s="97"/>
      <c r="T161" s="97" t="s">
        <v>183</v>
      </c>
      <c r="U161" s="97" t="s">
        <v>458</v>
      </c>
      <c r="V161" s="93">
        <v>46170</v>
      </c>
      <c r="W161" s="93">
        <v>46181</v>
      </c>
      <c r="X161" s="93"/>
      <c r="Y161" s="98"/>
      <c r="Z161" s="89"/>
      <c r="AA161" s="97"/>
      <c r="AB161" s="89"/>
      <c r="AC161" s="120"/>
      <c r="AD161" s="89"/>
      <c r="AE161" s="89"/>
      <c r="AF161" s="99"/>
      <c r="AG161" s="99"/>
      <c r="AH161" s="99"/>
      <c r="AI161" s="100" t="s">
        <v>47</v>
      </c>
      <c r="AJ161" s="100" t="s">
        <v>47</v>
      </c>
      <c r="AK161" s="100" t="s">
        <v>47</v>
      </c>
      <c r="AL161" s="45" t="s">
        <v>64</v>
      </c>
      <c r="AM161" s="198" t="str">
        <f t="shared" si="16"/>
        <v>5/2026</v>
      </c>
      <c r="AN161" s="45">
        <f t="shared" si="17"/>
        <v>3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hidden="1" customHeight="1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220" t="s">
        <v>459</v>
      </c>
      <c r="G162" s="92">
        <v>5279323705</v>
      </c>
      <c r="H162" s="93">
        <v>29645</v>
      </c>
      <c r="I162" s="89">
        <v>45</v>
      </c>
      <c r="J162" s="89" t="s">
        <v>51</v>
      </c>
      <c r="K162" s="89" t="s">
        <v>271</v>
      </c>
      <c r="L162" s="89" t="s">
        <v>293</v>
      </c>
      <c r="M162" s="89" t="s">
        <v>453</v>
      </c>
      <c r="N162" s="89">
        <v>60</v>
      </c>
      <c r="O162" s="94">
        <v>21995425145</v>
      </c>
      <c r="P162" s="95" t="s">
        <v>55</v>
      </c>
      <c r="Q162" s="144" t="s">
        <v>70</v>
      </c>
      <c r="R162" s="96">
        <v>46164</v>
      </c>
      <c r="S162" s="97"/>
      <c r="T162" s="97" t="s">
        <v>57</v>
      </c>
      <c r="U162" s="97" t="s">
        <v>71</v>
      </c>
      <c r="V162" s="93">
        <v>46164</v>
      </c>
      <c r="W162" s="93" t="s">
        <v>72</v>
      </c>
      <c r="X162" s="93" t="s">
        <v>72</v>
      </c>
      <c r="Y162" s="98"/>
      <c r="Z162" s="89" t="s">
        <v>60</v>
      </c>
      <c r="AA162" s="97">
        <v>46170</v>
      </c>
      <c r="AB162" s="89" t="s">
        <v>61</v>
      </c>
      <c r="AC162" s="120"/>
      <c r="AD162" s="89" t="s">
        <v>85</v>
      </c>
      <c r="AE162" s="89">
        <v>63</v>
      </c>
      <c r="AF162" s="99"/>
      <c r="AG162" s="99"/>
      <c r="AH162" s="99"/>
      <c r="AI162" s="100" t="s">
        <v>47</v>
      </c>
      <c r="AJ162" s="100" t="s">
        <v>47</v>
      </c>
      <c r="AK162" s="100" t="s">
        <v>47</v>
      </c>
      <c r="AL162" s="45" t="s">
        <v>64</v>
      </c>
      <c r="AM162" s="198" t="str">
        <f t="shared" si="16"/>
        <v>5/2026</v>
      </c>
      <c r="AN162" s="45">
        <f t="shared" si="17"/>
        <v>3</v>
      </c>
      <c r="AO162" s="45" t="str">
        <f t="shared" si="18"/>
        <v>5/2026</v>
      </c>
      <c r="AP162" s="45">
        <f t="shared" si="19"/>
        <v>4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6</v>
      </c>
      <c r="AU162" s="45" t="str">
        <f>_xlfn.XLOOKUP(U162,'Lista Suspensa'!$AA$20:$AA$23,'Lista Suspensa'!$AB$20:$AB$23,"N/A")</f>
        <v>S</v>
      </c>
    </row>
    <row r="163" spans="1:47" ht="12" hidden="1" customHeight="1">
      <c r="A163" s="87" t="s">
        <v>47</v>
      </c>
      <c r="B163" s="88">
        <v>46156</v>
      </c>
      <c r="C163" s="89" t="s">
        <v>48</v>
      </c>
      <c r="D163" s="89" t="s">
        <v>403</v>
      </c>
      <c r="E163" s="90">
        <v>810135647</v>
      </c>
      <c r="F163" s="220" t="s">
        <v>460</v>
      </c>
      <c r="G163" s="92" t="s">
        <v>461</v>
      </c>
      <c r="H163" s="93">
        <v>19692</v>
      </c>
      <c r="I163" s="89">
        <v>72</v>
      </c>
      <c r="J163" s="89" t="s">
        <v>51</v>
      </c>
      <c r="K163" s="89" t="s">
        <v>52</v>
      </c>
      <c r="L163" s="89" t="s">
        <v>275</v>
      </c>
      <c r="M163" s="89" t="s">
        <v>462</v>
      </c>
      <c r="N163" s="89">
        <v>100</v>
      </c>
      <c r="O163" s="94">
        <v>11989563569</v>
      </c>
      <c r="P163" s="95" t="s">
        <v>55</v>
      </c>
      <c r="Q163" s="144" t="s">
        <v>457</v>
      </c>
      <c r="R163" s="96"/>
      <c r="S163" s="97"/>
      <c r="T163" s="97" t="s">
        <v>183</v>
      </c>
      <c r="U163" s="97" t="s">
        <v>458</v>
      </c>
      <c r="V163" s="93">
        <v>46170</v>
      </c>
      <c r="W163" s="93">
        <v>46181</v>
      </c>
      <c r="X163" s="93"/>
      <c r="Y163" s="98"/>
      <c r="Z163" s="89"/>
      <c r="AA163" s="97"/>
      <c r="AB163" s="89"/>
      <c r="AC163" s="120"/>
      <c r="AD163" s="89"/>
      <c r="AE163" s="89"/>
      <c r="AF163" s="99"/>
      <c r="AG163" s="99"/>
      <c r="AH163" s="99"/>
      <c r="AI163" s="100" t="s">
        <v>47</v>
      </c>
      <c r="AJ163" s="100" t="s">
        <v>47</v>
      </c>
      <c r="AK163" s="100" t="s">
        <v>47</v>
      </c>
      <c r="AL163" s="45" t="s">
        <v>64</v>
      </c>
      <c r="AM163" s="198" t="str">
        <f t="shared" si="16"/>
        <v>5/2026</v>
      </c>
      <c r="AN163" s="45">
        <f t="shared" si="17"/>
        <v>3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220" t="s">
        <v>463</v>
      </c>
      <c r="G164" s="92">
        <v>25998250753</v>
      </c>
      <c r="H164" s="93">
        <v>18586</v>
      </c>
      <c r="I164" s="89">
        <v>75</v>
      </c>
      <c r="J164" s="89" t="s">
        <v>51</v>
      </c>
      <c r="K164" s="89" t="s">
        <v>271</v>
      </c>
      <c r="L164" s="89" t="s">
        <v>293</v>
      </c>
      <c r="M164" s="89" t="s">
        <v>464</v>
      </c>
      <c r="N164" s="89">
        <v>60</v>
      </c>
      <c r="O164" s="94" t="s">
        <v>465</v>
      </c>
      <c r="P164" s="95" t="s">
        <v>55</v>
      </c>
      <c r="Q164" s="144" t="s">
        <v>70</v>
      </c>
      <c r="R164" s="96">
        <v>46178</v>
      </c>
      <c r="S164" s="97"/>
      <c r="T164" s="97" t="s">
        <v>57</v>
      </c>
      <c r="U164" s="97" t="s">
        <v>71</v>
      </c>
      <c r="V164" s="93">
        <v>46170</v>
      </c>
      <c r="W164" s="93">
        <v>46181</v>
      </c>
      <c r="X164" s="93"/>
      <c r="Y164" s="98"/>
      <c r="Z164" s="89" t="s">
        <v>60</v>
      </c>
      <c r="AA164" s="97">
        <v>46188</v>
      </c>
      <c r="AB164" s="89"/>
      <c r="AC164" s="120"/>
      <c r="AD164" s="89"/>
      <c r="AE164" s="89"/>
      <c r="AF164" s="99"/>
      <c r="AG164" s="99"/>
      <c r="AH164" s="99"/>
      <c r="AI164" s="100"/>
      <c r="AJ164" s="100" t="s">
        <v>62</v>
      </c>
      <c r="AK164" s="100" t="s">
        <v>47</v>
      </c>
      <c r="AL164" s="45" t="s">
        <v>64</v>
      </c>
      <c r="AM164" s="198" t="str">
        <f t="shared" si="16"/>
        <v>5/2026</v>
      </c>
      <c r="AN164" s="45">
        <f t="shared" si="17"/>
        <v>4</v>
      </c>
      <c r="AO164" s="45" t="str">
        <f t="shared" si="18"/>
        <v>6/2026</v>
      </c>
      <c r="AP164" s="45">
        <f t="shared" si="19"/>
        <v>1</v>
      </c>
      <c r="AQ164" s="45">
        <f t="shared" si="20"/>
        <v>18</v>
      </c>
      <c r="AR164" s="45">
        <f t="shared" si="21"/>
        <v>0</v>
      </c>
      <c r="AS164" s="45">
        <f t="shared" si="22"/>
        <v>11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hidden="1" customHeight="1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220" t="s">
        <v>466</v>
      </c>
      <c r="G165" s="92">
        <v>38948257749</v>
      </c>
      <c r="H165" s="93">
        <v>20686</v>
      </c>
      <c r="I165" s="89">
        <v>69</v>
      </c>
      <c r="J165" s="89" t="s">
        <v>77</v>
      </c>
      <c r="K165" s="89" t="s">
        <v>271</v>
      </c>
      <c r="L165" s="89" t="s">
        <v>293</v>
      </c>
      <c r="M165" s="89" t="s">
        <v>464</v>
      </c>
      <c r="N165" s="89">
        <v>60</v>
      </c>
      <c r="O165" s="94">
        <v>21996246726</v>
      </c>
      <c r="P165" s="95" t="s">
        <v>55</v>
      </c>
      <c r="Q165" s="144" t="s">
        <v>457</v>
      </c>
      <c r="R165" s="96"/>
      <c r="S165" s="97"/>
      <c r="T165" s="97" t="s">
        <v>183</v>
      </c>
      <c r="U165" s="97" t="s">
        <v>458</v>
      </c>
      <c r="V165" s="93">
        <v>46170</v>
      </c>
      <c r="W165" s="93">
        <v>46181</v>
      </c>
      <c r="X165" s="93"/>
      <c r="Y165" s="98"/>
      <c r="Z165" s="89"/>
      <c r="AA165" s="97"/>
      <c r="AB165" s="89"/>
      <c r="AC165" s="120"/>
      <c r="AD165" s="89"/>
      <c r="AE165" s="89"/>
      <c r="AF165" s="99"/>
      <c r="AG165" s="99"/>
      <c r="AH165" s="99"/>
      <c r="AI165" s="100"/>
      <c r="AJ165" s="100" t="s">
        <v>62</v>
      </c>
      <c r="AK165" s="100" t="s">
        <v>47</v>
      </c>
      <c r="AL165" s="45" t="s">
        <v>64</v>
      </c>
      <c r="AM165" s="198" t="str">
        <f t="shared" si="16"/>
        <v>5/2026</v>
      </c>
      <c r="AN165" s="45">
        <f t="shared" si="17"/>
        <v>4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220" t="s">
        <v>467</v>
      </c>
      <c r="G166" s="92">
        <v>27126710828</v>
      </c>
      <c r="H166" s="93">
        <v>28181</v>
      </c>
      <c r="I166" s="89">
        <v>49</v>
      </c>
      <c r="J166" s="89" t="s">
        <v>51</v>
      </c>
      <c r="K166" s="89" t="s">
        <v>52</v>
      </c>
      <c r="L166" s="89" t="s">
        <v>275</v>
      </c>
      <c r="M166" s="89" t="s">
        <v>468</v>
      </c>
      <c r="N166" s="89">
        <v>60</v>
      </c>
      <c r="O166" s="94" t="s">
        <v>469</v>
      </c>
      <c r="P166" s="95" t="s">
        <v>55</v>
      </c>
      <c r="Q166" s="144" t="s">
        <v>70</v>
      </c>
      <c r="R166" s="96">
        <v>46178</v>
      </c>
      <c r="S166" s="97"/>
      <c r="T166" s="97" t="s">
        <v>57</v>
      </c>
      <c r="U166" s="97" t="s">
        <v>71</v>
      </c>
      <c r="V166" s="93">
        <v>46170</v>
      </c>
      <c r="W166" s="93">
        <v>46181</v>
      </c>
      <c r="X166" s="93"/>
      <c r="Y166" s="98"/>
      <c r="Z166" s="89" t="s">
        <v>60</v>
      </c>
      <c r="AA166" s="97">
        <v>46189</v>
      </c>
      <c r="AB166" s="89" t="s">
        <v>61</v>
      </c>
      <c r="AC166" s="120"/>
      <c r="AD166" s="89"/>
      <c r="AE166" s="89"/>
      <c r="AF166" s="99"/>
      <c r="AG166" s="99"/>
      <c r="AH166" s="99"/>
      <c r="AI166" s="100"/>
      <c r="AJ166" s="100" t="s">
        <v>47</v>
      </c>
      <c r="AK166" s="100" t="s">
        <v>47</v>
      </c>
      <c r="AL166" s="45" t="s">
        <v>64</v>
      </c>
      <c r="AM166" s="198" t="str">
        <f t="shared" si="16"/>
        <v>5/2026</v>
      </c>
      <c r="AN166" s="45">
        <f t="shared" si="17"/>
        <v>4</v>
      </c>
      <c r="AO166" s="45" t="str">
        <f t="shared" si="18"/>
        <v>6/2026</v>
      </c>
      <c r="AP166" s="45">
        <f t="shared" si="19"/>
        <v>1</v>
      </c>
      <c r="AQ166" s="45">
        <f t="shared" si="20"/>
        <v>15</v>
      </c>
      <c r="AR166" s="45">
        <f t="shared" si="21"/>
        <v>0</v>
      </c>
      <c r="AS166" s="45">
        <f t="shared" si="22"/>
        <v>11</v>
      </c>
      <c r="AT166" s="45">
        <f t="shared" si="23"/>
        <v>11</v>
      </c>
      <c r="AU166" s="45" t="str">
        <f>_xlfn.XLOOKUP(U166,'Lista Suspensa'!$AA$20:$AA$23,'Lista Suspensa'!$AB$20:$AB$23,"N/A")</f>
        <v>S</v>
      </c>
    </row>
    <row r="167" spans="1:47" ht="12" hidden="1" customHeight="1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220" t="s">
        <v>470</v>
      </c>
      <c r="G167" s="92">
        <v>7690018823</v>
      </c>
      <c r="H167" s="93">
        <v>23965</v>
      </c>
      <c r="I167" s="89">
        <v>60</v>
      </c>
      <c r="J167" s="89" t="s">
        <v>77</v>
      </c>
      <c r="K167" s="89" t="s">
        <v>52</v>
      </c>
      <c r="L167" s="89" t="s">
        <v>275</v>
      </c>
      <c r="M167" s="89" t="s">
        <v>471</v>
      </c>
      <c r="N167" s="89">
        <v>100</v>
      </c>
      <c r="O167" s="94" t="s">
        <v>472</v>
      </c>
      <c r="P167" s="95" t="s">
        <v>55</v>
      </c>
      <c r="Q167" s="144" t="s">
        <v>70</v>
      </c>
      <c r="R167" s="96">
        <v>46171</v>
      </c>
      <c r="S167" s="97"/>
      <c r="T167" s="97" t="s">
        <v>57</v>
      </c>
      <c r="U167" s="97" t="s">
        <v>71</v>
      </c>
      <c r="V167" s="93">
        <v>46170</v>
      </c>
      <c r="W167" s="93" t="s">
        <v>72</v>
      </c>
      <c r="X167" s="93" t="s">
        <v>72</v>
      </c>
      <c r="Y167" s="98"/>
      <c r="Z167" s="89" t="s">
        <v>60</v>
      </c>
      <c r="AA167" s="97">
        <v>46178</v>
      </c>
      <c r="AB167" s="89" t="s">
        <v>61</v>
      </c>
      <c r="AC167" s="120"/>
      <c r="AD167" s="89" t="s">
        <v>85</v>
      </c>
      <c r="AE167" s="89">
        <v>62</v>
      </c>
      <c r="AF167" s="99"/>
      <c r="AG167" s="99"/>
      <c r="AH167" s="99"/>
      <c r="AI167" s="100"/>
      <c r="AJ167" s="100" t="s">
        <v>47</v>
      </c>
      <c r="AK167" s="100" t="s">
        <v>47</v>
      </c>
      <c r="AL167" s="45" t="s">
        <v>64</v>
      </c>
      <c r="AM167" s="198" t="str">
        <f t="shared" si="16"/>
        <v>5/2026</v>
      </c>
      <c r="AN167" s="45">
        <f t="shared" si="17"/>
        <v>4</v>
      </c>
      <c r="AO167" s="45" t="str">
        <f t="shared" si="18"/>
        <v>5/2026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7</v>
      </c>
      <c r="AU167" s="45" t="str">
        <f>_xlfn.XLOOKUP(U167,'Lista Suspensa'!$AA$20:$AA$23,'Lista Suspensa'!$AB$20:$AB$23,"N/A")</f>
        <v>S</v>
      </c>
    </row>
    <row r="168" spans="1:47" ht="12" hidden="1" customHeight="1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220" t="s">
        <v>473</v>
      </c>
      <c r="G168" s="92">
        <v>7022220891</v>
      </c>
      <c r="H168" s="93">
        <v>14002</v>
      </c>
      <c r="I168" s="89">
        <v>87</v>
      </c>
      <c r="J168" s="89" t="s">
        <v>51</v>
      </c>
      <c r="K168" s="89" t="s">
        <v>52</v>
      </c>
      <c r="L168" s="89" t="s">
        <v>275</v>
      </c>
      <c r="M168" s="89" t="s">
        <v>474</v>
      </c>
      <c r="N168" s="89" t="s">
        <v>53</v>
      </c>
      <c r="O168" s="94">
        <v>11983164812</v>
      </c>
      <c r="P168" s="95" t="s">
        <v>55</v>
      </c>
      <c r="Q168" s="144" t="s">
        <v>457</v>
      </c>
      <c r="R168" s="96"/>
      <c r="S168" s="97"/>
      <c r="T168" s="97" t="s">
        <v>183</v>
      </c>
      <c r="U168" s="97" t="s">
        <v>458</v>
      </c>
      <c r="V168" s="93">
        <v>46170</v>
      </c>
      <c r="W168" s="93">
        <v>46181</v>
      </c>
      <c r="X168" s="93"/>
      <c r="Y168" s="98"/>
      <c r="Z168" s="89"/>
      <c r="AA168" s="97"/>
      <c r="AB168" s="89"/>
      <c r="AC168" s="120"/>
      <c r="AD168" s="89"/>
      <c r="AE168" s="89"/>
      <c r="AF168" s="99"/>
      <c r="AG168" s="99"/>
      <c r="AH168" s="99"/>
      <c r="AI168" s="100"/>
      <c r="AJ168" s="100" t="s">
        <v>47</v>
      </c>
      <c r="AK168" s="100" t="s">
        <v>47</v>
      </c>
      <c r="AL168" s="45" t="s">
        <v>64</v>
      </c>
      <c r="AM168" s="198" t="str">
        <f t="shared" si="16"/>
        <v>5/2026</v>
      </c>
      <c r="AN168" s="45">
        <f t="shared" si="17"/>
        <v>4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220" t="s">
        <v>475</v>
      </c>
      <c r="G169" s="92">
        <v>25527733894</v>
      </c>
      <c r="H169" s="93">
        <v>19338</v>
      </c>
      <c r="I169" s="89">
        <v>73</v>
      </c>
      <c r="J169" s="89" t="s">
        <v>77</v>
      </c>
      <c r="K169" s="89" t="s">
        <v>52</v>
      </c>
      <c r="L169" s="89" t="s">
        <v>275</v>
      </c>
      <c r="M169" s="89" t="s">
        <v>476</v>
      </c>
      <c r="N169" s="89">
        <v>100</v>
      </c>
      <c r="O169" s="94">
        <v>11958232808</v>
      </c>
      <c r="P169" s="95" t="s">
        <v>55</v>
      </c>
      <c r="Q169" s="144" t="s">
        <v>457</v>
      </c>
      <c r="R169" s="96"/>
      <c r="S169" s="97"/>
      <c r="T169" s="97" t="s">
        <v>183</v>
      </c>
      <c r="U169" s="97" t="s">
        <v>458</v>
      </c>
      <c r="V169" s="93">
        <v>46170</v>
      </c>
      <c r="W169" s="93">
        <v>46181</v>
      </c>
      <c r="X169" s="93"/>
      <c r="Y169" s="98"/>
      <c r="Z169" s="89"/>
      <c r="AA169" s="97"/>
      <c r="AB169" s="89"/>
      <c r="AC169" s="120"/>
      <c r="AD169" s="89"/>
      <c r="AE169" s="89"/>
      <c r="AF169" s="99"/>
      <c r="AG169" s="99"/>
      <c r="AH169" s="99"/>
      <c r="AI169" s="100"/>
      <c r="AJ169" s="100" t="s">
        <v>47</v>
      </c>
      <c r="AK169" s="100" t="s">
        <v>47</v>
      </c>
      <c r="AL169" s="45" t="s">
        <v>64</v>
      </c>
      <c r="AM169" s="198" t="str">
        <f t="shared" si="16"/>
        <v>5/2026</v>
      </c>
      <c r="AN169" s="45">
        <f t="shared" si="17"/>
        <v>4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hidden="1" customHeight="1">
      <c r="A170" s="87" t="s">
        <v>47</v>
      </c>
      <c r="B170" s="88">
        <v>46167</v>
      </c>
      <c r="C170" s="89" t="s">
        <v>48</v>
      </c>
      <c r="D170" s="89" t="s">
        <v>403</v>
      </c>
      <c r="E170" s="112">
        <v>93066193</v>
      </c>
      <c r="F170" s="220" t="s">
        <v>477</v>
      </c>
      <c r="G170" s="113" t="s">
        <v>478</v>
      </c>
      <c r="H170" s="98">
        <v>26061</v>
      </c>
      <c r="I170" s="92">
        <v>55</v>
      </c>
      <c r="J170" s="114" t="s">
        <v>51</v>
      </c>
      <c r="K170" s="89" t="s">
        <v>271</v>
      </c>
      <c r="L170" s="89" t="s">
        <v>293</v>
      </c>
      <c r="M170" s="89" t="s">
        <v>479</v>
      </c>
      <c r="N170" s="89">
        <v>750</v>
      </c>
      <c r="O170" s="91">
        <v>21988649179</v>
      </c>
      <c r="P170" s="95" t="s">
        <v>55</v>
      </c>
      <c r="Q170" s="144" t="s">
        <v>457</v>
      </c>
      <c r="R170" s="122"/>
      <c r="S170" s="97"/>
      <c r="T170" s="97" t="s">
        <v>183</v>
      </c>
      <c r="U170" s="97" t="s">
        <v>458</v>
      </c>
      <c r="V170" s="118">
        <v>46178</v>
      </c>
      <c r="W170" s="93">
        <v>46181</v>
      </c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 t="s">
        <v>47</v>
      </c>
      <c r="AK170" s="100" t="s">
        <v>47</v>
      </c>
      <c r="AL170" s="45" t="s">
        <v>64</v>
      </c>
      <c r="AM170" s="198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hidden="1" customHeight="1">
      <c r="A171" s="87" t="s">
        <v>47</v>
      </c>
      <c r="B171" s="88">
        <v>46168</v>
      </c>
      <c r="C171" s="89" t="s">
        <v>48</v>
      </c>
      <c r="D171" s="89" t="s">
        <v>403</v>
      </c>
      <c r="E171" s="112">
        <v>88392363</v>
      </c>
      <c r="F171" s="220" t="s">
        <v>480</v>
      </c>
      <c r="G171" s="113" t="s">
        <v>481</v>
      </c>
      <c r="H171" s="98">
        <v>21309</v>
      </c>
      <c r="I171" s="92">
        <v>68</v>
      </c>
      <c r="J171" s="114" t="s">
        <v>77</v>
      </c>
      <c r="K171" s="89" t="s">
        <v>52</v>
      </c>
      <c r="L171" s="89" t="s">
        <v>275</v>
      </c>
      <c r="M171" s="89" t="s">
        <v>482</v>
      </c>
      <c r="N171" s="89">
        <v>380</v>
      </c>
      <c r="O171" s="91">
        <v>11940478583</v>
      </c>
      <c r="P171" s="95" t="s">
        <v>55</v>
      </c>
      <c r="Q171" s="144" t="s">
        <v>457</v>
      </c>
      <c r="R171" s="122"/>
      <c r="S171" s="95"/>
      <c r="T171" s="97" t="s">
        <v>183</v>
      </c>
      <c r="U171" s="97" t="s">
        <v>458</v>
      </c>
      <c r="V171" s="118">
        <v>46178</v>
      </c>
      <c r="W171" s="93">
        <v>46181</v>
      </c>
      <c r="X171" s="98"/>
      <c r="Y171" s="98"/>
      <c r="Z171" s="89" t="s">
        <v>60</v>
      </c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 t="s">
        <v>47</v>
      </c>
      <c r="AK171" s="100" t="s">
        <v>47</v>
      </c>
      <c r="AL171" s="45" t="s">
        <v>64</v>
      </c>
      <c r="AM171" s="198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>
      <c r="A172" s="87" t="s">
        <v>47</v>
      </c>
      <c r="B172" s="88">
        <v>46168</v>
      </c>
      <c r="C172" s="89" t="s">
        <v>48</v>
      </c>
      <c r="D172" s="89" t="s">
        <v>403</v>
      </c>
      <c r="E172" s="112">
        <v>96399740</v>
      </c>
      <c r="F172" s="220" t="s">
        <v>483</v>
      </c>
      <c r="G172" s="113" t="s">
        <v>484</v>
      </c>
      <c r="H172" s="98">
        <v>20742</v>
      </c>
      <c r="I172" s="92">
        <v>69</v>
      </c>
      <c r="J172" s="114" t="s">
        <v>51</v>
      </c>
      <c r="K172" s="89" t="s">
        <v>271</v>
      </c>
      <c r="L172" s="89" t="s">
        <v>293</v>
      </c>
      <c r="M172" s="89" t="s">
        <v>485</v>
      </c>
      <c r="N172" s="89">
        <v>75</v>
      </c>
      <c r="O172" s="91">
        <v>11982044222</v>
      </c>
      <c r="P172" s="95" t="s">
        <v>55</v>
      </c>
      <c r="Q172" s="144" t="s">
        <v>457</v>
      </c>
      <c r="R172" s="122"/>
      <c r="S172" s="95"/>
      <c r="T172" s="97" t="s">
        <v>183</v>
      </c>
      <c r="U172" s="97" t="s">
        <v>458</v>
      </c>
      <c r="V172" s="118">
        <v>46178</v>
      </c>
      <c r="W172" s="93">
        <v>46181</v>
      </c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 t="s">
        <v>47</v>
      </c>
      <c r="AK172" s="100" t="s">
        <v>47</v>
      </c>
      <c r="AL172" s="45" t="s">
        <v>64</v>
      </c>
      <c r="AM172" s="198" t="str">
        <f t="shared" si="16"/>
        <v>5/2026</v>
      </c>
      <c r="AN172" s="45">
        <f t="shared" si="17"/>
        <v>5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93">
        <v>46170</v>
      </c>
      <c r="C173" s="89" t="s">
        <v>48</v>
      </c>
      <c r="D173" s="89" t="s">
        <v>403</v>
      </c>
      <c r="E173" s="112">
        <v>95660911</v>
      </c>
      <c r="F173" s="220" t="s">
        <v>486</v>
      </c>
      <c r="G173" s="113" t="s">
        <v>487</v>
      </c>
      <c r="H173" s="98">
        <v>36599</v>
      </c>
      <c r="I173" s="92">
        <v>26</v>
      </c>
      <c r="J173" s="114" t="s">
        <v>51</v>
      </c>
      <c r="K173" s="89" t="s">
        <v>52</v>
      </c>
      <c r="L173" s="89" t="s">
        <v>275</v>
      </c>
      <c r="M173" s="89" t="s">
        <v>275</v>
      </c>
      <c r="N173" s="89">
        <v>110</v>
      </c>
      <c r="O173" s="91">
        <v>11913376590</v>
      </c>
      <c r="P173" s="95" t="s">
        <v>55</v>
      </c>
      <c r="Q173" s="144" t="s">
        <v>70</v>
      </c>
      <c r="R173" s="96">
        <v>46178</v>
      </c>
      <c r="S173" s="95"/>
      <c r="T173" s="97" t="s">
        <v>57</v>
      </c>
      <c r="U173" s="97" t="s">
        <v>71</v>
      </c>
      <c r="V173" s="118">
        <v>46178</v>
      </c>
      <c r="W173" s="93">
        <v>46181</v>
      </c>
      <c r="X173" s="98"/>
      <c r="Y173" s="98"/>
      <c r="Z173" s="89" t="s">
        <v>60</v>
      </c>
      <c r="AA173" s="97">
        <v>46189</v>
      </c>
      <c r="AB173" s="89"/>
      <c r="AC173" s="120"/>
      <c r="AD173" s="89"/>
      <c r="AE173" s="89"/>
      <c r="AF173" s="119"/>
      <c r="AG173" s="119"/>
      <c r="AH173" s="119"/>
      <c r="AI173" s="100"/>
      <c r="AJ173" s="100" t="s">
        <v>47</v>
      </c>
      <c r="AK173" s="100" t="s">
        <v>47</v>
      </c>
      <c r="AL173" s="45" t="s">
        <v>64</v>
      </c>
      <c r="AM173" s="198" t="str">
        <f t="shared" si="16"/>
        <v>5/2026</v>
      </c>
      <c r="AN173" s="45">
        <f t="shared" si="17"/>
        <v>5</v>
      </c>
      <c r="AO173" s="45" t="str">
        <f t="shared" si="18"/>
        <v>6/2026</v>
      </c>
      <c r="AP173" s="45">
        <f t="shared" si="19"/>
        <v>1</v>
      </c>
      <c r="AQ173" s="45">
        <f t="shared" si="20"/>
        <v>8</v>
      </c>
      <c r="AR173" s="45">
        <f t="shared" si="21"/>
        <v>0</v>
      </c>
      <c r="AS173" s="45">
        <f t="shared" si="22"/>
        <v>3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hidden="1" customHeight="1">
      <c r="A174" s="87" t="s">
        <v>47</v>
      </c>
      <c r="B174" s="93">
        <v>46175</v>
      </c>
      <c r="C174" s="89" t="s">
        <v>488</v>
      </c>
      <c r="D174" s="89" t="s">
        <v>49</v>
      </c>
      <c r="E174" s="112">
        <v>759859116</v>
      </c>
      <c r="F174" s="220" t="s">
        <v>489</v>
      </c>
      <c r="G174" s="113">
        <v>80709834772</v>
      </c>
      <c r="H174" s="98">
        <v>23689</v>
      </c>
      <c r="I174" s="92"/>
      <c r="J174" s="114" t="s">
        <v>77</v>
      </c>
      <c r="K174" s="89" t="s">
        <v>271</v>
      </c>
      <c r="L174" s="89" t="s">
        <v>293</v>
      </c>
      <c r="M174" s="89" t="s">
        <v>490</v>
      </c>
      <c r="N174" s="89">
        <v>100</v>
      </c>
      <c r="O174" s="91" t="s">
        <v>491</v>
      </c>
      <c r="P174" s="95" t="s">
        <v>55</v>
      </c>
      <c r="Q174" s="144" t="s">
        <v>457</v>
      </c>
      <c r="R174" s="122"/>
      <c r="S174" s="95"/>
      <c r="T174" s="97" t="s">
        <v>183</v>
      </c>
      <c r="U174" s="97" t="s">
        <v>458</v>
      </c>
      <c r="V174" s="118">
        <v>46178</v>
      </c>
      <c r="W174" s="93">
        <v>46181</v>
      </c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 t="s">
        <v>47</v>
      </c>
      <c r="AK174" s="100" t="s">
        <v>47</v>
      </c>
      <c r="AL174" s="45" t="s">
        <v>64</v>
      </c>
      <c r="AM174" s="198" t="str">
        <f t="shared" si="16"/>
        <v>6/2026</v>
      </c>
      <c r="AN174" s="45">
        <f t="shared" si="17"/>
        <v>1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9" t="s">
        <v>47</v>
      </c>
      <c r="B175" s="93">
        <v>46175</v>
      </c>
      <c r="C175" s="89" t="s">
        <v>488</v>
      </c>
      <c r="D175" s="89" t="s">
        <v>492</v>
      </c>
      <c r="E175" s="112">
        <v>87522285</v>
      </c>
      <c r="F175" s="220" t="s">
        <v>493</v>
      </c>
      <c r="G175" s="113" t="s">
        <v>494</v>
      </c>
      <c r="H175" s="98">
        <v>23094</v>
      </c>
      <c r="I175" s="92"/>
      <c r="J175" s="114" t="s">
        <v>77</v>
      </c>
      <c r="K175" s="89" t="s">
        <v>271</v>
      </c>
      <c r="L175" s="89" t="s">
        <v>495</v>
      </c>
      <c r="M175" s="89" t="s">
        <v>496</v>
      </c>
      <c r="N175" s="89">
        <v>75</v>
      </c>
      <c r="O175" s="91">
        <v>21999997791</v>
      </c>
      <c r="P175" s="95" t="s">
        <v>55</v>
      </c>
      <c r="Q175" s="144" t="s">
        <v>70</v>
      </c>
      <c r="R175" s="96">
        <v>46178</v>
      </c>
      <c r="S175" s="95"/>
      <c r="T175" s="97" t="s">
        <v>57</v>
      </c>
      <c r="U175" s="97" t="s">
        <v>71</v>
      </c>
      <c r="V175" s="118">
        <v>46178</v>
      </c>
      <c r="W175" s="93">
        <v>46181</v>
      </c>
      <c r="X175" s="98"/>
      <c r="Y175" s="98"/>
      <c r="Z175" s="89" t="s">
        <v>60</v>
      </c>
      <c r="AA175" s="97">
        <v>46190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47</v>
      </c>
      <c r="AK175" s="100" t="s">
        <v>47</v>
      </c>
      <c r="AL175" s="45" t="s">
        <v>64</v>
      </c>
      <c r="AM175" s="198" t="str">
        <f t="shared" si="16"/>
        <v>6/2026</v>
      </c>
      <c r="AN175" s="45">
        <f t="shared" si="17"/>
        <v>1</v>
      </c>
      <c r="AO175" s="45" t="str">
        <f t="shared" si="18"/>
        <v>6/2026</v>
      </c>
      <c r="AP175" s="45">
        <f t="shared" si="19"/>
        <v>1</v>
      </c>
      <c r="AQ175" s="45">
        <f t="shared" si="20"/>
        <v>3</v>
      </c>
      <c r="AR175" s="45">
        <f t="shared" si="21"/>
        <v>0</v>
      </c>
      <c r="AS175" s="45">
        <f t="shared" si="22"/>
        <v>3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9" t="s">
        <v>47</v>
      </c>
      <c r="B176" s="93">
        <v>46175</v>
      </c>
      <c r="C176" s="89" t="s">
        <v>488</v>
      </c>
      <c r="D176" s="89" t="s">
        <v>492</v>
      </c>
      <c r="E176" s="112">
        <v>89058286</v>
      </c>
      <c r="F176" s="220" t="s">
        <v>497</v>
      </c>
      <c r="G176" s="113" t="s">
        <v>498</v>
      </c>
      <c r="H176" s="98">
        <v>28282</v>
      </c>
      <c r="I176" s="92"/>
      <c r="J176" s="114" t="s">
        <v>51</v>
      </c>
      <c r="K176" s="89" t="s">
        <v>52</v>
      </c>
      <c r="L176" s="89" t="s">
        <v>52</v>
      </c>
      <c r="M176" s="89" t="s">
        <v>499</v>
      </c>
      <c r="N176" s="89">
        <v>110</v>
      </c>
      <c r="O176" s="91">
        <v>11985571560</v>
      </c>
      <c r="P176" s="95" t="s">
        <v>55</v>
      </c>
      <c r="Q176" s="144" t="s">
        <v>70</v>
      </c>
      <c r="R176" s="96">
        <v>46178</v>
      </c>
      <c r="S176" s="95"/>
      <c r="T176" s="97" t="s">
        <v>57</v>
      </c>
      <c r="U176" s="97" t="s">
        <v>71</v>
      </c>
      <c r="V176" s="118">
        <v>46178</v>
      </c>
      <c r="W176" s="93">
        <v>46181</v>
      </c>
      <c r="X176" s="98"/>
      <c r="Y176" s="98"/>
      <c r="Z176" s="89" t="s">
        <v>60</v>
      </c>
      <c r="AA176" s="97">
        <v>46189</v>
      </c>
      <c r="AB176" s="89"/>
      <c r="AC176" s="120"/>
      <c r="AD176" s="89"/>
      <c r="AE176" s="89"/>
      <c r="AF176" s="119"/>
      <c r="AG176" s="119"/>
      <c r="AH176" s="119"/>
      <c r="AI176" s="100"/>
      <c r="AJ176" s="100" t="s">
        <v>47</v>
      </c>
      <c r="AK176" s="100" t="s">
        <v>47</v>
      </c>
      <c r="AL176" s="45" t="s">
        <v>64</v>
      </c>
      <c r="AM176" s="198" t="str">
        <f t="shared" si="16"/>
        <v>6/2026</v>
      </c>
      <c r="AN176" s="45">
        <f t="shared" si="17"/>
        <v>1</v>
      </c>
      <c r="AO176" s="45" t="str">
        <f t="shared" si="18"/>
        <v>6/2026</v>
      </c>
      <c r="AP176" s="45">
        <f t="shared" si="19"/>
        <v>1</v>
      </c>
      <c r="AQ176" s="45">
        <f t="shared" si="20"/>
        <v>3</v>
      </c>
      <c r="AR176" s="45">
        <f t="shared" si="21"/>
        <v>0</v>
      </c>
      <c r="AS176" s="45">
        <f t="shared" si="22"/>
        <v>3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hidden="1" customHeight="1">
      <c r="A177" s="89" t="s">
        <v>47</v>
      </c>
      <c r="B177" s="93">
        <v>46176</v>
      </c>
      <c r="C177" s="89" t="s">
        <v>488</v>
      </c>
      <c r="D177" s="89" t="s">
        <v>492</v>
      </c>
      <c r="E177" s="112">
        <v>490054668</v>
      </c>
      <c r="F177" s="220" t="s">
        <v>500</v>
      </c>
      <c r="G177" s="113" t="s">
        <v>501</v>
      </c>
      <c r="H177" s="98">
        <v>23111</v>
      </c>
      <c r="I177" s="92"/>
      <c r="J177" s="114" t="s">
        <v>51</v>
      </c>
      <c r="K177" s="89" t="s">
        <v>271</v>
      </c>
      <c r="L177" s="89" t="s">
        <v>502</v>
      </c>
      <c r="M177" s="89" t="s">
        <v>502</v>
      </c>
      <c r="N177" s="89">
        <v>400</v>
      </c>
      <c r="O177" s="91">
        <v>21981243420</v>
      </c>
      <c r="P177" s="95" t="s">
        <v>55</v>
      </c>
      <c r="Q177" s="144" t="s">
        <v>457</v>
      </c>
      <c r="R177" s="122"/>
      <c r="S177" s="95"/>
      <c r="T177" s="97" t="s">
        <v>183</v>
      </c>
      <c r="U177" s="97" t="s">
        <v>458</v>
      </c>
      <c r="V177" s="118">
        <v>46178</v>
      </c>
      <c r="W177" s="93">
        <v>46181</v>
      </c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 t="s">
        <v>47</v>
      </c>
      <c r="AK177" s="100" t="s">
        <v>47</v>
      </c>
      <c r="AL177" s="45" t="s">
        <v>64</v>
      </c>
      <c r="AM177" s="198" t="str">
        <f t="shared" si="16"/>
        <v>6/2026</v>
      </c>
      <c r="AN177" s="45">
        <f t="shared" si="17"/>
        <v>1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hidden="1" customHeight="1">
      <c r="A178" s="87" t="s">
        <v>47</v>
      </c>
      <c r="B178" s="93">
        <v>46181</v>
      </c>
      <c r="C178" s="89" t="s">
        <v>488</v>
      </c>
      <c r="D178" s="89" t="s">
        <v>49</v>
      </c>
      <c r="E178" s="112">
        <v>94078277</v>
      </c>
      <c r="F178" s="220" t="s">
        <v>503</v>
      </c>
      <c r="G178" s="113">
        <v>22814062883</v>
      </c>
      <c r="H178" s="98">
        <v>31036</v>
      </c>
      <c r="I178" s="92"/>
      <c r="J178" s="114" t="s">
        <v>51</v>
      </c>
      <c r="K178" s="89" t="s">
        <v>52</v>
      </c>
      <c r="L178" s="89" t="s">
        <v>275</v>
      </c>
      <c r="M178" s="89" t="s">
        <v>504</v>
      </c>
      <c r="N178" s="89">
        <v>380</v>
      </c>
      <c r="O178" s="91" t="s">
        <v>505</v>
      </c>
      <c r="P178" s="95" t="s">
        <v>55</v>
      </c>
      <c r="Q178" s="144" t="s">
        <v>457</v>
      </c>
      <c r="R178" s="122"/>
      <c r="S178" s="97"/>
      <c r="T178" s="97" t="s">
        <v>183</v>
      </c>
      <c r="U178" s="97" t="s">
        <v>458</v>
      </c>
      <c r="V178" s="118">
        <v>46181</v>
      </c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 t="s">
        <v>47</v>
      </c>
      <c r="AK178" s="100" t="s">
        <v>47</v>
      </c>
      <c r="AL178" s="45" t="s">
        <v>64</v>
      </c>
      <c r="AM178" s="198" t="str">
        <f t="shared" si="16"/>
        <v>6/2026</v>
      </c>
      <c r="AN178" s="45">
        <f t="shared" si="17"/>
        <v>2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93">
        <v>46181</v>
      </c>
      <c r="C179" s="89" t="s">
        <v>488</v>
      </c>
      <c r="D179" s="89" t="s">
        <v>492</v>
      </c>
      <c r="E179" s="112">
        <v>94704641</v>
      </c>
      <c r="F179" s="220" t="s">
        <v>506</v>
      </c>
      <c r="G179" s="113" t="s">
        <v>507</v>
      </c>
      <c r="H179" s="98">
        <v>26682</v>
      </c>
      <c r="I179" s="92"/>
      <c r="J179" s="114" t="s">
        <v>51</v>
      </c>
      <c r="K179" s="89" t="s">
        <v>271</v>
      </c>
      <c r="L179" s="89" t="s">
        <v>293</v>
      </c>
      <c r="M179" s="89" t="s">
        <v>508</v>
      </c>
      <c r="N179" s="89">
        <v>80</v>
      </c>
      <c r="O179" s="91">
        <v>21986270508</v>
      </c>
      <c r="P179" s="95" t="s">
        <v>55</v>
      </c>
      <c r="Q179" s="144" t="s">
        <v>70</v>
      </c>
      <c r="R179" s="96">
        <v>46178</v>
      </c>
      <c r="S179" s="97"/>
      <c r="T179" s="97" t="s">
        <v>57</v>
      </c>
      <c r="U179" s="97" t="s">
        <v>71</v>
      </c>
      <c r="V179" s="118">
        <v>46181</v>
      </c>
      <c r="W179" s="98"/>
      <c r="X179" s="98"/>
      <c r="Y179" s="98"/>
      <c r="Z179" s="89" t="s">
        <v>60</v>
      </c>
      <c r="AA179" s="97">
        <v>46188</v>
      </c>
      <c r="AB179" s="89"/>
      <c r="AC179" s="120"/>
      <c r="AD179" s="89"/>
      <c r="AE179" s="89"/>
      <c r="AF179" s="119"/>
      <c r="AG179" s="119"/>
      <c r="AH179" s="119"/>
      <c r="AI179" s="100"/>
      <c r="AJ179" s="100" t="s">
        <v>47</v>
      </c>
      <c r="AK179" s="100" t="s">
        <v>47</v>
      </c>
      <c r="AL179" s="45" t="s">
        <v>64</v>
      </c>
      <c r="AM179" s="198" t="str">
        <f t="shared" si="16"/>
        <v>6/2026</v>
      </c>
      <c r="AN179" s="45">
        <f t="shared" si="17"/>
        <v>2</v>
      </c>
      <c r="AO179" s="45" t="str">
        <f t="shared" si="18"/>
        <v>6/2026</v>
      </c>
      <c r="AP179" s="45">
        <f t="shared" si="19"/>
        <v>1</v>
      </c>
      <c r="AQ179" s="45">
        <f t="shared" si="20"/>
        <v>-3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93">
        <v>46181</v>
      </c>
      <c r="C180" s="89" t="s">
        <v>488</v>
      </c>
      <c r="D180" s="89" t="s">
        <v>492</v>
      </c>
      <c r="E180" s="112">
        <v>92749038</v>
      </c>
      <c r="F180" s="220" t="s">
        <v>509</v>
      </c>
      <c r="G180" s="113" t="s">
        <v>510</v>
      </c>
      <c r="H180" s="98">
        <v>19675</v>
      </c>
      <c r="I180" s="92"/>
      <c r="J180" s="114" t="s">
        <v>51</v>
      </c>
      <c r="K180" s="89" t="s">
        <v>271</v>
      </c>
      <c r="L180" s="89" t="s">
        <v>293</v>
      </c>
      <c r="M180" s="89" t="s">
        <v>496</v>
      </c>
      <c r="N180" s="89">
        <v>75</v>
      </c>
      <c r="O180" s="91">
        <v>21979214716</v>
      </c>
      <c r="P180" s="95" t="s">
        <v>55</v>
      </c>
      <c r="Q180" s="144" t="s">
        <v>70</v>
      </c>
      <c r="R180" s="96">
        <v>46178</v>
      </c>
      <c r="S180" s="97"/>
      <c r="T180" s="97" t="s">
        <v>57</v>
      </c>
      <c r="U180" s="97" t="s">
        <v>71</v>
      </c>
      <c r="V180" s="118">
        <v>46181</v>
      </c>
      <c r="W180" s="98"/>
      <c r="X180" s="98"/>
      <c r="Y180" s="98"/>
      <c r="Z180" s="89" t="s">
        <v>60</v>
      </c>
      <c r="AA180" s="97">
        <v>46189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47</v>
      </c>
      <c r="AK180" s="100" t="s">
        <v>47</v>
      </c>
      <c r="AL180" s="45" t="s">
        <v>64</v>
      </c>
      <c r="AM180" s="198" t="str">
        <f t="shared" si="16"/>
        <v>6/2026</v>
      </c>
      <c r="AN180" s="45">
        <f t="shared" si="17"/>
        <v>2</v>
      </c>
      <c r="AO180" s="45" t="str">
        <f t="shared" si="18"/>
        <v>6/2026</v>
      </c>
      <c r="AP180" s="45">
        <f t="shared" si="19"/>
        <v>1</v>
      </c>
      <c r="AQ180" s="45">
        <f t="shared" si="20"/>
        <v>-3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>
      <c r="A181" s="87" t="s">
        <v>47</v>
      </c>
      <c r="B181" s="93">
        <v>46181</v>
      </c>
      <c r="C181" s="89" t="s">
        <v>488</v>
      </c>
      <c r="D181" s="89" t="s">
        <v>492</v>
      </c>
      <c r="E181" s="112">
        <v>762342579</v>
      </c>
      <c r="F181" s="220" t="s">
        <v>511</v>
      </c>
      <c r="G181" s="113" t="s">
        <v>512</v>
      </c>
      <c r="H181" s="98">
        <v>29274</v>
      </c>
      <c r="I181" s="92"/>
      <c r="J181" s="114" t="s">
        <v>51</v>
      </c>
      <c r="K181" s="89" t="s">
        <v>271</v>
      </c>
      <c r="L181" s="89" t="s">
        <v>293</v>
      </c>
      <c r="M181" s="89" t="s">
        <v>513</v>
      </c>
      <c r="N181" s="89">
        <v>100</v>
      </c>
      <c r="O181" s="91">
        <v>21976419818</v>
      </c>
      <c r="P181" s="95" t="s">
        <v>55</v>
      </c>
      <c r="Q181" s="144" t="s">
        <v>457</v>
      </c>
      <c r="R181" s="122"/>
      <c r="S181" s="97"/>
      <c r="T181" s="97" t="s">
        <v>183</v>
      </c>
      <c r="U181" s="97" t="s">
        <v>458</v>
      </c>
      <c r="V181" s="118">
        <v>46181</v>
      </c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 t="s">
        <v>47</v>
      </c>
      <c r="AK181" s="100" t="s">
        <v>47</v>
      </c>
      <c r="AL181" s="45" t="s">
        <v>64</v>
      </c>
      <c r="AM181" s="198" t="str">
        <f t="shared" si="16"/>
        <v>6/2026</v>
      </c>
      <c r="AN181" s="45">
        <f t="shared" si="17"/>
        <v>2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hidden="1" customHeight="1">
      <c r="A182" s="87" t="s">
        <v>47</v>
      </c>
      <c r="B182" s="93">
        <v>46182</v>
      </c>
      <c r="C182" s="89" t="s">
        <v>488</v>
      </c>
      <c r="D182" s="89" t="s">
        <v>492</v>
      </c>
      <c r="E182" s="112">
        <v>92604272</v>
      </c>
      <c r="F182" s="220" t="s">
        <v>514</v>
      </c>
      <c r="G182" s="113" t="s">
        <v>515</v>
      </c>
      <c r="H182" s="98">
        <v>26168</v>
      </c>
      <c r="I182" s="92"/>
      <c r="J182" s="114" t="s">
        <v>77</v>
      </c>
      <c r="K182" s="89" t="s">
        <v>271</v>
      </c>
      <c r="L182" s="89" t="s">
        <v>293</v>
      </c>
      <c r="M182" s="89" t="s">
        <v>516</v>
      </c>
      <c r="N182" s="89">
        <v>450</v>
      </c>
      <c r="O182" s="91">
        <v>21974017591</v>
      </c>
      <c r="P182" s="95"/>
      <c r="Q182" s="144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 t="s">
        <v>47</v>
      </c>
      <c r="AK182" s="100" t="s">
        <v>47</v>
      </c>
      <c r="AL182" s="45" t="s">
        <v>64</v>
      </c>
      <c r="AM182" s="198" t="str">
        <f t="shared" si="16"/>
        <v>6/2026</v>
      </c>
      <c r="AN182" s="45">
        <f t="shared" si="17"/>
        <v>2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hidden="1" customHeight="1">
      <c r="A183" s="89" t="s">
        <v>47</v>
      </c>
      <c r="B183" s="93">
        <v>46183</v>
      </c>
      <c r="C183" s="89" t="s">
        <v>488</v>
      </c>
      <c r="D183" s="89" t="s">
        <v>492</v>
      </c>
      <c r="E183" s="112">
        <v>72189038</v>
      </c>
      <c r="F183" s="220" t="s">
        <v>517</v>
      </c>
      <c r="G183" s="113" t="s">
        <v>518</v>
      </c>
      <c r="H183" s="98">
        <v>24402</v>
      </c>
      <c r="I183" s="92"/>
      <c r="J183" s="114" t="s">
        <v>51</v>
      </c>
      <c r="K183" s="89" t="s">
        <v>271</v>
      </c>
      <c r="L183" s="89" t="s">
        <v>293</v>
      </c>
      <c r="M183" s="89" t="s">
        <v>519</v>
      </c>
      <c r="N183" s="89">
        <v>50</v>
      </c>
      <c r="O183" s="91">
        <v>21972654888</v>
      </c>
      <c r="P183" s="95"/>
      <c r="Q183" s="144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 t="s">
        <v>47</v>
      </c>
      <c r="AK183" s="100" t="s">
        <v>47</v>
      </c>
      <c r="AL183" s="45" t="s">
        <v>64</v>
      </c>
      <c r="AM183" s="198" t="str">
        <f t="shared" si="16"/>
        <v>6/2026</v>
      </c>
      <c r="AN183" s="45">
        <f t="shared" si="17"/>
        <v>2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>
      <c r="A184" s="89" t="s">
        <v>47</v>
      </c>
      <c r="B184" s="93">
        <v>46184</v>
      </c>
      <c r="C184" s="89" t="s">
        <v>488</v>
      </c>
      <c r="D184" s="89" t="s">
        <v>49</v>
      </c>
      <c r="E184" s="112">
        <v>84671518</v>
      </c>
      <c r="F184" s="220" t="s">
        <v>520</v>
      </c>
      <c r="G184" s="113">
        <v>7170143712</v>
      </c>
      <c r="H184" s="98">
        <v>28252</v>
      </c>
      <c r="I184" s="92"/>
      <c r="J184" s="114" t="s">
        <v>51</v>
      </c>
      <c r="K184" s="89" t="s">
        <v>271</v>
      </c>
      <c r="L184" s="89" t="s">
        <v>293</v>
      </c>
      <c r="M184" s="89" t="s">
        <v>521</v>
      </c>
      <c r="N184" s="89">
        <v>60</v>
      </c>
      <c r="O184" s="91">
        <v>21996563083</v>
      </c>
      <c r="P184" s="95"/>
      <c r="Q184" s="144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 t="s">
        <v>47</v>
      </c>
      <c r="AK184" s="100" t="s">
        <v>47</v>
      </c>
      <c r="AL184" s="45" t="s">
        <v>64</v>
      </c>
      <c r="AM184" s="198" t="str">
        <f t="shared" si="16"/>
        <v>6/2026</v>
      </c>
      <c r="AN184" s="45">
        <f t="shared" si="17"/>
        <v>2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>
      <c r="A185" s="89"/>
      <c r="B185" s="93"/>
      <c r="C185" s="89"/>
      <c r="D185" s="89"/>
      <c r="E185" s="112"/>
      <c r="F185" s="220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4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64</v>
      </c>
      <c r="AM185" s="198" t="str">
        <f t="shared" si="16"/>
        <v>1/1900</v>
      </c>
      <c r="AN185" s="45" t="e">
        <f t="shared" si="17"/>
        <v>#NUM!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>
      <c r="A186" s="89"/>
      <c r="B186" s="93"/>
      <c r="C186" s="89"/>
      <c r="D186" s="89"/>
      <c r="E186" s="112"/>
      <c r="F186" s="220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4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64</v>
      </c>
      <c r="AM186" s="198" t="str">
        <f t="shared" si="16"/>
        <v>1/1900</v>
      </c>
      <c r="AN186" s="45" t="e">
        <f t="shared" si="17"/>
        <v>#NUM!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>
      <c r="A187" s="87"/>
      <c r="B187" s="93"/>
      <c r="C187" s="89"/>
      <c r="D187" s="89"/>
      <c r="E187" s="112"/>
      <c r="F187" s="220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4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64</v>
      </c>
      <c r="AM187" s="198" t="str">
        <f t="shared" si="16"/>
        <v>1/1900</v>
      </c>
      <c r="AN187" s="45" t="e">
        <f t="shared" si="17"/>
        <v>#NUM!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>
      <c r="A188" s="89"/>
      <c r="B188" s="93"/>
      <c r="C188" s="89"/>
      <c r="D188" s="89"/>
      <c r="E188" s="112"/>
      <c r="F188" s="220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5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8" t="str">
        <f t="shared" si="16"/>
        <v>1/1900</v>
      </c>
      <c r="AN188" s="45" t="e">
        <f t="shared" si="17"/>
        <v>#NUM!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hidden="1" customHeight="1">
      <c r="A189" s="89"/>
      <c r="B189" s="93"/>
      <c r="C189" s="89"/>
      <c r="D189" s="89"/>
      <c r="E189" s="112"/>
      <c r="F189" s="220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8" t="str">
        <f t="shared" si="16"/>
        <v>1/1900</v>
      </c>
      <c r="AN189" s="45" t="e">
        <f t="shared" si="17"/>
        <v>#NUM!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>
      <c r="A190" s="87"/>
      <c r="B190" s="93"/>
      <c r="C190" s="89"/>
      <c r="D190" s="89"/>
      <c r="E190" s="112"/>
      <c r="F190" s="220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4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64</v>
      </c>
      <c r="AM190" s="198" t="str">
        <f t="shared" si="16"/>
        <v>1/1900</v>
      </c>
      <c r="AN190" s="45" t="e">
        <f t="shared" si="17"/>
        <v>#NUM!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>
      <c r="A191" s="89"/>
      <c r="B191" s="93"/>
      <c r="C191" s="89"/>
      <c r="D191" s="89"/>
      <c r="E191" s="112"/>
      <c r="F191" s="220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5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8" t="str">
        <f t="shared" si="16"/>
        <v>1/1900</v>
      </c>
      <c r="AN191" s="45" t="e">
        <f t="shared" si="17"/>
        <v>#NUM!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>
      <c r="A192" s="89"/>
      <c r="B192" s="93"/>
      <c r="C192" s="89"/>
      <c r="D192" s="89"/>
      <c r="E192" s="112"/>
      <c r="F192" s="220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8" t="str">
        <f t="shared" si="16"/>
        <v>1/1900</v>
      </c>
      <c r="AN192" s="45" t="e">
        <f t="shared" si="17"/>
        <v>#NUM!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>
      <c r="A193" s="89"/>
      <c r="B193" s="93"/>
      <c r="C193" s="89"/>
      <c r="D193" s="89"/>
      <c r="E193" s="112"/>
      <c r="F193" s="220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4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64</v>
      </c>
      <c r="AM193" s="198" t="str">
        <f t="shared" si="16"/>
        <v>1/1900</v>
      </c>
      <c r="AN193" s="45" t="e">
        <f t="shared" si="17"/>
        <v>#NUM!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>
      <c r="A194" s="89"/>
      <c r="B194" s="93"/>
      <c r="C194" s="89"/>
      <c r="D194" s="89"/>
      <c r="E194" s="112"/>
      <c r="F194" s="220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4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8" t="str">
        <f t="shared" ref="AM194:AM209" si="24">MONTH(B194)&amp;"/"&amp;YEAR(B194)</f>
        <v>1/1900</v>
      </c>
      <c r="AN194" s="45" t="e">
        <f t="shared" ref="AN194:AN209" si="25">WEEKNUM(B194)-WEEKNUM(EOMONTH(B194,-1)+1)+1</f>
        <v>#NUM!</v>
      </c>
      <c r="AO194" s="45" t="str">
        <f t="shared" ref="AO194:AO209" si="26">MONTH(R194)&amp;"/"&amp;YEAR(R194)</f>
        <v>1/1900</v>
      </c>
      <c r="AP194" s="45" t="e">
        <f t="shared" ref="AP194:AP209" si="27">WEEKNUM(R194)-WEEKNUM(EOMONTH(R194,-1)+1)+1</f>
        <v>#NUM!</v>
      </c>
      <c r="AQ194" s="45">
        <f t="shared" ref="AQ194:AQ209" si="28">IF(AU194="S",IF(Q194="1. Aceitou o programa",R194-B194,0),0)</f>
        <v>0</v>
      </c>
      <c r="AR194" s="45">
        <f t="shared" ref="AR194:AR209" si="29">IF(AU194="S",IF(AND(S194&lt;&gt;"",R194&lt;&gt;""),S194-R194,0),0)</f>
        <v>0</v>
      </c>
      <c r="AS194" s="45">
        <f t="shared" ref="AS194:AS209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hidden="1" customHeight="1">
      <c r="A195" s="89"/>
      <c r="B195" s="93"/>
      <c r="C195" s="89"/>
      <c r="D195" s="89"/>
      <c r="E195" s="112"/>
      <c r="F195" s="220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4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8" t="str">
        <f t="shared" si="24"/>
        <v>1/1900</v>
      </c>
      <c r="AN195" s="45" t="e">
        <f t="shared" si="25"/>
        <v>#NUM!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>
      <c r="A196" s="89"/>
      <c r="B196" s="93"/>
      <c r="C196" s="89"/>
      <c r="D196" s="89"/>
      <c r="E196" s="112"/>
      <c r="F196" s="220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4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64</v>
      </c>
      <c r="AM196" s="198" t="str">
        <f t="shared" si="24"/>
        <v>1/1900</v>
      </c>
      <c r="AN196" s="45" t="e">
        <f t="shared" si="25"/>
        <v>#NUM!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>
      <c r="A197" s="89"/>
      <c r="B197" s="93"/>
      <c r="C197" s="89"/>
      <c r="D197" s="89"/>
      <c r="E197" s="112"/>
      <c r="F197" s="220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4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64</v>
      </c>
      <c r="AM197" s="198" t="str">
        <f t="shared" si="24"/>
        <v>1/1900</v>
      </c>
      <c r="AN197" s="45" t="e">
        <f t="shared" si="25"/>
        <v>#NUM!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hidden="1" customHeight="1">
      <c r="A198" s="89"/>
      <c r="B198" s="93"/>
      <c r="C198" s="89"/>
      <c r="D198" s="89"/>
      <c r="E198" s="112"/>
      <c r="F198" s="220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4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8" t="str">
        <f t="shared" si="24"/>
        <v>1/1900</v>
      </c>
      <c r="AN198" s="45" t="e">
        <f t="shared" si="25"/>
        <v>#NUM!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>
      <c r="A199" s="89"/>
      <c r="B199" s="93"/>
      <c r="C199" s="89"/>
      <c r="D199" s="89"/>
      <c r="E199" s="112"/>
      <c r="F199" s="220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4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8" t="str">
        <f t="shared" si="24"/>
        <v>1/1900</v>
      </c>
      <c r="AN199" s="45" t="e">
        <f t="shared" si="25"/>
        <v>#NUM!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>
      <c r="A200" s="89"/>
      <c r="B200" s="93"/>
      <c r="C200" s="89"/>
      <c r="D200" s="89"/>
      <c r="E200" s="112"/>
      <c r="F200" s="220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4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8" t="str">
        <f t="shared" si="24"/>
        <v>1/1900</v>
      </c>
      <c r="AN200" s="45" t="e">
        <f t="shared" si="25"/>
        <v>#NUM!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>
      <c r="A201" s="89"/>
      <c r="B201" s="93"/>
      <c r="C201" s="89"/>
      <c r="D201" s="89"/>
      <c r="E201" s="112"/>
      <c r="F201" s="220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4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64</v>
      </c>
      <c r="AM201" s="198" t="str">
        <f t="shared" si="24"/>
        <v>1/1900</v>
      </c>
      <c r="AN201" s="45" t="e">
        <f t="shared" si="25"/>
        <v>#NUM!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hidden="1" customHeight="1">
      <c r="A202" s="89"/>
      <c r="B202" s="93"/>
      <c r="C202" s="89"/>
      <c r="D202" s="89"/>
      <c r="E202" s="112"/>
      <c r="F202" s="220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4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8" t="str">
        <f t="shared" si="24"/>
        <v>1/1900</v>
      </c>
      <c r="AN202" s="45" t="e">
        <f t="shared" si="25"/>
        <v>#NUM!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>
      <c r="A203" s="89"/>
      <c r="B203" s="93"/>
      <c r="C203" s="89"/>
      <c r="D203" s="89"/>
      <c r="E203" s="112"/>
      <c r="F203" s="220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5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8" t="str">
        <f t="shared" si="24"/>
        <v>1/1900</v>
      </c>
      <c r="AN203" s="45" t="e">
        <f t="shared" si="25"/>
        <v>#NUM!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>
      <c r="A204" s="89"/>
      <c r="B204" s="93"/>
      <c r="C204" s="89"/>
      <c r="D204" s="89"/>
      <c r="E204" s="112"/>
      <c r="F204" s="220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5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8" t="str">
        <f t="shared" si="24"/>
        <v>1/1900</v>
      </c>
      <c r="AN204" s="45" t="e">
        <f t="shared" si="25"/>
        <v>#NUM!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hidden="1" customHeight="1">
      <c r="A205" s="89"/>
      <c r="B205" s="93"/>
      <c r="C205" s="89"/>
      <c r="D205" s="89"/>
      <c r="E205" s="112"/>
      <c r="F205" s="220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5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64</v>
      </c>
      <c r="AM205" s="198" t="str">
        <f t="shared" si="24"/>
        <v>1/1900</v>
      </c>
      <c r="AN205" s="45" t="e">
        <f t="shared" si="25"/>
        <v>#NUM!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>
      <c r="A206" s="89"/>
      <c r="B206" s="93"/>
      <c r="C206" s="89"/>
      <c r="D206" s="89"/>
      <c r="E206" s="112"/>
      <c r="F206" s="220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5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64</v>
      </c>
      <c r="AM206" s="198" t="str">
        <f t="shared" si="24"/>
        <v>1/1900</v>
      </c>
      <c r="AN206" s="45" t="e">
        <f t="shared" si="25"/>
        <v>#NUM!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>
      <c r="A207" s="89"/>
      <c r="B207" s="93"/>
      <c r="C207" s="89"/>
      <c r="D207" s="89"/>
      <c r="E207" s="112"/>
      <c r="F207" s="220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5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8" t="str">
        <f t="shared" si="24"/>
        <v>1/1900</v>
      </c>
      <c r="AN207" s="45" t="e">
        <f t="shared" si="25"/>
        <v>#NUM!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>
      <c r="A208" s="89"/>
      <c r="B208" s="93"/>
      <c r="C208" s="89"/>
      <c r="D208" s="89"/>
      <c r="E208" s="112"/>
      <c r="F208" s="220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5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64</v>
      </c>
      <c r="AM208" s="198" t="str">
        <f t="shared" si="24"/>
        <v>1/1900</v>
      </c>
      <c r="AN208" s="45" t="e">
        <f t="shared" si="25"/>
        <v>#NUM!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>
      <c r="A209" s="89"/>
      <c r="B209" s="93"/>
      <c r="C209" s="89"/>
      <c r="D209" s="89"/>
      <c r="E209" s="112"/>
      <c r="F209" s="220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5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64</v>
      </c>
      <c r="AM209" s="198" t="str">
        <f t="shared" si="24"/>
        <v>1/1900</v>
      </c>
      <c r="AN209" s="45" t="e">
        <f t="shared" si="25"/>
        <v>#NUM!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9"/>
      <c r="B210" s="93"/>
      <c r="C210" s="89"/>
      <c r="D210" s="89"/>
      <c r="E210" s="112"/>
      <c r="F210" s="220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5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0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5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0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5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0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5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0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5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0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5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0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5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0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5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0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5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0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5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0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0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4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0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5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0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0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4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0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4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0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4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0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4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0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4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0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5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0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5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0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5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0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0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5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0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5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0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5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0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5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0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0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0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0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0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0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0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0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4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0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0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0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0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0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4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0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4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0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4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0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4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0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4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0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4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0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4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0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4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0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4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0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4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0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4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0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4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0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4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0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4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0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4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0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4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0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4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0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4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0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4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0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4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0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4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0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4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0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4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0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4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0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4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0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4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0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4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0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4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0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4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0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0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4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0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4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0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4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0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4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0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4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0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4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0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4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0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4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0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4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0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0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0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0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0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0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0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4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0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4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0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4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0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4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0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4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0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4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0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4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0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4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0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4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0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4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0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4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0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4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0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4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0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4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0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4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0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4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0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4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0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4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0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4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0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4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0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4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0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4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0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4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0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4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0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4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0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4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0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4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0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4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0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4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0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4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0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0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0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0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4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0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4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0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0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5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0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0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0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0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5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0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0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0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0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0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0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4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0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0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0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0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4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0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0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0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0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0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0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4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0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4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0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0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0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0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0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0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0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0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0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0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0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0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0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0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0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0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0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>
      <c r="A369" s="89"/>
      <c r="B369" s="93"/>
      <c r="C369" s="89"/>
      <c r="D369" s="89"/>
      <c r="E369" s="112"/>
      <c r="F369" s="220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>
      <c r="A370" s="89"/>
      <c r="B370" s="197"/>
      <c r="C370" s="89"/>
      <c r="D370" s="89"/>
      <c r="E370" s="112"/>
      <c r="F370" s="220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7"/>
      <c r="C371" s="89"/>
      <c r="D371" s="89"/>
      <c r="E371" s="112"/>
      <c r="F371" s="220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7"/>
      <c r="C372" s="89"/>
      <c r="D372" s="89"/>
      <c r="E372" s="112"/>
      <c r="F372" s="220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7"/>
      <c r="C373" s="89"/>
      <c r="D373" s="89"/>
      <c r="E373" s="112"/>
      <c r="F373" s="220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7"/>
      <c r="C374" s="89"/>
      <c r="D374" s="89"/>
      <c r="E374" s="112"/>
      <c r="F374" s="220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7"/>
      <c r="C375" s="89"/>
      <c r="D375" s="89"/>
      <c r="E375" s="112"/>
      <c r="F375" s="220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7"/>
      <c r="C376" s="89"/>
      <c r="D376" s="89"/>
      <c r="E376" s="112"/>
      <c r="F376" s="220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7"/>
      <c r="C377" s="89"/>
      <c r="D377" s="89"/>
      <c r="E377" s="112"/>
      <c r="F377" s="220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7"/>
      <c r="C378" s="89"/>
      <c r="D378" s="89"/>
      <c r="E378" s="112"/>
      <c r="F378" s="220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7"/>
      <c r="C379" s="89"/>
      <c r="D379" s="89"/>
      <c r="E379" s="112"/>
      <c r="F379" s="220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>
      <c r="A380" s="89"/>
      <c r="B380" s="197"/>
      <c r="C380" s="89"/>
      <c r="D380" s="89"/>
      <c r="E380" s="112"/>
      <c r="F380" s="220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7"/>
      <c r="C381" s="89"/>
      <c r="D381" s="89"/>
      <c r="E381" s="112"/>
      <c r="F381" s="220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7"/>
      <c r="C382" s="89"/>
      <c r="D382" s="89"/>
      <c r="E382" s="112"/>
      <c r="F382" s="220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7"/>
      <c r="C383" s="89"/>
      <c r="D383" s="89"/>
      <c r="E383" s="112"/>
      <c r="F383" s="220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7"/>
      <c r="C384" s="89"/>
      <c r="D384" s="89"/>
      <c r="E384" s="112"/>
      <c r="F384" s="220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7"/>
      <c r="C385" s="89"/>
      <c r="D385" s="89"/>
      <c r="E385" s="112"/>
      <c r="F385" s="220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7"/>
      <c r="C386" s="89"/>
      <c r="D386" s="89"/>
      <c r="E386" s="112"/>
      <c r="F386" s="220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7"/>
      <c r="C387" s="89"/>
      <c r="D387" s="89"/>
      <c r="E387" s="112"/>
      <c r="F387" s="220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7"/>
      <c r="C388" s="89"/>
      <c r="D388" s="89"/>
      <c r="E388" s="112"/>
      <c r="F388" s="220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7"/>
      <c r="C389" s="89"/>
      <c r="D389" s="89"/>
      <c r="E389" s="112"/>
      <c r="F389" s="220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7"/>
      <c r="C390" s="89"/>
      <c r="D390" s="89"/>
      <c r="E390" s="112"/>
      <c r="F390" s="220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7"/>
      <c r="C391" s="89"/>
      <c r="D391" s="89"/>
      <c r="E391" s="112"/>
      <c r="F391" s="220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7"/>
      <c r="C392" s="89"/>
      <c r="D392" s="89"/>
      <c r="E392" s="112"/>
      <c r="F392" s="220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7"/>
      <c r="C393" s="89"/>
      <c r="D393" s="89"/>
      <c r="E393" s="112"/>
      <c r="F393" s="220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7"/>
      <c r="C394" s="89"/>
      <c r="D394" s="89"/>
      <c r="E394" s="112"/>
      <c r="F394" s="220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5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89"/>
      <c r="B395" s="197"/>
      <c r="C395" s="89"/>
      <c r="D395" s="89"/>
      <c r="E395" s="112"/>
      <c r="F395" s="220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5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>
      <c r="A396" s="125"/>
      <c r="B396" s="88"/>
      <c r="C396" s="89"/>
      <c r="D396" s="89"/>
      <c r="E396" s="112"/>
      <c r="F396" s="220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7"/>
      <c r="AI396" s="100"/>
      <c r="AJ396" s="100"/>
      <c r="AK396" s="128"/>
      <c r="AU396" s="45"/>
    </row>
    <row r="397" spans="1:47" ht="12" customHeight="1">
      <c r="A397" s="125"/>
      <c r="B397" s="88"/>
      <c r="C397" s="89"/>
      <c r="D397" s="89"/>
      <c r="E397" s="112"/>
      <c r="F397" s="220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7"/>
      <c r="AI397" s="100"/>
      <c r="AJ397" s="100"/>
      <c r="AK397" s="128"/>
      <c r="AU397" s="45"/>
    </row>
    <row r="398" spans="1:47" ht="12" customHeight="1">
      <c r="A398" s="125"/>
      <c r="B398" s="88"/>
      <c r="C398" s="89"/>
      <c r="D398" s="89"/>
      <c r="E398" s="112"/>
      <c r="F398" s="220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7"/>
      <c r="AI398" s="100"/>
      <c r="AJ398" s="100"/>
      <c r="AK398" s="128"/>
      <c r="AU398" s="45"/>
    </row>
    <row r="399" spans="1:47" ht="12" customHeight="1">
      <c r="A399" s="125"/>
      <c r="B399" s="88"/>
      <c r="C399" s="89"/>
      <c r="D399" s="89"/>
      <c r="E399" s="112"/>
      <c r="F399" s="220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7"/>
      <c r="AG399" s="99"/>
      <c r="AH399" s="99"/>
      <c r="AI399" s="100"/>
      <c r="AJ399" s="100"/>
      <c r="AK399" s="128"/>
      <c r="AU399" s="45"/>
    </row>
    <row r="400" spans="1:47" ht="12" customHeight="1">
      <c r="A400" s="125"/>
      <c r="B400" s="88"/>
      <c r="C400" s="89"/>
      <c r="D400" s="89"/>
      <c r="E400" s="112"/>
      <c r="F400" s="220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7"/>
      <c r="AI400" s="100"/>
      <c r="AJ400" s="100"/>
      <c r="AK400" s="128"/>
      <c r="AU400" s="45"/>
    </row>
    <row r="401" spans="1:47" ht="12" customHeight="1">
      <c r="A401" s="125"/>
      <c r="B401" s="88"/>
      <c r="C401" s="89"/>
      <c r="D401" s="89"/>
      <c r="E401" s="112"/>
      <c r="F401" s="220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7"/>
      <c r="AI401" s="100"/>
      <c r="AJ401" s="100"/>
      <c r="AK401" s="128"/>
      <c r="AU401" s="45"/>
    </row>
    <row r="402" spans="1:47" ht="12" customHeight="1">
      <c r="A402" s="125"/>
      <c r="B402" s="88"/>
      <c r="C402" s="89"/>
      <c r="D402" s="89"/>
      <c r="E402" s="112"/>
      <c r="F402" s="220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7"/>
      <c r="AI402" s="100"/>
      <c r="AJ402" s="100"/>
      <c r="AK402" s="128"/>
      <c r="AU402" s="45"/>
    </row>
    <row r="403" spans="1:47" ht="12" customHeight="1">
      <c r="A403" s="125"/>
      <c r="B403" s="88"/>
      <c r="C403" s="89"/>
      <c r="D403" s="89"/>
      <c r="E403" s="112"/>
      <c r="F403" s="220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7"/>
      <c r="AI403" s="100"/>
      <c r="AJ403" s="100"/>
      <c r="AK403" s="128"/>
      <c r="AU403" s="45"/>
    </row>
    <row r="404" spans="1:47" ht="12" customHeight="1">
      <c r="A404" s="125"/>
      <c r="B404" s="88"/>
      <c r="C404" s="89"/>
      <c r="D404" s="89"/>
      <c r="E404" s="112"/>
      <c r="F404" s="220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7"/>
      <c r="AI404" s="100"/>
      <c r="AJ404" s="100"/>
      <c r="AK404" s="128"/>
      <c r="AU404" s="45"/>
    </row>
    <row r="405" spans="1:47" ht="12" customHeight="1">
      <c r="A405" s="125"/>
      <c r="B405" s="88"/>
      <c r="C405" s="89"/>
      <c r="D405" s="89"/>
      <c r="E405" s="112"/>
      <c r="F405" s="220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7"/>
      <c r="AI405" s="100"/>
      <c r="AJ405" s="100"/>
      <c r="AK405" s="128"/>
      <c r="AU405" s="45"/>
    </row>
    <row r="406" spans="1:47" ht="12" customHeight="1">
      <c r="A406" s="125"/>
      <c r="B406" s="88"/>
      <c r="C406" s="89"/>
      <c r="D406" s="89"/>
      <c r="E406" s="112"/>
      <c r="F406" s="220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7"/>
      <c r="AI406" s="100"/>
      <c r="AJ406" s="100"/>
      <c r="AK406" s="128"/>
      <c r="AU406" s="45"/>
    </row>
    <row r="407" spans="1:47" ht="12" customHeight="1">
      <c r="A407" s="125"/>
      <c r="B407" s="88"/>
      <c r="C407" s="89"/>
      <c r="D407" s="89"/>
      <c r="E407" s="112"/>
      <c r="F407" s="220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7"/>
      <c r="AI407" s="100"/>
      <c r="AJ407" s="100"/>
      <c r="AK407" s="128"/>
      <c r="AU407" s="45"/>
    </row>
    <row r="408" spans="1:47" ht="12" customHeight="1">
      <c r="A408" s="125"/>
      <c r="B408" s="88"/>
      <c r="C408" s="89"/>
      <c r="D408" s="89"/>
      <c r="E408" s="112"/>
      <c r="F408" s="220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93"/>
      <c r="W408" s="124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7"/>
      <c r="AI408" s="100"/>
      <c r="AJ408" s="100"/>
      <c r="AK408" s="128"/>
      <c r="AU408" s="45"/>
    </row>
    <row r="409" spans="1:47" ht="12" customHeight="1">
      <c r="A409" s="125"/>
      <c r="B409" s="88"/>
      <c r="C409" s="89"/>
      <c r="D409" s="89"/>
      <c r="E409" s="112"/>
      <c r="F409" s="220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93"/>
      <c r="W409" s="124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7"/>
      <c r="AI409" s="100"/>
      <c r="AJ409" s="100"/>
      <c r="AK409" s="128"/>
      <c r="AU409" s="45"/>
    </row>
    <row r="410" spans="1:47" ht="12" customHeight="1">
      <c r="A410" s="125"/>
      <c r="B410" s="88"/>
      <c r="C410" s="89"/>
      <c r="D410" s="89"/>
      <c r="E410" s="112"/>
      <c r="F410" s="220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7"/>
      <c r="AI410" s="100"/>
      <c r="AJ410" s="100"/>
      <c r="AK410" s="128"/>
      <c r="AU410" s="45"/>
    </row>
    <row r="411" spans="1:47" ht="12" customHeight="1">
      <c r="A411" s="125"/>
      <c r="B411" s="88"/>
      <c r="C411" s="89"/>
      <c r="D411" s="89"/>
      <c r="E411" s="112"/>
      <c r="F411" s="220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7"/>
      <c r="AI411" s="100"/>
      <c r="AJ411" s="100"/>
      <c r="AK411" s="128"/>
      <c r="AU411" s="45"/>
    </row>
    <row r="412" spans="1:47" ht="12" customHeight="1">
      <c r="A412" s="125"/>
      <c r="B412" s="88"/>
      <c r="C412" s="89"/>
      <c r="D412" s="89"/>
      <c r="E412" s="112"/>
      <c r="F412" s="220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88"/>
      <c r="W412" s="124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7"/>
      <c r="AI412" s="100"/>
      <c r="AJ412" s="100"/>
      <c r="AK412" s="128"/>
      <c r="AU412" s="45"/>
    </row>
    <row r="413" spans="1:47" ht="12" customHeight="1">
      <c r="A413" s="125"/>
      <c r="B413" s="88"/>
      <c r="C413" s="89"/>
      <c r="D413" s="89"/>
      <c r="E413" s="112"/>
      <c r="F413" s="220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88"/>
      <c r="W413" s="124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7"/>
      <c r="AI413" s="100"/>
      <c r="AJ413" s="100"/>
      <c r="AK413" s="128"/>
      <c r="AU413" s="45"/>
    </row>
    <row r="414" spans="1:47" ht="12" customHeight="1">
      <c r="A414" s="125"/>
      <c r="B414" s="88"/>
      <c r="C414" s="89"/>
      <c r="D414" s="89"/>
      <c r="E414" s="112"/>
      <c r="F414" s="220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7"/>
      <c r="AI414" s="100"/>
      <c r="AJ414" s="100"/>
      <c r="AK414" s="128"/>
      <c r="AU414" s="45"/>
    </row>
    <row r="415" spans="1:47" ht="12" customHeight="1">
      <c r="A415" s="125"/>
      <c r="B415" s="88"/>
      <c r="C415" s="89"/>
      <c r="D415" s="89"/>
      <c r="E415" s="112"/>
      <c r="F415" s="220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7"/>
      <c r="AI415" s="100"/>
      <c r="AJ415" s="100"/>
      <c r="AK415" s="128"/>
      <c r="AU415" s="45"/>
    </row>
    <row r="416" spans="1:47" ht="12" customHeight="1">
      <c r="A416" s="125"/>
      <c r="B416" s="88"/>
      <c r="C416" s="89"/>
      <c r="D416" s="89"/>
      <c r="E416" s="112"/>
      <c r="F416" s="220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7"/>
      <c r="AI416" s="100"/>
      <c r="AJ416" s="100"/>
      <c r="AK416" s="128"/>
      <c r="AU416" s="45"/>
    </row>
    <row r="417" spans="1:47" ht="12" customHeight="1">
      <c r="A417" s="125"/>
      <c r="B417" s="88"/>
      <c r="C417" s="89"/>
      <c r="D417" s="89"/>
      <c r="E417" s="112"/>
      <c r="F417" s="220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7"/>
      <c r="AI417" s="100"/>
      <c r="AJ417" s="100"/>
      <c r="AK417" s="128"/>
      <c r="AU417" s="45"/>
    </row>
    <row r="418" spans="1:47" ht="12" customHeight="1">
      <c r="A418" s="125"/>
      <c r="B418" s="88"/>
      <c r="C418" s="89"/>
      <c r="D418" s="89"/>
      <c r="E418" s="112"/>
      <c r="F418" s="220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7"/>
      <c r="AI418" s="100"/>
      <c r="AJ418" s="100"/>
      <c r="AK418" s="128"/>
      <c r="AU418" s="45"/>
    </row>
    <row r="419" spans="1:47" ht="12" customHeight="1">
      <c r="A419" s="125"/>
      <c r="B419" s="88"/>
      <c r="C419" s="89"/>
      <c r="D419" s="89"/>
      <c r="E419" s="112"/>
      <c r="F419" s="220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7"/>
      <c r="AI419" s="100"/>
      <c r="AJ419" s="100"/>
      <c r="AK419" s="128"/>
      <c r="AU419" s="45"/>
    </row>
    <row r="420" spans="1:47" ht="12" customHeight="1">
      <c r="A420" s="125"/>
      <c r="B420" s="88"/>
      <c r="C420" s="89"/>
      <c r="D420" s="89"/>
      <c r="E420" s="112"/>
      <c r="F420" s="220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93"/>
      <c r="W420" s="124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7"/>
      <c r="AI420" s="100"/>
      <c r="AJ420" s="100"/>
      <c r="AK420" s="128"/>
      <c r="AU420" s="45"/>
    </row>
    <row r="421" spans="1:47" ht="12" customHeight="1">
      <c r="A421" s="125"/>
      <c r="B421" s="88"/>
      <c r="C421" s="89"/>
      <c r="D421" s="89"/>
      <c r="E421" s="112"/>
      <c r="F421" s="220"/>
      <c r="G421" s="92"/>
      <c r="H421" s="93"/>
      <c r="I421" s="92"/>
      <c r="J421" s="126"/>
      <c r="K421" s="89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93"/>
      <c r="W421" s="124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7"/>
      <c r="AI421" s="100"/>
      <c r="AJ421" s="100"/>
      <c r="AK421" s="128"/>
      <c r="AU421" s="45"/>
    </row>
    <row r="422" spans="1:47" ht="12" customHeight="1">
      <c r="A422" s="125"/>
      <c r="B422" s="88"/>
      <c r="C422" s="89"/>
      <c r="D422" s="89"/>
      <c r="E422" s="112"/>
      <c r="F422" s="220"/>
      <c r="G422" s="92"/>
      <c r="H422" s="93"/>
      <c r="I422" s="92"/>
      <c r="J422" s="126"/>
      <c r="K422" s="89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7"/>
      <c r="AI422" s="100"/>
      <c r="AJ422" s="100"/>
      <c r="AK422" s="128"/>
      <c r="AU422" s="45"/>
    </row>
    <row r="423" spans="1:47" ht="12" customHeight="1">
      <c r="A423" s="125"/>
      <c r="B423" s="88"/>
      <c r="C423" s="89"/>
      <c r="D423" s="89"/>
      <c r="E423" s="112"/>
      <c r="F423" s="220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7"/>
      <c r="AI423" s="100"/>
      <c r="AJ423" s="100"/>
      <c r="AK423" s="128"/>
      <c r="AU423" s="45"/>
    </row>
    <row r="424" spans="1:47" ht="12" customHeight="1">
      <c r="A424" s="125"/>
      <c r="B424" s="88"/>
      <c r="C424" s="89"/>
      <c r="D424" s="89"/>
      <c r="E424" s="112"/>
      <c r="F424" s="220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124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7"/>
      <c r="AI424" s="100"/>
      <c r="AJ424" s="100"/>
      <c r="AK424" s="128"/>
      <c r="AU424" s="45"/>
    </row>
    <row r="425" spans="1:47" ht="12" customHeight="1">
      <c r="A425" s="125"/>
      <c r="B425" s="88"/>
      <c r="C425" s="89"/>
      <c r="D425" s="89"/>
      <c r="E425" s="112"/>
      <c r="F425" s="220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124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7"/>
      <c r="AI425" s="100"/>
      <c r="AJ425" s="100"/>
      <c r="AK425" s="128"/>
      <c r="AU425" s="45"/>
    </row>
    <row r="426" spans="1:47" ht="12" customHeight="1">
      <c r="A426" s="125"/>
      <c r="B426" s="88"/>
      <c r="C426" s="89"/>
      <c r="D426" s="89"/>
      <c r="E426" s="112"/>
      <c r="F426" s="220"/>
      <c r="G426" s="92"/>
      <c r="H426" s="93"/>
      <c r="I426" s="92"/>
      <c r="J426" s="126"/>
      <c r="K426" s="114"/>
      <c r="L426" s="89"/>
      <c r="M426" s="89"/>
      <c r="N426" s="89"/>
      <c r="O426" s="94"/>
      <c r="P426" s="95"/>
      <c r="Q426" s="144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7"/>
      <c r="AI426" s="100"/>
      <c r="AJ426" s="100"/>
      <c r="AK426" s="128"/>
      <c r="AU426" s="45"/>
    </row>
    <row r="427" spans="1:47" ht="12" customHeight="1">
      <c r="A427" s="125"/>
      <c r="B427" s="88"/>
      <c r="C427" s="89"/>
      <c r="D427" s="89"/>
      <c r="E427" s="112"/>
      <c r="F427" s="220"/>
      <c r="G427" s="92"/>
      <c r="H427" s="93"/>
      <c r="I427" s="92"/>
      <c r="J427" s="126"/>
      <c r="K427" s="114"/>
      <c r="L427" s="89"/>
      <c r="M427" s="89"/>
      <c r="N427" s="89"/>
      <c r="O427" s="94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7"/>
      <c r="AI427" s="100"/>
      <c r="AJ427" s="100"/>
      <c r="AK427" s="128"/>
      <c r="AU427" s="45"/>
    </row>
    <row r="428" spans="1:47" ht="12" customHeight="1">
      <c r="A428" s="125"/>
      <c r="B428" s="93"/>
      <c r="C428" s="89"/>
      <c r="D428" s="89"/>
      <c r="E428" s="112"/>
      <c r="F428" s="220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7"/>
      <c r="AI428" s="100"/>
      <c r="AJ428" s="100"/>
      <c r="AK428" s="128"/>
      <c r="AU428" s="45"/>
    </row>
    <row r="429" spans="1:47" ht="12" customHeight="1">
      <c r="A429" s="125"/>
      <c r="B429" s="93"/>
      <c r="C429" s="89"/>
      <c r="D429" s="89"/>
      <c r="E429" s="112"/>
      <c r="F429" s="220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7"/>
      <c r="AI429" s="100"/>
      <c r="AJ429" s="100"/>
      <c r="AK429" s="128"/>
      <c r="AU429" s="45"/>
    </row>
    <row r="430" spans="1:47" ht="12" customHeight="1">
      <c r="A430" s="125"/>
      <c r="B430" s="93"/>
      <c r="C430" s="89"/>
      <c r="D430" s="89"/>
      <c r="E430" s="112"/>
      <c r="F430" s="220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7"/>
      <c r="AI430" s="100"/>
      <c r="AJ430" s="100"/>
      <c r="AK430" s="128"/>
      <c r="AU430" s="45"/>
    </row>
    <row r="431" spans="1:47" ht="12" customHeight="1">
      <c r="A431" s="125"/>
      <c r="B431" s="93"/>
      <c r="C431" s="89"/>
      <c r="D431" s="89"/>
      <c r="E431" s="112"/>
      <c r="F431" s="220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7"/>
      <c r="AI431" s="100"/>
      <c r="AJ431" s="100"/>
      <c r="AK431" s="128"/>
      <c r="AU431" s="45"/>
    </row>
    <row r="432" spans="1:47" ht="12" customHeight="1">
      <c r="A432" s="125"/>
      <c r="B432" s="93"/>
      <c r="C432" s="89"/>
      <c r="D432" s="89"/>
      <c r="E432" s="112"/>
      <c r="F432" s="220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7"/>
      <c r="AI432" s="100"/>
      <c r="AJ432" s="100"/>
      <c r="AK432" s="128"/>
      <c r="AU432" s="45"/>
    </row>
    <row r="433" spans="1:47" ht="12" customHeight="1">
      <c r="A433" s="125"/>
      <c r="B433" s="93"/>
      <c r="C433" s="89"/>
      <c r="D433" s="89"/>
      <c r="E433" s="112"/>
      <c r="F433" s="220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7"/>
      <c r="AI433" s="100"/>
      <c r="AJ433" s="100"/>
      <c r="AK433" s="128"/>
      <c r="AU433" s="45"/>
    </row>
    <row r="434" spans="1:47" ht="12" customHeight="1">
      <c r="A434" s="125"/>
      <c r="B434" s="93"/>
      <c r="C434" s="89"/>
      <c r="D434" s="89"/>
      <c r="E434" s="112"/>
      <c r="F434" s="220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7"/>
      <c r="AI434" s="100"/>
      <c r="AJ434" s="100"/>
      <c r="AK434" s="128"/>
      <c r="AU434" s="45"/>
    </row>
    <row r="435" spans="1:47" ht="12" customHeight="1">
      <c r="A435" s="125"/>
      <c r="B435" s="93"/>
      <c r="C435" s="89"/>
      <c r="D435" s="89"/>
      <c r="E435" s="112"/>
      <c r="F435" s="220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7"/>
      <c r="AI435" s="100"/>
      <c r="AJ435" s="100"/>
      <c r="AK435" s="128"/>
      <c r="AU435" s="45"/>
    </row>
    <row r="436" spans="1:47" ht="12" customHeight="1">
      <c r="A436" s="125"/>
      <c r="B436" s="93"/>
      <c r="C436" s="89"/>
      <c r="D436" s="89"/>
      <c r="E436" s="112"/>
      <c r="F436" s="220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7"/>
      <c r="AI436" s="100"/>
      <c r="AJ436" s="100"/>
      <c r="AK436" s="128"/>
      <c r="AU436" s="45"/>
    </row>
    <row r="437" spans="1:47" ht="12" customHeight="1">
      <c r="A437" s="125"/>
      <c r="B437" s="93"/>
      <c r="C437" s="89"/>
      <c r="D437" s="89"/>
      <c r="E437" s="112"/>
      <c r="F437" s="220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7"/>
      <c r="AI437" s="100"/>
      <c r="AJ437" s="100"/>
      <c r="AK437" s="128"/>
      <c r="AU437" s="45"/>
    </row>
    <row r="438" spans="1:47" ht="12" customHeight="1">
      <c r="A438" s="125"/>
      <c r="B438" s="93"/>
      <c r="C438" s="89"/>
      <c r="D438" s="89"/>
      <c r="E438" s="112"/>
      <c r="F438" s="220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7"/>
      <c r="AI438" s="100"/>
      <c r="AJ438" s="100"/>
      <c r="AK438" s="128"/>
      <c r="AU438" s="45"/>
    </row>
    <row r="439" spans="1:47" ht="12" customHeight="1">
      <c r="A439" s="125"/>
      <c r="B439" s="93"/>
      <c r="C439" s="89"/>
      <c r="D439" s="89"/>
      <c r="E439" s="112"/>
      <c r="F439" s="220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7"/>
      <c r="AI439" s="100"/>
      <c r="AJ439" s="100"/>
      <c r="AK439" s="128"/>
      <c r="AU439" s="45"/>
    </row>
    <row r="440" spans="1:47" ht="12" customHeight="1">
      <c r="A440" s="125"/>
      <c r="B440" s="93"/>
      <c r="C440" s="89"/>
      <c r="D440" s="89"/>
      <c r="E440" s="112"/>
      <c r="F440" s="220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7"/>
      <c r="AI440" s="100"/>
      <c r="AJ440" s="100"/>
      <c r="AK440" s="128"/>
      <c r="AU440" s="45"/>
    </row>
    <row r="441" spans="1:47" ht="12" customHeight="1">
      <c r="A441" s="125"/>
      <c r="B441" s="93"/>
      <c r="C441" s="89"/>
      <c r="D441" s="89"/>
      <c r="E441" s="112"/>
      <c r="F441" s="220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7"/>
      <c r="AI441" s="100"/>
      <c r="AJ441" s="100"/>
      <c r="AK441" s="128"/>
      <c r="AU441" s="45"/>
    </row>
    <row r="442" spans="1:47" ht="12" customHeight="1">
      <c r="A442" s="125"/>
      <c r="B442" s="93"/>
      <c r="C442" s="89"/>
      <c r="D442" s="89"/>
      <c r="E442" s="112"/>
      <c r="F442" s="220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7"/>
      <c r="AI442" s="100"/>
      <c r="AJ442" s="100"/>
      <c r="AK442" s="128"/>
      <c r="AU442" s="45"/>
    </row>
    <row r="443" spans="1:47" ht="12" customHeight="1">
      <c r="A443" s="125"/>
      <c r="B443" s="93"/>
      <c r="C443" s="89"/>
      <c r="D443" s="89"/>
      <c r="E443" s="112"/>
      <c r="F443" s="220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7"/>
      <c r="AI443" s="100"/>
      <c r="AJ443" s="100"/>
      <c r="AK443" s="128"/>
      <c r="AU443" s="45"/>
    </row>
    <row r="444" spans="1:47" ht="12" customHeight="1">
      <c r="A444" s="125"/>
      <c r="B444" s="93"/>
      <c r="C444" s="89"/>
      <c r="D444" s="89"/>
      <c r="E444" s="112"/>
      <c r="F444" s="220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7"/>
      <c r="AI444" s="100"/>
      <c r="AJ444" s="100"/>
      <c r="AK444" s="128"/>
      <c r="AU444" s="45"/>
    </row>
    <row r="445" spans="1:47" ht="12" customHeight="1">
      <c r="A445" s="125"/>
      <c r="B445" s="93"/>
      <c r="C445" s="89"/>
      <c r="D445" s="89"/>
      <c r="E445" s="112"/>
      <c r="F445" s="220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7"/>
      <c r="AI445" s="100"/>
      <c r="AJ445" s="100"/>
      <c r="AK445" s="128"/>
      <c r="AU445" s="45"/>
    </row>
    <row r="446" spans="1:47" ht="12" customHeight="1">
      <c r="A446" s="125"/>
      <c r="B446" s="93"/>
      <c r="C446" s="89"/>
      <c r="D446" s="89"/>
      <c r="E446" s="112"/>
      <c r="F446" s="220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7"/>
      <c r="AI446" s="100"/>
      <c r="AJ446" s="100"/>
      <c r="AK446" s="128"/>
      <c r="AU446" s="45"/>
    </row>
    <row r="447" spans="1:47" ht="12" customHeight="1">
      <c r="A447" s="125"/>
      <c r="B447" s="93"/>
      <c r="C447" s="89"/>
      <c r="D447" s="89"/>
      <c r="E447" s="112"/>
      <c r="F447" s="220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7"/>
      <c r="AI447" s="100"/>
      <c r="AJ447" s="100"/>
      <c r="AK447" s="128"/>
      <c r="AU447" s="45"/>
    </row>
    <row r="448" spans="1:47" ht="12" customHeight="1">
      <c r="A448" s="125"/>
      <c r="B448" s="93"/>
      <c r="C448" s="89"/>
      <c r="D448" s="89"/>
      <c r="E448" s="112"/>
      <c r="F448" s="220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7"/>
      <c r="AI448" s="100"/>
      <c r="AJ448" s="100"/>
      <c r="AK448" s="128"/>
      <c r="AU448" s="45"/>
    </row>
    <row r="449" spans="1:47" ht="12" customHeight="1">
      <c r="A449" s="125"/>
      <c r="B449" s="93"/>
      <c r="C449" s="89"/>
      <c r="D449" s="89"/>
      <c r="E449" s="112"/>
      <c r="F449" s="220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7"/>
      <c r="AI449" s="100"/>
      <c r="AJ449" s="100"/>
      <c r="AK449" s="128"/>
      <c r="AU449" s="45"/>
    </row>
    <row r="450" spans="1:47" ht="12" customHeight="1">
      <c r="A450" s="125"/>
      <c r="B450" s="93"/>
      <c r="C450" s="89"/>
      <c r="D450" s="89"/>
      <c r="E450" s="112"/>
      <c r="F450" s="220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7"/>
      <c r="AI450" s="100"/>
      <c r="AJ450" s="100"/>
      <c r="AK450" s="128"/>
      <c r="AU450" s="45"/>
    </row>
    <row r="451" spans="1:47" ht="12" customHeight="1">
      <c r="A451" s="125"/>
      <c r="B451" s="93"/>
      <c r="C451" s="89"/>
      <c r="D451" s="89"/>
      <c r="E451" s="112"/>
      <c r="F451" s="220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7"/>
      <c r="AI451" s="100"/>
      <c r="AJ451" s="100"/>
      <c r="AK451" s="128"/>
      <c r="AU451" s="45"/>
    </row>
    <row r="452" spans="1:47" ht="12" customHeight="1">
      <c r="A452" s="125"/>
      <c r="B452" s="93"/>
      <c r="C452" s="89"/>
      <c r="D452" s="89"/>
      <c r="E452" s="112"/>
      <c r="F452" s="220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7"/>
      <c r="AI452" s="100"/>
      <c r="AJ452" s="100"/>
      <c r="AK452" s="128"/>
      <c r="AU452" s="45"/>
    </row>
    <row r="453" spans="1:47" ht="12" customHeight="1">
      <c r="A453" s="125"/>
      <c r="B453" s="93"/>
      <c r="C453" s="89"/>
      <c r="D453" s="89"/>
      <c r="E453" s="112"/>
      <c r="F453" s="220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7"/>
      <c r="AI453" s="100"/>
      <c r="AJ453" s="100"/>
      <c r="AK453" s="128"/>
      <c r="AU453" s="45"/>
    </row>
    <row r="454" spans="1:47" ht="12" customHeight="1">
      <c r="A454" s="125"/>
      <c r="B454" s="93"/>
      <c r="C454" s="89"/>
      <c r="D454" s="89"/>
      <c r="E454" s="112"/>
      <c r="F454" s="220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7"/>
      <c r="AI454" s="100"/>
      <c r="AJ454" s="100"/>
      <c r="AK454" s="128"/>
      <c r="AU454" s="45"/>
    </row>
    <row r="455" spans="1:47" ht="12" customHeight="1">
      <c r="A455" s="125"/>
      <c r="B455" s="93"/>
      <c r="C455" s="89"/>
      <c r="D455" s="89"/>
      <c r="E455" s="112"/>
      <c r="F455" s="220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7"/>
      <c r="AI455" s="100"/>
      <c r="AJ455" s="100"/>
      <c r="AK455" s="128"/>
      <c r="AU455" s="45"/>
    </row>
    <row r="456" spans="1:47" ht="12" customHeight="1">
      <c r="A456" s="125"/>
      <c r="B456" s="93"/>
      <c r="C456" s="89"/>
      <c r="D456" s="89"/>
      <c r="E456" s="112"/>
      <c r="F456" s="220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7"/>
      <c r="AI456" s="100"/>
      <c r="AJ456" s="100"/>
      <c r="AK456" s="128"/>
      <c r="AU456" s="45"/>
    </row>
    <row r="457" spans="1:47" ht="12" customHeight="1">
      <c r="A457" s="125"/>
      <c r="B457" s="93"/>
      <c r="C457" s="89"/>
      <c r="D457" s="89"/>
      <c r="E457" s="112"/>
      <c r="F457" s="220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7"/>
      <c r="AI457" s="100"/>
      <c r="AJ457" s="100"/>
      <c r="AK457" s="128"/>
      <c r="AU457" s="45"/>
    </row>
    <row r="458" spans="1:47" ht="12" customHeight="1">
      <c r="A458" s="125"/>
      <c r="B458" s="93"/>
      <c r="C458" s="89"/>
      <c r="D458" s="89"/>
      <c r="E458" s="112"/>
      <c r="F458" s="220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7"/>
      <c r="AI458" s="100"/>
      <c r="AJ458" s="100"/>
      <c r="AK458" s="128"/>
      <c r="AU458" s="45"/>
    </row>
    <row r="459" spans="1:47" ht="12" customHeight="1">
      <c r="A459" s="125"/>
      <c r="B459" s="93"/>
      <c r="C459" s="89"/>
      <c r="D459" s="89"/>
      <c r="E459" s="112"/>
      <c r="F459" s="220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7"/>
      <c r="AI459" s="100"/>
      <c r="AJ459" s="100"/>
      <c r="AK459" s="128"/>
      <c r="AU459" s="45"/>
    </row>
    <row r="460" spans="1:47" ht="12" customHeight="1">
      <c r="A460" s="125"/>
      <c r="B460" s="93"/>
      <c r="C460" s="89"/>
      <c r="D460" s="89"/>
      <c r="E460" s="112"/>
      <c r="F460" s="220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7"/>
      <c r="AI460" s="100"/>
      <c r="AJ460" s="100"/>
      <c r="AK460" s="128"/>
      <c r="AU460" s="45"/>
    </row>
    <row r="461" spans="1:47" ht="12" customHeight="1">
      <c r="A461" s="125"/>
      <c r="B461" s="93"/>
      <c r="C461" s="89"/>
      <c r="D461" s="89"/>
      <c r="E461" s="112"/>
      <c r="F461" s="220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8"/>
      <c r="AU461" s="45"/>
    </row>
    <row r="462" spans="1:47" ht="12" customHeight="1">
      <c r="A462" s="125"/>
      <c r="B462" s="93"/>
      <c r="C462" s="89"/>
      <c r="D462" s="89"/>
      <c r="E462" s="112"/>
      <c r="F462" s="220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8"/>
      <c r="AU462" s="45"/>
    </row>
    <row r="463" spans="1:47" ht="12" customHeight="1">
      <c r="A463" s="125"/>
      <c r="B463" s="93"/>
      <c r="C463" s="89"/>
      <c r="D463" s="89"/>
      <c r="E463" s="112"/>
      <c r="F463" s="220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8"/>
      <c r="AU463" s="45"/>
    </row>
    <row r="464" spans="1:47" ht="12" customHeight="1">
      <c r="A464" s="125"/>
      <c r="B464" s="93"/>
      <c r="C464" s="89"/>
      <c r="D464" s="89"/>
      <c r="E464" s="112"/>
      <c r="F464" s="220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8"/>
      <c r="AU464" s="45"/>
    </row>
    <row r="465" spans="1:47" ht="12" customHeight="1">
      <c r="A465" s="125"/>
      <c r="B465" s="93"/>
      <c r="C465" s="89"/>
      <c r="D465" s="89"/>
      <c r="E465" s="112"/>
      <c r="F465" s="220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8"/>
      <c r="AU465" s="45"/>
    </row>
    <row r="466" spans="1:47" ht="12" customHeight="1">
      <c r="A466" s="125"/>
      <c r="B466" s="93"/>
      <c r="C466" s="89"/>
      <c r="D466" s="89"/>
      <c r="E466" s="112"/>
      <c r="F466" s="220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7"/>
      <c r="AI466" s="100"/>
      <c r="AJ466" s="100"/>
      <c r="AK466" s="128"/>
      <c r="AU466" s="45"/>
    </row>
    <row r="467" spans="1:47" ht="12" customHeight="1">
      <c r="A467" s="125"/>
      <c r="B467" s="93"/>
      <c r="C467" s="89"/>
      <c r="D467" s="89"/>
      <c r="E467" s="112"/>
      <c r="F467" s="220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8"/>
      <c r="AU467" s="45"/>
    </row>
    <row r="468" spans="1:47" ht="12" customHeight="1">
      <c r="A468" s="125"/>
      <c r="B468" s="93"/>
      <c r="C468" s="89"/>
      <c r="D468" s="89"/>
      <c r="E468" s="112"/>
      <c r="F468" s="220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8"/>
      <c r="AU468" s="45"/>
    </row>
    <row r="469" spans="1:47" ht="12" customHeight="1">
      <c r="A469" s="125"/>
      <c r="B469" s="93"/>
      <c r="C469" s="89"/>
      <c r="D469" s="89"/>
      <c r="E469" s="112"/>
      <c r="F469" s="220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7"/>
      <c r="AI469" s="100"/>
      <c r="AJ469" s="100"/>
      <c r="AK469" s="128"/>
      <c r="AU469" s="45"/>
    </row>
    <row r="470" spans="1:47" ht="12" customHeight="1">
      <c r="A470" s="125"/>
      <c r="B470" s="93"/>
      <c r="C470" s="89"/>
      <c r="D470" s="89"/>
      <c r="E470" s="112"/>
      <c r="F470" s="220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8"/>
      <c r="AU470" s="45"/>
    </row>
    <row r="471" spans="1:47" ht="12" customHeight="1">
      <c r="A471" s="125"/>
      <c r="B471" s="93"/>
      <c r="C471" s="89"/>
      <c r="D471" s="89"/>
      <c r="E471" s="112"/>
      <c r="F471" s="220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8"/>
      <c r="AU471" s="45"/>
    </row>
    <row r="472" spans="1:47" ht="12" customHeight="1">
      <c r="A472" s="125"/>
      <c r="B472" s="93"/>
      <c r="C472" s="89"/>
      <c r="D472" s="89"/>
      <c r="E472" s="112"/>
      <c r="F472" s="220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8"/>
      <c r="AU472" s="45"/>
    </row>
    <row r="473" spans="1:47" ht="12" customHeight="1">
      <c r="A473" s="125"/>
      <c r="B473" s="93"/>
      <c r="C473" s="89"/>
      <c r="D473" s="89"/>
      <c r="E473" s="112"/>
      <c r="F473" s="220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8"/>
      <c r="AU473" s="45"/>
    </row>
    <row r="474" spans="1:47" ht="12" customHeight="1">
      <c r="A474" s="125"/>
      <c r="B474" s="93"/>
      <c r="C474" s="89"/>
      <c r="D474" s="89"/>
      <c r="E474" s="112"/>
      <c r="F474" s="220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8"/>
      <c r="AU474" s="45"/>
    </row>
    <row r="475" spans="1:47" ht="12" customHeight="1">
      <c r="A475" s="125"/>
      <c r="B475" s="93"/>
      <c r="C475" s="89"/>
      <c r="D475" s="89"/>
      <c r="E475" s="112"/>
      <c r="F475" s="220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8"/>
      <c r="AU475" s="45"/>
    </row>
    <row r="476" spans="1:47" ht="12" customHeight="1">
      <c r="A476" s="125"/>
      <c r="B476" s="93"/>
      <c r="C476" s="89"/>
      <c r="D476" s="89"/>
      <c r="E476" s="112"/>
      <c r="F476" s="220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8"/>
      <c r="AU476" s="45"/>
    </row>
    <row r="477" spans="1:47" ht="12" customHeight="1">
      <c r="A477" s="125"/>
      <c r="B477" s="93"/>
      <c r="C477" s="89"/>
      <c r="D477" s="89"/>
      <c r="E477" s="112"/>
      <c r="F477" s="220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8"/>
      <c r="AU477" s="45"/>
    </row>
    <row r="478" spans="1:47" ht="12" customHeight="1">
      <c r="A478" s="125"/>
      <c r="B478" s="93"/>
      <c r="C478" s="89"/>
      <c r="D478" s="89"/>
      <c r="E478" s="112"/>
      <c r="F478" s="220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8"/>
      <c r="AU478" s="45"/>
    </row>
    <row r="479" spans="1:47" ht="12" customHeight="1">
      <c r="A479" s="125"/>
      <c r="B479" s="93"/>
      <c r="C479" s="89"/>
      <c r="D479" s="89"/>
      <c r="E479" s="112"/>
      <c r="F479" s="220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8"/>
      <c r="AU479" s="45"/>
    </row>
    <row r="480" spans="1:47" ht="12" customHeight="1">
      <c r="A480" s="125"/>
      <c r="B480" s="93"/>
      <c r="C480" s="89"/>
      <c r="D480" s="89"/>
      <c r="E480" s="112"/>
      <c r="F480" s="220"/>
      <c r="G480" s="92"/>
      <c r="H480" s="93"/>
      <c r="I480" s="92"/>
      <c r="J480" s="126"/>
      <c r="K480" s="89"/>
      <c r="L480" s="89"/>
      <c r="M480" s="89"/>
      <c r="N480" s="89"/>
      <c r="O480" s="91"/>
      <c r="P480" s="95"/>
      <c r="Q480" s="144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8"/>
      <c r="AU480" s="45"/>
    </row>
    <row r="481" spans="1:47" ht="12" customHeight="1">
      <c r="A481" s="125"/>
      <c r="B481" s="93"/>
      <c r="C481" s="89"/>
      <c r="D481" s="89"/>
      <c r="E481" s="112"/>
      <c r="F481" s="220"/>
      <c r="G481" s="92"/>
      <c r="H481" s="93"/>
      <c r="I481" s="92"/>
      <c r="J481" s="126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8"/>
      <c r="AU481" s="45"/>
    </row>
    <row r="482" spans="1:47" ht="12" customHeight="1">
      <c r="A482" s="129"/>
      <c r="B482" s="130"/>
      <c r="C482" s="131"/>
      <c r="D482" s="131"/>
      <c r="E482" s="132"/>
      <c r="F482" s="221"/>
      <c r="G482" s="134"/>
      <c r="H482" s="130"/>
      <c r="I482" s="134"/>
      <c r="J482" s="135"/>
      <c r="K482" s="131"/>
      <c r="L482" s="131"/>
      <c r="M482" s="131"/>
      <c r="N482" s="131"/>
      <c r="O482" s="133"/>
      <c r="P482" s="136"/>
      <c r="Q482" s="146"/>
      <c r="R482" s="137"/>
      <c r="S482" s="138"/>
      <c r="T482" s="138"/>
      <c r="U482" s="138"/>
      <c r="V482" s="130"/>
      <c r="W482" s="139"/>
      <c r="X482" s="131"/>
      <c r="Y482" s="140"/>
      <c r="Z482" s="131"/>
      <c r="AA482" s="138"/>
      <c r="AB482" s="131"/>
      <c r="AC482" s="190"/>
      <c r="AD482" s="131"/>
      <c r="AE482" s="131"/>
      <c r="AF482" s="136"/>
      <c r="AG482" s="136"/>
      <c r="AH482" s="136"/>
      <c r="AI482" s="141"/>
      <c r="AJ482" s="141"/>
      <c r="AK482" s="142"/>
      <c r="AU482" s="45"/>
    </row>
    <row r="483" spans="1:47" ht="12" customHeight="1">
      <c r="A483" s="129"/>
      <c r="B483" s="93"/>
      <c r="C483" s="131"/>
      <c r="D483" s="131"/>
      <c r="E483" s="112"/>
      <c r="F483" s="220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8"/>
      <c r="AU483" s="45"/>
    </row>
    <row r="484" spans="1:47" ht="12" customHeight="1">
      <c r="A484" s="129"/>
      <c r="B484" s="93"/>
      <c r="C484" s="131"/>
      <c r="D484" s="131"/>
      <c r="E484" s="112"/>
      <c r="F484" s="220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8"/>
      <c r="AU484" s="45"/>
    </row>
    <row r="485" spans="1:47" ht="12" customHeight="1">
      <c r="A485" s="129"/>
      <c r="B485" s="93"/>
      <c r="C485" s="131"/>
      <c r="D485" s="131"/>
      <c r="E485" s="112"/>
      <c r="F485" s="220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8"/>
      <c r="AU485" s="45"/>
    </row>
    <row r="486" spans="1:47" ht="12" customHeight="1">
      <c r="A486" s="129"/>
      <c r="B486" s="93"/>
      <c r="C486" s="131"/>
      <c r="D486" s="131"/>
      <c r="E486" s="112"/>
      <c r="F486" s="220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8"/>
      <c r="AU486" s="45"/>
    </row>
    <row r="487" spans="1:47" ht="12" customHeight="1">
      <c r="A487" s="129"/>
      <c r="B487" s="93"/>
      <c r="C487" s="131"/>
      <c r="D487" s="131"/>
      <c r="E487" s="112"/>
      <c r="F487" s="220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8"/>
      <c r="AU487" s="45"/>
    </row>
    <row r="488" spans="1:47" ht="12" customHeight="1">
      <c r="A488" s="129"/>
      <c r="B488" s="93"/>
      <c r="C488" s="131"/>
      <c r="D488" s="131"/>
      <c r="E488" s="112"/>
      <c r="F488" s="220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8"/>
      <c r="AU488" s="45"/>
    </row>
    <row r="489" spans="1:47" ht="12" customHeight="1">
      <c r="A489" s="129"/>
      <c r="B489" s="93"/>
      <c r="C489" s="131"/>
      <c r="D489" s="131"/>
      <c r="E489" s="112"/>
      <c r="F489" s="220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8"/>
      <c r="AU489" s="45"/>
    </row>
    <row r="490" spans="1:47" ht="12" customHeight="1">
      <c r="A490" s="129"/>
      <c r="B490" s="93"/>
      <c r="C490" s="131"/>
      <c r="D490" s="131"/>
      <c r="E490" s="112"/>
      <c r="F490" s="220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8"/>
      <c r="AU490" s="45"/>
    </row>
    <row r="491" spans="1:47" ht="12" customHeight="1">
      <c r="A491" s="129"/>
      <c r="B491" s="93"/>
      <c r="C491" s="131"/>
      <c r="D491" s="131"/>
      <c r="E491" s="112"/>
      <c r="F491" s="220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8"/>
      <c r="AU491" s="45"/>
    </row>
    <row r="492" spans="1:47" ht="12" customHeight="1">
      <c r="A492" s="129"/>
      <c r="B492" s="93"/>
      <c r="C492" s="131"/>
      <c r="D492" s="131"/>
      <c r="E492" s="112"/>
      <c r="F492" s="220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8"/>
      <c r="AU492" s="45"/>
    </row>
    <row r="493" spans="1:47" ht="12" customHeight="1">
      <c r="A493" s="129"/>
      <c r="B493" s="93"/>
      <c r="C493" s="131"/>
      <c r="D493" s="131"/>
      <c r="E493" s="112"/>
      <c r="F493" s="220"/>
      <c r="G493" s="92"/>
      <c r="H493" s="93"/>
      <c r="I493" s="92"/>
      <c r="J493" s="135"/>
      <c r="K493" s="89"/>
      <c r="L493" s="89"/>
      <c r="M493" s="89"/>
      <c r="N493" s="89"/>
      <c r="O493" s="91"/>
      <c r="P493" s="95"/>
      <c r="Q493" s="144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8"/>
      <c r="AU493" s="45"/>
    </row>
    <row r="494" spans="1:47" ht="12" customHeight="1">
      <c r="A494" s="129"/>
      <c r="B494" s="93"/>
      <c r="C494" s="131"/>
      <c r="D494" s="131"/>
      <c r="E494" s="112"/>
      <c r="F494" s="220"/>
      <c r="G494" s="92"/>
      <c r="H494" s="93"/>
      <c r="I494" s="92"/>
      <c r="J494" s="135"/>
      <c r="K494" s="89"/>
      <c r="L494" s="89"/>
      <c r="M494" s="89"/>
      <c r="N494" s="89"/>
      <c r="O494" s="91"/>
      <c r="P494" s="95"/>
      <c r="Q494" s="144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8"/>
      <c r="AU494" s="45"/>
    </row>
    <row r="495" spans="1:47" ht="12" customHeight="1">
      <c r="A495" s="129"/>
      <c r="B495" s="93"/>
      <c r="C495" s="131"/>
      <c r="D495" s="131"/>
      <c r="E495" s="132"/>
      <c r="F495" s="221"/>
      <c r="G495" s="134"/>
      <c r="H495" s="130"/>
      <c r="I495" s="134"/>
      <c r="J495" s="135"/>
      <c r="K495" s="131"/>
      <c r="L495" s="131"/>
      <c r="M495" s="131"/>
      <c r="N495" s="131"/>
      <c r="O495" s="133"/>
      <c r="P495" s="136"/>
      <c r="Q495" s="144"/>
      <c r="R495" s="137"/>
      <c r="S495" s="138"/>
      <c r="T495" s="97"/>
      <c r="U495" s="97"/>
      <c r="V495" s="130"/>
      <c r="W495" s="139"/>
      <c r="X495" s="131"/>
      <c r="Y495" s="140"/>
      <c r="Z495" s="131"/>
      <c r="AA495" s="138"/>
      <c r="AB495" s="131"/>
      <c r="AC495" s="190"/>
      <c r="AD495" s="131"/>
      <c r="AE495" s="131"/>
      <c r="AF495" s="136"/>
      <c r="AG495" s="136"/>
      <c r="AH495" s="136"/>
      <c r="AI495" s="141"/>
      <c r="AJ495" s="141"/>
      <c r="AK495" s="142"/>
      <c r="AU495" s="45"/>
    </row>
    <row r="496" spans="1:47" ht="12" customHeight="1">
      <c r="A496" s="87"/>
      <c r="B496" s="88"/>
      <c r="C496" s="91"/>
      <c r="D496" s="89"/>
      <c r="E496" s="112"/>
      <c r="F496" s="220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0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0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124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0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124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0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0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0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0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0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0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124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0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124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0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0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0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0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0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0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0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0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0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0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93"/>
      <c r="W516" s="124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0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0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88"/>
      <c r="W518" s="124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0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88"/>
      <c r="W519" s="124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0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0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93"/>
      <c r="W521" s="124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0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93"/>
      <c r="W522" s="124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0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0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0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0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4"/>
      <c r="R526" s="96"/>
      <c r="S526" s="97"/>
      <c r="T526" s="97"/>
      <c r="U526" s="97"/>
      <c r="V526" s="88"/>
      <c r="W526" s="124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88"/>
      <c r="C527" s="91"/>
      <c r="D527" s="89"/>
      <c r="E527" s="112"/>
      <c r="F527" s="220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4"/>
      <c r="R527" s="96"/>
      <c r="S527" s="97"/>
      <c r="T527" s="97"/>
      <c r="U527" s="97"/>
      <c r="V527" s="88"/>
      <c r="W527" s="124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0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0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0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0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0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0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0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0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0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0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0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0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0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0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0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0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0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0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0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0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0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0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0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0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0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0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0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0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0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0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0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4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0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4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0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0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0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0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0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0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0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0"/>
      <c r="G567" s="92"/>
      <c r="H567" s="93"/>
      <c r="I567" s="92"/>
      <c r="J567" s="89"/>
      <c r="K567" s="89"/>
      <c r="L567" s="89"/>
      <c r="M567" s="89"/>
      <c r="N567" s="89"/>
      <c r="O567" s="91"/>
      <c r="P567" s="143"/>
      <c r="Q567" s="144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568" s="87"/>
      <c r="B568" s="93"/>
      <c r="C568" s="91"/>
      <c r="D568" s="89"/>
      <c r="E568" s="112"/>
      <c r="F568" s="220"/>
      <c r="G568" s="92"/>
      <c r="H568" s="93"/>
      <c r="I568" s="92"/>
      <c r="J568" s="89"/>
      <c r="K568" s="89"/>
      <c r="L568" s="89"/>
      <c r="M568" s="89"/>
      <c r="N568" s="89"/>
      <c r="O568" s="91"/>
      <c r="P568" s="143"/>
      <c r="Q568" s="144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  <row r="6867" spans="47:47" ht="12" customHeight="1">
      <c r="AU6867" s="45"/>
    </row>
  </sheetData>
  <autoFilter ref="A1:AU209" xr:uid="{9931A248-8A11-4D8E-BACD-A0C0D59E4D18}">
    <filterColumn colId="16">
      <filters>
        <filter val="1. Aceitou o programa"/>
      </filters>
    </filterColumn>
    <filterColumn colId="17">
      <filters>
        <dateGroupItem year="2026" month="6" dateTimeGrouping="month"/>
      </filters>
    </filterColumn>
  </autoFilter>
  <conditionalFormatting sqref="A1:A568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69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169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169">
    <cfRule type="duplicateValues" dxfId="16" priority="19"/>
  </conditionalFormatting>
  <conditionalFormatting sqref="F24:F395">
    <cfRule type="duplicateValues" dxfId="15" priority="147"/>
  </conditionalFormatting>
  <conditionalFormatting sqref="F396:F495">
    <cfRule type="duplicateValues" dxfId="14" priority="21"/>
    <cfRule type="duplicateValues" dxfId="13" priority="22"/>
  </conditionalFormatting>
  <conditionalFormatting sqref="F496:F568">
    <cfRule type="duplicateValues" dxfId="12" priority="23"/>
  </conditionalFormatting>
  <conditionalFormatting sqref="F569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210" t="s">
        <v>37</v>
      </c>
      <c r="C2" s="81" t="s">
        <v>64</v>
      </c>
    </row>
    <row r="3" spans="1:31" hidden="1">
      <c r="B3" s="210" t="s">
        <v>2</v>
      </c>
      <c r="C3" s="81"/>
      <c r="F3" s="40"/>
    </row>
    <row r="4" spans="1:31" hidden="1">
      <c r="B4" s="210" t="s">
        <v>522</v>
      </c>
      <c r="C4" s="81" t="s">
        <v>523</v>
      </c>
      <c r="F4" s="40"/>
    </row>
    <row r="5" spans="1:31" hidden="1">
      <c r="F5" s="40"/>
    </row>
    <row r="6" spans="1:31" hidden="1">
      <c r="F6" s="40"/>
    </row>
    <row r="7" spans="1:31" hidden="1">
      <c r="B7" s="211" t="s">
        <v>38</v>
      </c>
      <c r="C7" s="82">
        <v>46143</v>
      </c>
      <c r="D7" t="s">
        <v>524</v>
      </c>
    </row>
    <row r="8" spans="1:31" hidden="1"/>
    <row r="9" spans="1:31" hidden="1">
      <c r="B9" s="212" t="s">
        <v>525</v>
      </c>
      <c r="C9" s="78">
        <v>46023</v>
      </c>
    </row>
    <row r="10" spans="1:31" hidden="1">
      <c r="B10" s="212" t="s">
        <v>526</v>
      </c>
      <c r="C10" s="78">
        <v>46165</v>
      </c>
    </row>
    <row r="11" spans="1:31" hidden="1"/>
    <row r="12" spans="1:31" s="218" customFormat="1">
      <c r="A12" s="216"/>
      <c r="B12" s="217" t="s">
        <v>527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36" t="s">
        <v>16</v>
      </c>
      <c r="C14" s="175" t="s">
        <v>39</v>
      </c>
      <c r="D14" s="175"/>
      <c r="E14" s="175"/>
      <c r="F14" s="175"/>
      <c r="G14" s="175"/>
      <c r="H14" s="175" t="s">
        <v>528</v>
      </c>
      <c r="I14" s="175"/>
      <c r="K14" s="236" t="s">
        <v>529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530</v>
      </c>
      <c r="U14" s="77" t="s">
        <v>531</v>
      </c>
      <c r="W14" s="185" t="s">
        <v>529</v>
      </c>
      <c r="X14" s="185"/>
      <c r="Y14" s="185"/>
    </row>
    <row r="15" spans="1:31">
      <c r="B15" s="236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530</v>
      </c>
      <c r="I15" s="175" t="s">
        <v>531</v>
      </c>
      <c r="K15" s="236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528</v>
      </c>
      <c r="S15" s="192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110</v>
      </c>
      <c r="U15" s="80">
        <f t="shared" ref="U15:U40" si="0">IFERROR(T15/$T$40,0)</f>
        <v>0.6586826347305389</v>
      </c>
      <c r="W15" s="186" t="s">
        <v>532</v>
      </c>
      <c r="X15" s="186"/>
      <c r="Y15" s="187">
        <f>IFERROR(T15/T40,0)</f>
        <v>0.6586826347305389</v>
      </c>
    </row>
    <row r="16" spans="1:31">
      <c r="B16" s="193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3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11</v>
      </c>
      <c r="I16" s="49">
        <f t="shared" ref="I16:I41" si="1">+IFERROR(H16/$H$41,0)</f>
        <v>0.52380952380952384</v>
      </c>
      <c r="K16" s="36" t="s">
        <v>523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205" t="s">
        <v>533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534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22.9</v>
      </c>
    </row>
    <row r="17" spans="2:25">
      <c r="B17" s="194" t="s">
        <v>533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3</v>
      </c>
      <c r="P17" s="38">
        <f t="shared" si="4"/>
        <v>1</v>
      </c>
      <c r="Q17" s="39">
        <f t="shared" si="4"/>
        <v>11</v>
      </c>
      <c r="S17" s="192" t="s">
        <v>535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536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17.574999999999999</v>
      </c>
    </row>
    <row r="18" spans="2:25">
      <c r="B18" s="193" t="s">
        <v>535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532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0.5</v>
      </c>
      <c r="P18" s="41">
        <f t="shared" si="5"/>
        <v>0.25</v>
      </c>
      <c r="Q18" s="49">
        <f t="shared" si="5"/>
        <v>0.52380952380952384</v>
      </c>
      <c r="S18" s="205" t="s">
        <v>537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538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13.060897426994275</v>
      </c>
    </row>
    <row r="19" spans="2:25">
      <c r="B19" s="194" t="s">
        <v>537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534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13.666666666666666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8</v>
      </c>
      <c r="Q19" s="180">
        <f>IFERROR(SUMIFS(Consolidado!AQ:AQ,Consolidado!$AM:$AM,Análise!$C$7,Consolidado!$AL:$AL,IF(ISBLANK($C$2),"&lt;&gt;",$C$2),Consolidado!$C:$C,IF(ISBLANK($C$3),"&lt;&gt;",$C$3))/$Q17,0)</f>
        <v>9.8181818181818183</v>
      </c>
      <c r="S19" s="192" t="s">
        <v>539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540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3" t="s">
        <v>539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536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7.166666666666667</v>
      </c>
      <c r="S20" s="205" t="s">
        <v>541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542</v>
      </c>
      <c r="X20" s="207"/>
      <c r="Y20" s="208">
        <f>IFERROR((T15+T37)/T40,"")</f>
        <v>0.68862275449101795</v>
      </c>
    </row>
    <row r="21" spans="2:25">
      <c r="B21" s="194" t="s">
        <v>541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538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9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8</v>
      </c>
      <c r="S21" s="192" t="s">
        <v>543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543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544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545</v>
      </c>
      <c r="X22" s="77" t="s">
        <v>530</v>
      </c>
      <c r="Y22" s="77" t="s">
        <v>531</v>
      </c>
    </row>
    <row r="23" spans="2:25">
      <c r="B23" s="194" t="s">
        <v>544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546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35</v>
      </c>
      <c r="Y23" s="80">
        <f>IFERROR(X23/SUM($X$23:$X$24),"")</f>
        <v>0.31818181818181818</v>
      </c>
    </row>
    <row r="24" spans="2:25">
      <c r="B24" s="193" t="s">
        <v>546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6" t="s">
        <v>529</v>
      </c>
      <c r="L24" s="175" t="s">
        <v>39</v>
      </c>
      <c r="M24" s="175"/>
      <c r="N24" s="175"/>
      <c r="O24" s="175"/>
      <c r="P24" s="175"/>
      <c r="Q24" s="175"/>
      <c r="S24" s="205" t="s">
        <v>547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75</v>
      </c>
      <c r="Y24" s="182">
        <f>IFERROR(X24/SUM($X$23:$X$24),"")</f>
        <v>0.68181818181818177</v>
      </c>
    </row>
    <row r="25" spans="2:25">
      <c r="B25" s="194" t="s">
        <v>547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6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528</v>
      </c>
      <c r="S25" s="192" t="s">
        <v>548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548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540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5" t="s">
        <v>549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549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550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550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2">
        <f t="shared" si="0"/>
        <v>1.7964071856287425E-2</v>
      </c>
    </row>
    <row r="29" spans="2:25">
      <c r="B29" s="194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6" t="s">
        <v>529</v>
      </c>
      <c r="L29" s="175" t="s">
        <v>39</v>
      </c>
      <c r="M29" s="175"/>
      <c r="N29" s="175"/>
      <c r="O29" s="175"/>
      <c r="P29" s="175"/>
      <c r="Q29" s="175"/>
      <c r="S29" s="192" t="s">
        <v>551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551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6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528</v>
      </c>
      <c r="S30" s="205" t="s">
        <v>552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552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542</v>
      </c>
      <c r="L31" s="182" t="str">
        <f t="shared" ref="L31:Q31" si="6">IFERROR((C16+C38)/C41,"")</f>
        <v/>
      </c>
      <c r="M31" s="182">
        <f t="shared" si="6"/>
        <v>0.7142857142857143</v>
      </c>
      <c r="N31" s="182">
        <f t="shared" si="6"/>
        <v>1</v>
      </c>
      <c r="O31" s="182">
        <f t="shared" si="6"/>
        <v>1</v>
      </c>
      <c r="P31" s="182">
        <f t="shared" si="6"/>
        <v>1</v>
      </c>
      <c r="Q31" s="183">
        <f t="shared" si="6"/>
        <v>0.90476190476190477</v>
      </c>
      <c r="S31" s="192" t="s">
        <v>553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553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554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554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555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3" t="s">
        <v>555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545</v>
      </c>
      <c r="L34" s="37" t="s">
        <v>530</v>
      </c>
      <c r="M34" s="175" t="s">
        <v>531</v>
      </c>
      <c r="S34" s="205" t="s">
        <v>556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556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</v>
      </c>
      <c r="M35" s="41">
        <f>IFERROR(L35/SUM($L$35:$L$36),"")</f>
        <v>0.18181818181818182</v>
      </c>
      <c r="S35" s="192" t="s">
        <v>557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557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9</v>
      </c>
      <c r="M36" s="42">
        <f>IFERROR(L36/SUM($L$35:$L$36),"")</f>
        <v>0.81818181818181823</v>
      </c>
      <c r="S36" s="205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49</v>
      </c>
      <c r="U36" s="182">
        <f t="shared" si="0"/>
        <v>0.29341317365269459</v>
      </c>
    </row>
    <row r="37" spans="1:31">
      <c r="B37" s="194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92" t="s">
        <v>457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2.9940119760479042E-2</v>
      </c>
    </row>
    <row r="38" spans="1:31">
      <c r="B38" s="193" t="s">
        <v>457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3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3</v>
      </c>
      <c r="H38" s="44">
        <f t="shared" si="3"/>
        <v>8</v>
      </c>
      <c r="I38" s="49">
        <f t="shared" si="1"/>
        <v>0.38095238095238093</v>
      </c>
      <c r="S38" s="205" t="s">
        <v>558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558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559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559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523</v>
      </c>
      <c r="T40" s="39">
        <f>SUM(T15:T39)</f>
        <v>167</v>
      </c>
      <c r="U40" s="183">
        <f t="shared" si="0"/>
        <v>1</v>
      </c>
    </row>
    <row r="41" spans="1:31">
      <c r="B41" s="39" t="s">
        <v>523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218" customFormat="1">
      <c r="A43" s="216"/>
      <c r="B43" s="217" t="s">
        <v>560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36" t="s">
        <v>16</v>
      </c>
      <c r="C45" s="175" t="s">
        <v>39</v>
      </c>
      <c r="D45" s="175"/>
      <c r="E45" s="175"/>
      <c r="F45" s="175"/>
      <c r="G45" s="175"/>
      <c r="H45" s="237" t="s">
        <v>528</v>
      </c>
    </row>
    <row r="46" spans="1:31">
      <c r="B46" s="236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8"/>
    </row>
    <row r="47" spans="1:31">
      <c r="B47" s="193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>
      <c r="B49" s="77" t="s">
        <v>16</v>
      </c>
      <c r="C49" s="77" t="s">
        <v>561</v>
      </c>
    </row>
    <row r="50" spans="1:31">
      <c r="B50" s="192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101</v>
      </c>
    </row>
    <row r="52" spans="1:31" s="218" customFormat="1">
      <c r="A52" s="216"/>
      <c r="B52" s="217" t="s">
        <v>562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32" t="s">
        <v>563</v>
      </c>
      <c r="C54" s="175" t="s">
        <v>39</v>
      </c>
      <c r="D54" s="175"/>
      <c r="E54" s="175"/>
      <c r="F54" s="175"/>
      <c r="G54" s="175"/>
      <c r="H54" s="175"/>
      <c r="K54" s="233" t="s">
        <v>563</v>
      </c>
      <c r="L54" s="234" t="s">
        <v>561</v>
      </c>
    </row>
    <row r="55" spans="1:31">
      <c r="B55" s="23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523</v>
      </c>
      <c r="K55" s="233"/>
      <c r="L55" s="235"/>
    </row>
    <row r="56" spans="1:31">
      <c r="B56" s="47" t="s">
        <v>378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3" t="s">
        <v>378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>
      <c r="B57" s="48" t="s">
        <v>564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564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565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565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>
      <c r="B60" s="47" t="s">
        <v>566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3" t="s">
        <v>566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>
      <c r="B62" s="47" t="s">
        <v>523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3" t="s">
        <v>523</v>
      </c>
      <c r="L62" s="204">
        <f>SUM(L56:L61)</f>
        <v>9</v>
      </c>
    </row>
    <row r="64" spans="1:31">
      <c r="B64" s="232" t="s">
        <v>567</v>
      </c>
      <c r="C64" s="175" t="s">
        <v>39</v>
      </c>
      <c r="D64" s="175"/>
      <c r="E64" s="175"/>
      <c r="F64" s="175"/>
      <c r="G64" s="175"/>
      <c r="H64" s="175"/>
      <c r="K64" s="233" t="s">
        <v>567</v>
      </c>
      <c r="L64" s="234" t="s">
        <v>561</v>
      </c>
    </row>
    <row r="65" spans="1:31">
      <c r="B65" s="23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523</v>
      </c>
      <c r="K65" s="233"/>
      <c r="L65" s="235"/>
    </row>
    <row r="66" spans="1:31">
      <c r="B66" s="47" t="s">
        <v>378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3" t="s">
        <v>378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564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564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568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3" t="s">
        <v>568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569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570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528</v>
      </c>
      <c r="K72" s="76" t="s">
        <v>570</v>
      </c>
      <c r="L72" s="213" t="s">
        <v>561</v>
      </c>
    </row>
    <row r="73" spans="1:31">
      <c r="B73" s="47" t="s">
        <v>571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3" t="s">
        <v>571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>
      <c r="B76" s="48" t="s">
        <v>523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523</v>
      </c>
      <c r="L76" s="39">
        <f>SUM(L73:L75)</f>
        <v>24</v>
      </c>
    </row>
    <row r="78" spans="1:31">
      <c r="B78" s="35" t="s">
        <v>572</v>
      </c>
      <c r="C78" s="46" t="s">
        <v>528</v>
      </c>
      <c r="K78" s="76" t="s">
        <v>572</v>
      </c>
      <c r="L78" s="213" t="s">
        <v>561</v>
      </c>
    </row>
    <row r="79" spans="1:31">
      <c r="B79" s="47" t="s">
        <v>571</v>
      </c>
      <c r="C79" s="49" t="str">
        <f>IFERROR(H73/$H$76,"")</f>
        <v/>
      </c>
      <c r="K79" s="203" t="s">
        <v>571</v>
      </c>
      <c r="L79" s="214">
        <f>IFERROR(L73/$L$76,"")</f>
        <v>0</v>
      </c>
    </row>
    <row r="80" spans="1:31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>
      <c r="B81" s="47" t="s">
        <v>236</v>
      </c>
      <c r="C81" s="51" t="str">
        <f>IFERROR(H75/$H$76,"")</f>
        <v/>
      </c>
      <c r="K81" s="203" t="s">
        <v>236</v>
      </c>
      <c r="L81" s="215">
        <f>IFERROR(L75/$L$76,"")</f>
        <v>8.3333333333333329E-2</v>
      </c>
    </row>
    <row r="83" spans="1:31" s="218" customFormat="1">
      <c r="A83" s="216"/>
      <c r="B83" s="217" t="s">
        <v>573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</row>
    <row r="85" spans="1:31">
      <c r="B85" s="35" t="s">
        <v>574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528</v>
      </c>
      <c r="K85" s="76" t="s">
        <v>574</v>
      </c>
      <c r="L85" s="213" t="s">
        <v>561</v>
      </c>
    </row>
    <row r="86" spans="1:31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3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2</v>
      </c>
      <c r="H86" s="44">
        <f>SUM(C86:G86)</f>
        <v>12</v>
      </c>
      <c r="K86" s="203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>
      <c r="B87" s="48" t="s">
        <v>575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575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576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3" t="s">
        <v>576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523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3</v>
      </c>
      <c r="G89" s="39">
        <f t="shared" si="12"/>
        <v>2</v>
      </c>
      <c r="H89" s="39">
        <f t="shared" si="12"/>
        <v>12</v>
      </c>
      <c r="K89" s="48" t="s">
        <v>523</v>
      </c>
      <c r="L89" s="39">
        <f>SUM(L86:L88)</f>
        <v>113</v>
      </c>
    </row>
    <row r="91" spans="1:31">
      <c r="B91" s="35" t="s">
        <v>577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528</v>
      </c>
      <c r="K91" s="76" t="s">
        <v>577</v>
      </c>
      <c r="L91" s="213" t="s">
        <v>561</v>
      </c>
    </row>
    <row r="92" spans="1:31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3</v>
      </c>
      <c r="K92" s="203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42</v>
      </c>
    </row>
    <row r="93" spans="1:31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>
      <c r="B94" s="47" t="s">
        <v>578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3" t="s">
        <v>578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65</v>
      </c>
    </row>
    <row r="96" spans="1:31">
      <c r="B96" s="47" t="s">
        <v>576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3" t="s">
        <v>576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579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579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523</v>
      </c>
      <c r="C98" s="44">
        <f t="shared" ref="C98:H98" si="14">SUM(C92:C97)</f>
        <v>0</v>
      </c>
      <c r="D98" s="44">
        <f t="shared" si="14"/>
        <v>5</v>
      </c>
      <c r="E98" s="44">
        <f t="shared" si="14"/>
        <v>2</v>
      </c>
      <c r="F98" s="44">
        <f t="shared" si="14"/>
        <v>2</v>
      </c>
      <c r="G98" s="44">
        <f t="shared" si="14"/>
        <v>0</v>
      </c>
      <c r="H98" s="44">
        <f t="shared" si="14"/>
        <v>9</v>
      </c>
      <c r="K98" s="203" t="s">
        <v>523</v>
      </c>
      <c r="L98" s="204">
        <f>SUM(L92:L97)</f>
        <v>110</v>
      </c>
    </row>
    <row r="100" spans="1:31" s="218" customFormat="1">
      <c r="A100" s="216"/>
      <c r="B100" s="217" t="s">
        <v>580</v>
      </c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</row>
    <row r="101" spans="1:31">
      <c r="E101" s="40"/>
      <c r="F101" s="40"/>
    </row>
    <row r="102" spans="1:31">
      <c r="B102" s="232" t="s">
        <v>3</v>
      </c>
      <c r="C102" s="175" t="s">
        <v>39</v>
      </c>
      <c r="D102" s="175"/>
      <c r="E102" s="175"/>
      <c r="F102" s="175"/>
      <c r="G102" s="175"/>
      <c r="H102" s="175"/>
      <c r="K102" s="233" t="s">
        <v>3</v>
      </c>
      <c r="L102" s="234" t="s">
        <v>561</v>
      </c>
    </row>
    <row r="103" spans="1:31">
      <c r="B103" s="232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523</v>
      </c>
      <c r="K103" s="233"/>
      <c r="L103" s="235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203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>
      <c r="B105" s="48" t="s">
        <v>581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581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403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203" t="s">
        <v>403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582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582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583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3" t="s">
        <v>583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584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584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585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3" t="s">
        <v>585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523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523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58" sqref="H5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586</v>
      </c>
      <c r="G1" s="53"/>
      <c r="H1" s="154" t="s">
        <v>37</v>
      </c>
      <c r="I1" s="153" t="s">
        <v>587</v>
      </c>
      <c r="K1" s="71" t="s">
        <v>588</v>
      </c>
      <c r="L1" s="53"/>
      <c r="M1" s="54" t="s">
        <v>37</v>
      </c>
      <c r="N1" s="55" t="s">
        <v>589</v>
      </c>
      <c r="P1" s="157" t="s">
        <v>32</v>
      </c>
      <c r="R1" s="56" t="s">
        <v>590</v>
      </c>
      <c r="T1" s="74" t="s">
        <v>591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592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593</v>
      </c>
      <c r="D2" s="147" t="s">
        <v>594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595</v>
      </c>
      <c r="I2" s="149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595</v>
      </c>
      <c r="N2" s="150" t="s">
        <v>378</v>
      </c>
      <c r="P2" s="158" t="s">
        <v>378</v>
      </c>
      <c r="R2" s="59" t="s">
        <v>596</v>
      </c>
      <c r="T2" s="85" t="s">
        <v>571</v>
      </c>
      <c r="V2" s="170" t="s">
        <v>70</v>
      </c>
      <c r="X2" s="168" t="s">
        <v>57</v>
      </c>
      <c r="Z2" s="226" t="s">
        <v>71</v>
      </c>
      <c r="AB2" s="147" t="s">
        <v>60</v>
      </c>
      <c r="AD2" s="158" t="s">
        <v>61</v>
      </c>
      <c r="AF2" s="158" t="s">
        <v>85</v>
      </c>
      <c r="AH2" s="158" t="s">
        <v>47</v>
      </c>
      <c r="AJ2" s="158" t="s">
        <v>62</v>
      </c>
      <c r="AL2" s="158" t="s">
        <v>47</v>
      </c>
      <c r="AN2" s="173" t="s">
        <v>47</v>
      </c>
    </row>
    <row r="3" spans="2:40" ht="15" thickBot="1">
      <c r="D3" s="147" t="s">
        <v>48</v>
      </c>
      <c r="F3" s="68" t="str">
        <v>Casos Prioritário - E-mail</v>
      </c>
      <c r="H3" s="79" t="s">
        <v>595</v>
      </c>
      <c r="I3" s="149" t="s">
        <v>581</v>
      </c>
      <c r="K3" s="60" t="str">
        <v>Samaritano Higi</v>
      </c>
      <c r="M3" s="79" t="s">
        <v>595</v>
      </c>
      <c r="N3" s="150" t="s">
        <v>564</v>
      </c>
      <c r="P3" s="158" t="s">
        <v>564</v>
      </c>
      <c r="R3" s="59" t="s">
        <v>597</v>
      </c>
      <c r="T3" s="84" t="s">
        <v>75</v>
      </c>
      <c r="V3" s="170" t="s">
        <v>533</v>
      </c>
      <c r="X3" s="147" t="s">
        <v>183</v>
      </c>
      <c r="Z3" s="147" t="s">
        <v>458</v>
      </c>
      <c r="AB3" s="166" t="s">
        <v>598</v>
      </c>
      <c r="AD3" s="158" t="s">
        <v>118</v>
      </c>
      <c r="AF3" s="164" t="s">
        <v>73</v>
      </c>
      <c r="AH3" s="158" t="s">
        <v>65</v>
      </c>
      <c r="AJ3" s="162" t="s">
        <v>63</v>
      </c>
      <c r="AL3" s="158" t="s">
        <v>65</v>
      </c>
      <c r="AN3" s="173" t="s">
        <v>65</v>
      </c>
    </row>
    <row r="4" spans="2:40">
      <c r="D4" s="147" t="s">
        <v>66</v>
      </c>
      <c r="F4" s="68" t="str">
        <v>Forms Total Care</v>
      </c>
      <c r="H4" s="79" t="s">
        <v>595</v>
      </c>
      <c r="I4" s="149" t="s">
        <v>403</v>
      </c>
      <c r="K4" s="60" t="str">
        <v>COI -RJ</v>
      </c>
      <c r="M4" s="79" t="s">
        <v>595</v>
      </c>
      <c r="N4" s="150" t="s">
        <v>565</v>
      </c>
      <c r="P4" s="158" t="s">
        <v>568</v>
      </c>
      <c r="R4" s="59" t="s">
        <v>599</v>
      </c>
      <c r="T4" s="84" t="s">
        <v>236</v>
      </c>
      <c r="V4" s="170" t="s">
        <v>535</v>
      </c>
      <c r="X4" s="166" t="s">
        <v>600</v>
      </c>
      <c r="Z4" s="59" t="s">
        <v>58</v>
      </c>
      <c r="AD4" s="158" t="s">
        <v>578</v>
      </c>
      <c r="AF4" s="164" t="s">
        <v>377</v>
      </c>
      <c r="AH4" s="159"/>
      <c r="AJ4" s="159" t="s">
        <v>601</v>
      </c>
      <c r="AL4" s="158" t="s">
        <v>602</v>
      </c>
      <c r="AN4" s="174"/>
    </row>
    <row r="5" spans="2:40">
      <c r="D5" s="73" t="s">
        <v>603</v>
      </c>
      <c r="F5" s="68" t="str">
        <v>GSC</v>
      </c>
      <c r="H5" s="79" t="s">
        <v>595</v>
      </c>
      <c r="I5" s="149" t="s">
        <v>582</v>
      </c>
      <c r="K5" s="60" t="str">
        <v>Interno - Amil Geral</v>
      </c>
      <c r="M5" s="79" t="s">
        <v>595</v>
      </c>
      <c r="N5" s="150" t="s">
        <v>100</v>
      </c>
      <c r="P5" s="159" t="s">
        <v>604</v>
      </c>
      <c r="R5" s="59" t="s">
        <v>605</v>
      </c>
      <c r="T5" s="86" t="s">
        <v>602</v>
      </c>
      <c r="V5" s="170" t="s">
        <v>537</v>
      </c>
      <c r="Z5" s="59"/>
      <c r="AD5" s="158" t="s">
        <v>110</v>
      </c>
      <c r="AF5" s="159"/>
      <c r="AH5" s="83"/>
      <c r="AJ5" s="159" t="s">
        <v>65</v>
      </c>
      <c r="AL5" s="159"/>
    </row>
    <row r="6" spans="2:40">
      <c r="D6" s="73" t="s">
        <v>606</v>
      </c>
      <c r="F6" s="68" t="str">
        <v>Triggers</v>
      </c>
      <c r="H6" s="79" t="s">
        <v>595</v>
      </c>
      <c r="I6" s="149" t="s">
        <v>583</v>
      </c>
      <c r="K6" s="60" t="str">
        <v>Externo - Geral</v>
      </c>
      <c r="M6" s="79" t="s">
        <v>595</v>
      </c>
      <c r="N6" s="150" t="s">
        <v>566</v>
      </c>
      <c r="R6" s="59" t="s">
        <v>607</v>
      </c>
      <c r="V6" s="170" t="s">
        <v>539</v>
      </c>
      <c r="Z6" s="224"/>
      <c r="AD6" s="159" t="s">
        <v>576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595</v>
      </c>
      <c r="I7" s="149" t="s">
        <v>584</v>
      </c>
      <c r="K7" s="60" t="str">
        <v>Não Informou</v>
      </c>
      <c r="M7" s="79" t="s">
        <v>595</v>
      </c>
      <c r="N7" s="150" t="s">
        <v>74</v>
      </c>
      <c r="R7" s="59" t="s">
        <v>608</v>
      </c>
      <c r="V7" s="170" t="s">
        <v>541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595</v>
      </c>
      <c r="I8" s="149" t="s">
        <v>585</v>
      </c>
      <c r="K8" s="60" t="str">
        <v>CMDP - Centro Médico Dom Pedro</v>
      </c>
      <c r="M8" s="79" t="s">
        <v>595</v>
      </c>
      <c r="N8" s="150" t="s">
        <v>609</v>
      </c>
      <c r="R8" s="59" t="s">
        <v>610</v>
      </c>
      <c r="V8" s="170" t="s">
        <v>543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611</v>
      </c>
      <c r="I9" s="151" t="s">
        <v>612</v>
      </c>
      <c r="K9" s="60" t="str">
        <v>Outros</v>
      </c>
      <c r="M9" s="79" t="s">
        <v>595</v>
      </c>
      <c r="N9" s="150" t="s">
        <v>613</v>
      </c>
      <c r="R9" s="59" t="s">
        <v>614</v>
      </c>
      <c r="V9" s="170" t="s">
        <v>544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611</v>
      </c>
      <c r="I10" s="152" t="s">
        <v>615</v>
      </c>
      <c r="K10" s="60" t="str">
        <v>Amil - Hospital Ipiranga Arujá - Ambulatório </v>
      </c>
      <c r="M10" s="79" t="s">
        <v>595</v>
      </c>
      <c r="N10" s="150" t="s">
        <v>616</v>
      </c>
      <c r="R10" s="59" t="s">
        <v>617</v>
      </c>
      <c r="V10" s="170" t="s">
        <v>546</v>
      </c>
      <c r="Z10" s="1" t="s">
        <v>46</v>
      </c>
      <c r="AA10" s="1" t="s">
        <v>458</v>
      </c>
      <c r="AD10" s="83"/>
      <c r="AF10" s="83"/>
      <c r="AJ10" s="83"/>
      <c r="AL10" s="83"/>
    </row>
    <row r="11" spans="2:40">
      <c r="F11" s="68"/>
      <c r="H11" s="38" t="s">
        <v>611</v>
      </c>
      <c r="I11" s="152" t="s">
        <v>618</v>
      </c>
      <c r="K11" s="60" t="str">
        <v>Amil - Hospital Ipiranga Mogi - Ambulatório </v>
      </c>
      <c r="M11" s="79" t="s">
        <v>595</v>
      </c>
      <c r="N11" s="150" t="s">
        <v>619</v>
      </c>
      <c r="R11" s="59" t="s">
        <v>64</v>
      </c>
      <c r="V11" s="170" t="s">
        <v>547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>
      <c r="F12" s="68"/>
      <c r="H12" s="38" t="s">
        <v>611</v>
      </c>
      <c r="I12" s="152" t="s">
        <v>620</v>
      </c>
      <c r="K12" s="60" t="str">
        <v>Amil - Hospital Metropolitano - Centro Médico </v>
      </c>
      <c r="M12" s="79" t="s">
        <v>595</v>
      </c>
      <c r="N12" s="150" t="s">
        <v>621</v>
      </c>
      <c r="R12" s="59" t="s">
        <v>622</v>
      </c>
      <c r="V12" s="170" t="s">
        <v>548</v>
      </c>
      <c r="Z12" s="1" t="s">
        <v>458</v>
      </c>
      <c r="AA12" s="1" t="s">
        <v>458</v>
      </c>
      <c r="AD12" s="83"/>
      <c r="AF12" s="83"/>
      <c r="AH12" s="83"/>
      <c r="AJ12" s="83"/>
      <c r="AL12" s="83"/>
    </row>
    <row r="13" spans="2:40">
      <c r="F13" s="68"/>
      <c r="H13" s="38" t="s">
        <v>611</v>
      </c>
      <c r="I13" s="152" t="s">
        <v>623</v>
      </c>
      <c r="K13" s="60" t="str">
        <v>Amil - Hospital Paulistano - Ambulatório </v>
      </c>
      <c r="M13" s="79" t="s">
        <v>595</v>
      </c>
      <c r="N13" s="150" t="s">
        <v>624</v>
      </c>
      <c r="R13" s="59" t="s">
        <v>625</v>
      </c>
      <c r="V13" s="170" t="s">
        <v>549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>
      <c r="F14" s="68"/>
      <c r="H14" s="38" t="s">
        <v>611</v>
      </c>
      <c r="I14" s="58" t="s">
        <v>626</v>
      </c>
      <c r="K14" s="60" t="str">
        <v>Amil - Ud Cubatão Sp - Hospital Da Luz </v>
      </c>
      <c r="M14" s="79" t="s">
        <v>595</v>
      </c>
      <c r="N14" s="150" t="s">
        <v>97</v>
      </c>
      <c r="R14" s="59" t="s">
        <v>611</v>
      </c>
      <c r="V14" s="170" t="s">
        <v>550</v>
      </c>
      <c r="Z14" s="1" t="s">
        <v>523</v>
      </c>
      <c r="AA14" s="1" t="s">
        <v>71</v>
      </c>
      <c r="AD14" s="83"/>
      <c r="AF14" s="83"/>
      <c r="AH14" s="83"/>
      <c r="AJ14" s="83"/>
      <c r="AL14" s="83"/>
    </row>
    <row r="15" spans="2:40">
      <c r="F15" s="68"/>
      <c r="H15" s="38" t="s">
        <v>611</v>
      </c>
      <c r="I15" s="58" t="s">
        <v>627</v>
      </c>
      <c r="K15" s="60" t="str">
        <v>Amil - Unidade Avançada Carlos Chagas </v>
      </c>
      <c r="M15" s="79" t="s">
        <v>595</v>
      </c>
      <c r="N15" s="150" t="s">
        <v>628</v>
      </c>
      <c r="R15" s="59" t="s">
        <v>629</v>
      </c>
      <c r="V15" s="170" t="s">
        <v>56</v>
      </c>
      <c r="Z15" s="1" t="s">
        <v>523</v>
      </c>
      <c r="AA15" s="1" t="s">
        <v>458</v>
      </c>
      <c r="AD15" s="83"/>
      <c r="AF15" s="83"/>
      <c r="AH15" s="83"/>
      <c r="AJ15" s="83"/>
      <c r="AL15" s="83"/>
    </row>
    <row r="16" spans="2:40">
      <c r="F16" s="68"/>
      <c r="H16" s="38" t="s">
        <v>611</v>
      </c>
      <c r="I16" s="58" t="s">
        <v>630</v>
      </c>
      <c r="K16" s="60" t="str">
        <v>Amil - Unidade Avançada Luz Butantã </v>
      </c>
      <c r="M16" s="79" t="s">
        <v>595</v>
      </c>
      <c r="N16" s="150" t="s">
        <v>631</v>
      </c>
      <c r="R16" s="59" t="s">
        <v>632</v>
      </c>
      <c r="V16" s="170" t="s">
        <v>551</v>
      </c>
      <c r="Z16" s="1" t="s">
        <v>523</v>
      </c>
      <c r="AA16" s="1" t="s">
        <v>58</v>
      </c>
      <c r="AD16" s="83"/>
      <c r="AF16" s="83"/>
      <c r="AH16" s="83"/>
      <c r="AJ16" s="83"/>
      <c r="AL16" s="83"/>
    </row>
    <row r="17" spans="6:38">
      <c r="F17" s="68"/>
      <c r="H17" s="38" t="s">
        <v>611</v>
      </c>
      <c r="I17" s="58" t="s">
        <v>633</v>
      </c>
      <c r="K17" s="60" t="str">
        <v>Amil - Unidade Avançada Luz Joao Dias </v>
      </c>
      <c r="M17" s="79" t="s">
        <v>595</v>
      </c>
      <c r="N17" s="150" t="s">
        <v>634</v>
      </c>
      <c r="R17" s="59" t="s">
        <v>635</v>
      </c>
      <c r="V17" s="170" t="s">
        <v>552</v>
      </c>
      <c r="AD17" s="83"/>
      <c r="AF17" s="83"/>
      <c r="AH17" s="83"/>
      <c r="AJ17" s="83"/>
      <c r="AL17" s="83"/>
    </row>
    <row r="18" spans="6:38">
      <c r="F18" s="68"/>
      <c r="H18" s="38" t="s">
        <v>611</v>
      </c>
      <c r="I18" s="58" t="s">
        <v>636</v>
      </c>
      <c r="K18" s="60" t="str">
        <v>Amil - Unidade Avançada Vitoria </v>
      </c>
      <c r="M18" s="79" t="s">
        <v>595</v>
      </c>
      <c r="N18" s="150" t="s">
        <v>637</v>
      </c>
      <c r="R18" s="59" t="s">
        <v>638</v>
      </c>
      <c r="V18" s="170" t="s">
        <v>553</v>
      </c>
      <c r="AD18" s="83"/>
      <c r="AF18" s="83"/>
      <c r="AH18" s="83"/>
      <c r="AJ18" s="83"/>
      <c r="AL18" s="83"/>
    </row>
    <row r="19" spans="6:38">
      <c r="F19" s="68"/>
      <c r="H19" s="38" t="s">
        <v>611</v>
      </c>
      <c r="I19" s="58" t="s">
        <v>639</v>
      </c>
      <c r="K19" s="60" t="str">
        <v>Amil Espaço Saúde - Ana Rosa </v>
      </c>
      <c r="M19" s="79" t="s">
        <v>595</v>
      </c>
      <c r="N19" s="150" t="s">
        <v>382</v>
      </c>
      <c r="R19" s="59" t="s">
        <v>640</v>
      </c>
      <c r="V19" s="170" t="s">
        <v>554</v>
      </c>
      <c r="AD19" s="83"/>
      <c r="AF19" s="83"/>
      <c r="AH19" s="83"/>
      <c r="AJ19" s="83"/>
      <c r="AL19" s="83"/>
    </row>
    <row r="20" spans="6:38">
      <c r="F20" s="68"/>
      <c r="H20" s="38" t="s">
        <v>611</v>
      </c>
      <c r="I20" s="58" t="s">
        <v>641</v>
      </c>
      <c r="K20" s="60" t="str">
        <v>Amil Espaço Saúde - Botafogo </v>
      </c>
      <c r="M20" s="79" t="s">
        <v>595</v>
      </c>
      <c r="N20" s="150" t="s">
        <v>642</v>
      </c>
      <c r="R20" s="59" t="s">
        <v>643</v>
      </c>
      <c r="V20" s="170" t="s">
        <v>555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644</v>
      </c>
      <c r="AD20" s="83"/>
      <c r="AF20" s="83"/>
      <c r="AH20" s="83"/>
      <c r="AJ20" s="83"/>
      <c r="AL20" s="83"/>
    </row>
    <row r="21" spans="6:38">
      <c r="F21" s="68"/>
      <c r="H21" s="38" t="s">
        <v>611</v>
      </c>
      <c r="I21" s="58" t="s">
        <v>645</v>
      </c>
      <c r="K21" s="60" t="str">
        <v>Amil Espaço Saúde - Campo Grande </v>
      </c>
      <c r="M21" s="79" t="s">
        <v>595</v>
      </c>
      <c r="N21" s="150" t="s">
        <v>646</v>
      </c>
      <c r="R21" s="59" t="s">
        <v>647</v>
      </c>
      <c r="V21" s="170" t="s">
        <v>556</v>
      </c>
      <c r="AA21" s="1" t="str">
        <v>Inativo</v>
      </c>
      <c r="AB21" s="1" t="s">
        <v>644</v>
      </c>
      <c r="AD21" s="83"/>
      <c r="AF21" s="83"/>
      <c r="AH21" s="83"/>
      <c r="AJ21" s="83"/>
      <c r="AL21" s="83"/>
    </row>
    <row r="22" spans="6:38">
      <c r="F22" s="68"/>
      <c r="H22" s="38" t="s">
        <v>611</v>
      </c>
      <c r="I22" s="58" t="s">
        <v>648</v>
      </c>
      <c r="K22" s="60" t="str">
        <v>Amil Espaço Saúde - Caxias </v>
      </c>
      <c r="M22" s="79" t="s">
        <v>595</v>
      </c>
      <c r="N22" s="150" t="s">
        <v>649</v>
      </c>
      <c r="R22" s="59" t="s">
        <v>650</v>
      </c>
      <c r="V22" s="170" t="s">
        <v>557</v>
      </c>
      <c r="AA22" s="1" t="str">
        <v>Fora da Linha</v>
      </c>
      <c r="AB22" s="1" t="s">
        <v>644</v>
      </c>
      <c r="AD22" s="83"/>
      <c r="AF22" s="83"/>
      <c r="AH22" s="83"/>
      <c r="AJ22" s="83"/>
      <c r="AL22" s="83"/>
    </row>
    <row r="23" spans="6:38">
      <c r="F23" s="68"/>
      <c r="H23" s="38" t="s">
        <v>611</v>
      </c>
      <c r="I23" s="58" t="s">
        <v>651</v>
      </c>
      <c r="K23" s="60" t="str">
        <v>Amil Espaço Saúde - Guarulhos </v>
      </c>
      <c r="M23" s="79" t="s">
        <v>595</v>
      </c>
      <c r="N23" s="150" t="s">
        <v>652</v>
      </c>
      <c r="R23" s="59" t="s">
        <v>653</v>
      </c>
      <c r="V23" s="170" t="s">
        <v>136</v>
      </c>
      <c r="AB23" s="1" t="s">
        <v>644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611</v>
      </c>
      <c r="I24" s="58" t="s">
        <v>654</v>
      </c>
      <c r="K24" s="60" t="str">
        <v>Amil Espaço Saúde - Niterói </v>
      </c>
      <c r="M24" s="79" t="s">
        <v>595</v>
      </c>
      <c r="N24" s="150" t="s">
        <v>655</v>
      </c>
      <c r="R24" s="61" t="s">
        <v>656</v>
      </c>
      <c r="V24" s="170" t="s">
        <v>457</v>
      </c>
      <c r="AD24" s="83"/>
      <c r="AF24" s="83"/>
      <c r="AH24" s="83"/>
      <c r="AJ24" s="83"/>
      <c r="AL24" s="83"/>
    </row>
    <row r="25" spans="6:38">
      <c r="F25" s="68"/>
      <c r="H25" s="38" t="s">
        <v>611</v>
      </c>
      <c r="I25" s="58" t="s">
        <v>657</v>
      </c>
      <c r="K25" s="60" t="str">
        <v>Amil Espaço Saúde - Nova Iguaçu </v>
      </c>
      <c r="M25" s="79" t="s">
        <v>595</v>
      </c>
      <c r="N25" s="150" t="s">
        <v>658</v>
      </c>
      <c r="V25" s="170" t="s">
        <v>558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611</v>
      </c>
      <c r="I26" s="58" t="s">
        <v>659</v>
      </c>
      <c r="K26" s="60" t="str">
        <v>Amil Espaço Saúde - Osasco </v>
      </c>
      <c r="M26" s="79" t="s">
        <v>595</v>
      </c>
      <c r="N26" s="150" t="s">
        <v>660</v>
      </c>
      <c r="V26" s="171" t="s">
        <v>559</v>
      </c>
      <c r="AD26" s="83"/>
      <c r="AF26" s="83"/>
      <c r="AH26" s="83"/>
      <c r="AJ26" s="83"/>
      <c r="AL26" s="83"/>
    </row>
    <row r="27" spans="6:38">
      <c r="F27" s="68"/>
      <c r="H27" s="38" t="s">
        <v>611</v>
      </c>
      <c r="I27" s="58" t="s">
        <v>661</v>
      </c>
      <c r="K27" s="60" t="str">
        <v>Amil Espaço Saúde - Santana </v>
      </c>
      <c r="M27" s="79" t="s">
        <v>595</v>
      </c>
      <c r="N27" s="150" t="s">
        <v>662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611</v>
      </c>
      <c r="I28" s="58" t="s">
        <v>663</v>
      </c>
      <c r="K28" s="60" t="str">
        <v>Amil Espaço Saúde - Tijuca </v>
      </c>
      <c r="M28" s="79" t="s">
        <v>595</v>
      </c>
      <c r="N28" s="150" t="s">
        <v>81</v>
      </c>
      <c r="Z28" s="1" t="s">
        <v>71</v>
      </c>
    </row>
    <row r="29" spans="6:38">
      <c r="F29" s="68"/>
      <c r="H29" s="38" t="s">
        <v>611</v>
      </c>
      <c r="I29" s="58" t="s">
        <v>664</v>
      </c>
      <c r="K29" s="60" t="str">
        <v>Amil Telemedicina </v>
      </c>
      <c r="M29" s="79" t="s">
        <v>595</v>
      </c>
      <c r="N29" s="150" t="s">
        <v>665</v>
      </c>
      <c r="Z29" s="1" t="s">
        <v>458</v>
      </c>
    </row>
    <row r="30" spans="6:38">
      <c r="F30" s="68"/>
      <c r="H30" s="38" t="s">
        <v>611</v>
      </c>
      <c r="I30" s="58" t="s">
        <v>666</v>
      </c>
      <c r="K30" s="60" t="str">
        <v>Centro Médico Jardim </v>
      </c>
      <c r="M30" s="79" t="s">
        <v>595</v>
      </c>
      <c r="N30" s="150" t="s">
        <v>667</v>
      </c>
      <c r="Z30" s="1" t="s">
        <v>58</v>
      </c>
    </row>
    <row r="31" spans="6:38">
      <c r="F31" s="68"/>
      <c r="H31" s="38" t="s">
        <v>611</v>
      </c>
      <c r="I31" s="58" t="s">
        <v>668</v>
      </c>
      <c r="K31" s="60" t="str">
        <v>Centro Médico Joao Azevedo - Sbc  II</v>
      </c>
      <c r="M31" s="79" t="s">
        <v>595</v>
      </c>
      <c r="N31" s="150" t="s">
        <v>669</v>
      </c>
      <c r="Z31" s="1" t="s">
        <v>523</v>
      </c>
    </row>
    <row r="32" spans="6:38">
      <c r="F32" s="68"/>
      <c r="H32" s="38" t="s">
        <v>611</v>
      </c>
      <c r="I32" s="58" t="s">
        <v>670</v>
      </c>
      <c r="K32" s="60" t="str">
        <v>Centro Médico João Azevedo - Sbc I  </v>
      </c>
      <c r="M32" s="79" t="s">
        <v>595</v>
      </c>
      <c r="N32" s="150" t="s">
        <v>671</v>
      </c>
    </row>
    <row r="33" spans="6:14">
      <c r="F33" s="68"/>
      <c r="H33" s="38" t="s">
        <v>611</v>
      </c>
      <c r="I33" s="58" t="s">
        <v>672</v>
      </c>
      <c r="K33" s="60" t="str">
        <v>Centro Médico Luiz Ferreira - Sbc </v>
      </c>
      <c r="M33" s="79" t="s">
        <v>595</v>
      </c>
      <c r="N33" s="150" t="s">
        <v>673</v>
      </c>
    </row>
    <row r="34" spans="6:14">
      <c r="F34" s="68"/>
      <c r="H34" s="38" t="s">
        <v>611</v>
      </c>
      <c r="I34" s="58" t="s">
        <v>674</v>
      </c>
      <c r="K34" s="60" t="str">
        <v>Centro Médico - Samaritano Higienópolis </v>
      </c>
      <c r="M34" s="79" t="s">
        <v>595</v>
      </c>
      <c r="N34" s="150" t="s">
        <v>675</v>
      </c>
    </row>
    <row r="35" spans="6:14">
      <c r="F35" s="68"/>
      <c r="H35" s="38" t="s">
        <v>611</v>
      </c>
      <c r="I35" s="58" t="s">
        <v>676</v>
      </c>
      <c r="K35" s="60" t="str">
        <v>Centro Médico Hospital São Lucas </v>
      </c>
      <c r="M35" s="79" t="s">
        <v>595</v>
      </c>
      <c r="N35" s="150" t="s">
        <v>677</v>
      </c>
    </row>
    <row r="36" spans="6:14">
      <c r="F36" s="68"/>
      <c r="H36" s="38" t="s">
        <v>611</v>
      </c>
      <c r="I36" s="58" t="s">
        <v>678</v>
      </c>
      <c r="K36" s="60" t="str">
        <v>Hospital Alvorada Ambulatório Arapanés </v>
      </c>
      <c r="M36" s="79" t="s">
        <v>595</v>
      </c>
      <c r="N36" s="150" t="s">
        <v>679</v>
      </c>
    </row>
    <row r="37" spans="6:14">
      <c r="F37" s="68"/>
      <c r="H37" s="38" t="s">
        <v>611</v>
      </c>
      <c r="I37" s="58" t="s">
        <v>680</v>
      </c>
      <c r="K37" s="60" t="str">
        <v>Hospital Alvorada Moema </v>
      </c>
      <c r="M37" s="79" t="s">
        <v>595</v>
      </c>
      <c r="N37" s="150" t="s">
        <v>681</v>
      </c>
    </row>
    <row r="38" spans="6:14">
      <c r="F38" s="68"/>
      <c r="H38" s="38" t="s">
        <v>611</v>
      </c>
      <c r="I38" s="58" t="s">
        <v>682</v>
      </c>
      <c r="K38" s="60" t="str">
        <v>Hospital Américas - Ambulatório </v>
      </c>
      <c r="M38" s="79" t="s">
        <v>595</v>
      </c>
      <c r="N38" s="150" t="s">
        <v>683</v>
      </c>
    </row>
    <row r="39" spans="6:14">
      <c r="F39" s="68"/>
      <c r="H39" s="38" t="s">
        <v>611</v>
      </c>
      <c r="I39" s="58" t="s">
        <v>684</v>
      </c>
      <c r="K39" s="60" t="str">
        <v>Hospital Samaritano Paulista - Ambulatório </v>
      </c>
      <c r="M39" s="79" t="s">
        <v>595</v>
      </c>
      <c r="N39" s="150" t="s">
        <v>685</v>
      </c>
    </row>
    <row r="40" spans="6:14">
      <c r="F40" s="68"/>
      <c r="H40" s="38" t="s">
        <v>611</v>
      </c>
      <c r="I40" s="58" t="s">
        <v>686</v>
      </c>
      <c r="K40" s="60" t="str">
        <v>Amil Espaço Saúde - Tatuapé</v>
      </c>
      <c r="M40" s="38" t="s">
        <v>611</v>
      </c>
      <c r="N40" s="58" t="s">
        <v>687</v>
      </c>
    </row>
    <row r="41" spans="6:14">
      <c r="F41" s="68"/>
      <c r="H41" s="38" t="s">
        <v>611</v>
      </c>
      <c r="I41" s="58" t="s">
        <v>688</v>
      </c>
      <c r="K41" s="60" t="str">
        <v>Amil Espaço Saúde - Santo Amaro</v>
      </c>
      <c r="M41" s="38" t="s">
        <v>611</v>
      </c>
      <c r="N41" s="58" t="s">
        <v>689</v>
      </c>
    </row>
    <row r="42" spans="6:14">
      <c r="F42" s="68"/>
      <c r="H42" s="38" t="s">
        <v>611</v>
      </c>
      <c r="I42" s="58" t="s">
        <v>488</v>
      </c>
      <c r="K42" s="60" t="str">
        <v>Amil Espaço Saúde - Guarulhos</v>
      </c>
      <c r="M42" s="38" t="s">
        <v>611</v>
      </c>
      <c r="N42" s="58" t="s">
        <v>690</v>
      </c>
    </row>
    <row r="43" spans="6:14">
      <c r="F43" s="68"/>
      <c r="H43" s="38" t="s">
        <v>611</v>
      </c>
      <c r="I43" s="58" t="s">
        <v>691</v>
      </c>
      <c r="K43" s="60" t="str">
        <v xml:space="preserve">Amil Espaço Saúde - Santa Helena </v>
      </c>
      <c r="M43" s="38" t="s">
        <v>611</v>
      </c>
      <c r="N43" s="58" t="s">
        <v>692</v>
      </c>
    </row>
    <row r="44" spans="6:14">
      <c r="F44" s="68"/>
      <c r="H44" s="38" t="s">
        <v>611</v>
      </c>
      <c r="I44" s="58" t="s">
        <v>693</v>
      </c>
      <c r="K44" s="60" t="str">
        <v>Hospital Samaritano - Não Especificado</v>
      </c>
      <c r="M44" s="38" t="s">
        <v>611</v>
      </c>
      <c r="N44" s="58" t="s">
        <v>694</v>
      </c>
    </row>
    <row r="45" spans="6:14">
      <c r="F45" s="68"/>
      <c r="H45" s="38" t="s">
        <v>611</v>
      </c>
      <c r="I45" s="58" t="s">
        <v>695</v>
      </c>
      <c r="K45" s="60" t="str">
        <v>SUS</v>
      </c>
      <c r="M45" s="38" t="s">
        <v>611</v>
      </c>
      <c r="N45" s="58" t="s">
        <v>696</v>
      </c>
    </row>
    <row r="46" spans="6:14">
      <c r="F46" s="68"/>
      <c r="H46" s="79" t="s">
        <v>595</v>
      </c>
      <c r="I46" s="149" t="s">
        <v>697</v>
      </c>
      <c r="K46" s="60"/>
      <c r="M46" s="38" t="s">
        <v>611</v>
      </c>
      <c r="N46" s="58" t="s">
        <v>698</v>
      </c>
    </row>
    <row r="47" spans="6:14">
      <c r="F47" s="68"/>
      <c r="H47" s="228" t="s">
        <v>611</v>
      </c>
      <c r="I47" s="229" t="s">
        <v>699</v>
      </c>
      <c r="K47" s="60"/>
      <c r="M47" s="38" t="s">
        <v>611</v>
      </c>
      <c r="N47" s="58" t="s">
        <v>700</v>
      </c>
    </row>
    <row r="48" spans="6:14">
      <c r="F48" s="68"/>
      <c r="H48" s="230" t="s">
        <v>595</v>
      </c>
      <c r="I48" s="231" t="s">
        <v>699</v>
      </c>
      <c r="K48" s="60"/>
      <c r="M48" s="38" t="s">
        <v>611</v>
      </c>
      <c r="N48" s="58" t="s">
        <v>701</v>
      </c>
    </row>
    <row r="49" spans="6:14">
      <c r="F49" s="68"/>
      <c r="I49" s="62"/>
      <c r="K49" s="60"/>
      <c r="M49" s="38" t="s">
        <v>611</v>
      </c>
      <c r="N49" s="58" t="s">
        <v>702</v>
      </c>
    </row>
    <row r="50" spans="6:14">
      <c r="F50" s="68"/>
      <c r="I50" s="62"/>
      <c r="K50" s="60"/>
      <c r="M50" s="38" t="s">
        <v>611</v>
      </c>
      <c r="N50" s="58" t="s">
        <v>703</v>
      </c>
    </row>
    <row r="51" spans="6:14">
      <c r="F51" s="68"/>
      <c r="I51" s="62"/>
      <c r="K51" s="60"/>
      <c r="M51" s="38" t="s">
        <v>611</v>
      </c>
      <c r="N51" s="58" t="s">
        <v>704</v>
      </c>
    </row>
    <row r="52" spans="6:14">
      <c r="F52" s="68"/>
      <c r="I52" s="62"/>
      <c r="K52" s="60"/>
      <c r="M52" s="38" t="s">
        <v>611</v>
      </c>
      <c r="N52" s="58" t="s">
        <v>705</v>
      </c>
    </row>
    <row r="53" spans="6:14">
      <c r="F53" s="68"/>
      <c r="I53" s="62"/>
      <c r="K53" s="60"/>
      <c r="M53" s="38" t="s">
        <v>611</v>
      </c>
      <c r="N53" s="58" t="s">
        <v>706</v>
      </c>
    </row>
    <row r="54" spans="6:14" ht="15" thickBot="1">
      <c r="F54" s="69"/>
      <c r="G54" s="64"/>
      <c r="H54" s="64"/>
      <c r="I54" s="65"/>
      <c r="K54" s="63"/>
      <c r="L54" s="64"/>
      <c r="M54" s="38" t="s">
        <v>611</v>
      </c>
      <c r="N54" s="58" t="s">
        <v>707</v>
      </c>
    </row>
    <row r="55" spans="6:14" ht="15" thickBot="1">
      <c r="M55" s="155" t="s">
        <v>611</v>
      </c>
      <c r="N55" s="156" t="s">
        <v>609</v>
      </c>
    </row>
    <row r="56" spans="6:14">
      <c r="M56" s="199" t="s">
        <v>595</v>
      </c>
      <c r="N56" s="200" t="s">
        <v>220</v>
      </c>
    </row>
    <row r="57" spans="6:14">
      <c r="M57" s="199" t="s">
        <v>595</v>
      </c>
      <c r="N57" s="200" t="s">
        <v>223</v>
      </c>
    </row>
    <row r="58" spans="6:14">
      <c r="M58" s="199" t="s">
        <v>595</v>
      </c>
      <c r="N58" s="200" t="s">
        <v>90</v>
      </c>
    </row>
    <row r="59" spans="6:14">
      <c r="M59" s="199" t="s">
        <v>595</v>
      </c>
      <c r="N59" s="201" t="s">
        <v>708</v>
      </c>
    </row>
    <row r="60" spans="6:14">
      <c r="M60" s="199" t="s">
        <v>595</v>
      </c>
      <c r="N60" s="202" t="s">
        <v>389</v>
      </c>
    </row>
    <row r="61" spans="6:14">
      <c r="M61" s="199" t="s">
        <v>595</v>
      </c>
      <c r="N61" s="202" t="s">
        <v>709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710</v>
      </c>
      <c r="AF1" s="15" t="s">
        <v>711</v>
      </c>
      <c r="AG1" s="16" t="s">
        <v>35</v>
      </c>
    </row>
    <row r="2" spans="1:33">
      <c r="A2" s="17" t="s">
        <v>47</v>
      </c>
      <c r="B2" s="3"/>
      <c r="C2" s="3" t="s">
        <v>712</v>
      </c>
      <c r="D2" s="18" t="s">
        <v>618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713</v>
      </c>
      <c r="AG2" s="17" t="s">
        <v>62</v>
      </c>
    </row>
    <row r="3" spans="1:33">
      <c r="A3" s="17" t="s">
        <v>65</v>
      </c>
      <c r="B3" s="3"/>
      <c r="C3" s="3" t="s">
        <v>488</v>
      </c>
      <c r="D3" s="18" t="s">
        <v>403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533</v>
      </c>
      <c r="R3" s="3"/>
      <c r="S3" s="3"/>
      <c r="T3" s="3" t="s">
        <v>183</v>
      </c>
      <c r="U3" s="3" t="s">
        <v>458</v>
      </c>
      <c r="V3" s="3"/>
      <c r="W3" s="3"/>
      <c r="X3" s="3"/>
      <c r="Y3" s="3"/>
      <c r="Z3" s="3" t="s">
        <v>598</v>
      </c>
      <c r="AA3" s="3"/>
      <c r="AB3" s="3" t="s">
        <v>578</v>
      </c>
      <c r="AC3" s="3"/>
      <c r="AD3" s="3" t="s">
        <v>73</v>
      </c>
      <c r="AE3" s="3"/>
      <c r="AF3" s="3" t="s">
        <v>714</v>
      </c>
      <c r="AG3" s="17" t="s">
        <v>601</v>
      </c>
    </row>
    <row r="4" spans="1:33">
      <c r="A4" s="3"/>
      <c r="B4" s="3"/>
      <c r="C4" s="3" t="s">
        <v>715</v>
      </c>
      <c r="D4" s="18" t="s">
        <v>583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535</v>
      </c>
      <c r="R4" s="3"/>
      <c r="S4" s="3"/>
      <c r="T4" s="3" t="s">
        <v>600</v>
      </c>
      <c r="U4" s="3"/>
      <c r="V4" s="3"/>
      <c r="W4" s="3"/>
      <c r="X4" s="3"/>
      <c r="Y4" s="3"/>
      <c r="Z4" s="3" t="s">
        <v>61</v>
      </c>
      <c r="AA4" s="3"/>
      <c r="AB4" s="21" t="s">
        <v>110</v>
      </c>
      <c r="AC4" s="3"/>
      <c r="AD4" s="3" t="s">
        <v>377</v>
      </c>
      <c r="AE4" s="3"/>
      <c r="AF4" s="3" t="s">
        <v>716</v>
      </c>
      <c r="AG4" s="17" t="s">
        <v>65</v>
      </c>
    </row>
    <row r="5" spans="1:33">
      <c r="M5" s="1"/>
      <c r="O5" s="1"/>
      <c r="Q5" s="22" t="s">
        <v>537</v>
      </c>
      <c r="AB5" s="3" t="s">
        <v>61</v>
      </c>
      <c r="AF5" t="s">
        <v>717</v>
      </c>
    </row>
    <row r="6" spans="1:33">
      <c r="M6" s="1"/>
      <c r="O6" s="1"/>
      <c r="Q6" s="23" t="s">
        <v>539</v>
      </c>
      <c r="AF6" t="s">
        <v>718</v>
      </c>
    </row>
    <row r="7" spans="1:33">
      <c r="M7" s="1"/>
      <c r="O7" s="1"/>
      <c r="Q7" s="23" t="s">
        <v>541</v>
      </c>
      <c r="AF7" t="s">
        <v>719</v>
      </c>
    </row>
    <row r="8" spans="1:33">
      <c r="M8" s="1"/>
      <c r="O8" s="1"/>
      <c r="Q8" s="23" t="s">
        <v>543</v>
      </c>
      <c r="AF8" t="s">
        <v>720</v>
      </c>
    </row>
    <row r="9" spans="1:33">
      <c r="M9" s="1"/>
      <c r="O9" s="1"/>
      <c r="Q9" s="23" t="s">
        <v>544</v>
      </c>
      <c r="AF9" t="s">
        <v>721</v>
      </c>
    </row>
    <row r="10" spans="1:33">
      <c r="M10" s="1"/>
      <c r="O10" s="1"/>
      <c r="Q10" s="23" t="s">
        <v>546</v>
      </c>
      <c r="AF10" t="s">
        <v>722</v>
      </c>
      <c r="AG10" t="s">
        <v>723</v>
      </c>
    </row>
    <row r="11" spans="1:33">
      <c r="M11" s="1"/>
      <c r="O11" s="1"/>
      <c r="Q11" s="23" t="s">
        <v>547</v>
      </c>
      <c r="AF11" t="s">
        <v>724</v>
      </c>
    </row>
    <row r="12" spans="1:33">
      <c r="M12" s="1"/>
      <c r="O12" s="1"/>
      <c r="Q12" s="23" t="s">
        <v>548</v>
      </c>
    </row>
    <row r="13" spans="1:33">
      <c r="M13" s="1"/>
      <c r="O13" s="1"/>
      <c r="Q13" s="23" t="s">
        <v>549</v>
      </c>
    </row>
    <row r="14" spans="1:33">
      <c r="M14" s="1"/>
      <c r="O14" s="1"/>
      <c r="Q14" s="23" t="s">
        <v>550</v>
      </c>
    </row>
    <row r="15" spans="1:33">
      <c r="M15" s="1"/>
      <c r="O15" s="1"/>
      <c r="Q15" s="23" t="s">
        <v>56</v>
      </c>
    </row>
    <row r="16" spans="1:33">
      <c r="M16" s="1"/>
      <c r="O16" s="1"/>
      <c r="Q16" s="23" t="s">
        <v>551</v>
      </c>
    </row>
    <row r="17" spans="13:33">
      <c r="M17" s="1"/>
      <c r="O17" s="1"/>
      <c r="Q17" s="23" t="s">
        <v>552</v>
      </c>
      <c r="AF17" t="s">
        <v>725</v>
      </c>
    </row>
    <row r="18" spans="13:33" ht="43.15">
      <c r="M18" s="1"/>
      <c r="O18" s="1"/>
      <c r="Q18" s="23" t="s">
        <v>553</v>
      </c>
      <c r="AF18" s="24" t="s">
        <v>711</v>
      </c>
      <c r="AG18" s="24" t="s">
        <v>591</v>
      </c>
    </row>
    <row r="19" spans="13:33">
      <c r="M19" s="1"/>
      <c r="O19" s="1"/>
      <c r="Q19" s="23" t="s">
        <v>554</v>
      </c>
      <c r="AF19" t="s">
        <v>726</v>
      </c>
      <c r="AG19" t="s">
        <v>47</v>
      </c>
    </row>
    <row r="20" spans="13:33">
      <c r="M20" s="1"/>
      <c r="O20" s="1"/>
      <c r="Q20" s="23" t="s">
        <v>555</v>
      </c>
      <c r="AF20" t="s">
        <v>727</v>
      </c>
      <c r="AG20" t="s">
        <v>65</v>
      </c>
    </row>
    <row r="21" spans="13:33">
      <c r="M21" s="1"/>
      <c r="O21" s="1"/>
      <c r="Q21" s="23" t="s">
        <v>556</v>
      </c>
      <c r="AG21" t="s">
        <v>728</v>
      </c>
    </row>
    <row r="22" spans="13:33">
      <c r="M22" s="1"/>
      <c r="O22" s="1"/>
      <c r="Q22" s="23" t="s">
        <v>557</v>
      </c>
    </row>
    <row r="23" spans="13:33">
      <c r="M23" s="1"/>
      <c r="O23" s="1"/>
      <c r="Q23" s="23" t="s">
        <v>136</v>
      </c>
    </row>
    <row r="24" spans="13:33">
      <c r="M24" s="1"/>
      <c r="O24" s="1"/>
      <c r="Q24" s="23" t="s">
        <v>457</v>
      </c>
    </row>
    <row r="25" spans="13:33">
      <c r="M25" s="1"/>
      <c r="O25" s="1"/>
      <c r="Q25" s="23" t="s">
        <v>558</v>
      </c>
    </row>
    <row r="26" spans="13:33">
      <c r="M26" s="1"/>
      <c r="O26" s="1"/>
      <c r="Q26" s="23" t="s">
        <v>559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C7276F3-723F-45C7-96FF-74194C59BEA3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2026-06-12T16:08:30Z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