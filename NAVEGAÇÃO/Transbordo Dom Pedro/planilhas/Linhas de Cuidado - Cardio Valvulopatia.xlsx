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https://cmdpcombr-my.sharepoint.com/personal/anderson_cmdp_com_br/Documents/987 - IPIRANGA/ENFERMAGEM CMDP IPIRANGA/CMDP - LINHAS DE CUIDADO/"/>
    </mc:Choice>
  </mc:AlternateContent>
  <xr:revisionPtr revIDLastSave="818" documentId="8_{0D634D9F-FC5E-438D-AD28-97261849C856}" xr6:coauthVersionLast="47" xr6:coauthVersionMax="47" xr10:uidLastSave="{562F3292-D024-4CA0-894C-54E1B338C94C}"/>
  <bookViews>
    <workbookView xWindow="-108" yWindow="-108" windowWidth="23256" windowHeight="12456" tabRatio="781" xr2:uid="{00000000-000D-0000-FFFF-FFFF00000000}"/>
  </bookViews>
  <sheets>
    <sheet name="Consolidado" sheetId="32" r:id="rId1"/>
    <sheet name="Análise" sheetId="54" r:id="rId2"/>
    <sheet name="Lista Suspensa" sheetId="49" r:id="rId3"/>
    <sheet name="MODELO" sheetId="28" state="hidden" r:id="rId4"/>
  </sheets>
  <definedNames>
    <definedName name="_xlnm._FilterDatabase" localSheetId="0" hidden="1">Consolidado!$A$1:$AU$308</definedName>
    <definedName name="_xlnm._FilterDatabase" localSheetId="2" hidden="1">'Lista Suspensa'!$D$1:$K$169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261" i="32" l="1"/>
  <c r="AN261" i="32"/>
  <c r="AO261" i="32"/>
  <c r="AP261" i="32"/>
  <c r="AU261" i="32"/>
  <c r="AM260" i="32"/>
  <c r="AN260" i="32"/>
  <c r="AO260" i="32"/>
  <c r="AP260" i="32"/>
  <c r="AU260" i="32"/>
  <c r="AQ260" i="32" s="1"/>
  <c r="AQ261" i="32" l="1"/>
  <c r="AR261" i="32"/>
  <c r="AS261" i="32"/>
  <c r="AT261" i="32"/>
  <c r="AT260" i="32"/>
  <c r="AS260" i="32"/>
  <c r="AR260" i="32"/>
  <c r="AU259" i="32" l="1"/>
  <c r="AT259" i="32" s="1"/>
  <c r="AP259" i="32"/>
  <c r="AO259" i="32"/>
  <c r="AN259" i="32"/>
  <c r="AM259" i="32"/>
  <c r="AU258" i="32"/>
  <c r="AT258" i="32" s="1"/>
  <c r="AP258" i="32"/>
  <c r="AO258" i="32"/>
  <c r="AN258" i="32"/>
  <c r="AM258" i="32"/>
  <c r="AU257" i="32"/>
  <c r="AT257" i="32" s="1"/>
  <c r="AP257" i="32"/>
  <c r="AO257" i="32"/>
  <c r="AN257" i="32"/>
  <c r="AM257" i="32"/>
  <c r="AU256" i="32"/>
  <c r="AT256" i="32" s="1"/>
  <c r="AP256" i="32"/>
  <c r="AO256" i="32"/>
  <c r="AN256" i="32"/>
  <c r="AM256" i="32"/>
  <c r="AU255" i="32"/>
  <c r="AS255" i="32" s="1"/>
  <c r="AP255" i="32"/>
  <c r="AO255" i="32"/>
  <c r="AN255" i="32"/>
  <c r="AM255" i="32"/>
  <c r="AU254" i="32"/>
  <c r="AR254" i="32" s="1"/>
  <c r="AP254" i="32"/>
  <c r="AO254" i="32"/>
  <c r="AN254" i="32"/>
  <c r="AM254" i="32"/>
  <c r="AU253" i="32"/>
  <c r="AQ253" i="32" s="1"/>
  <c r="AP253" i="32"/>
  <c r="AO253" i="32"/>
  <c r="AN253" i="32"/>
  <c r="AM253" i="32"/>
  <c r="AU252" i="32"/>
  <c r="AP252" i="32"/>
  <c r="AO252" i="32"/>
  <c r="AN252" i="32"/>
  <c r="AM252" i="32"/>
  <c r="AU251" i="32"/>
  <c r="AT251" i="32" s="1"/>
  <c r="AP251" i="32"/>
  <c r="AO251" i="32"/>
  <c r="AN251" i="32"/>
  <c r="AM251" i="32"/>
  <c r="AU250" i="32"/>
  <c r="AT250" i="32" s="1"/>
  <c r="AP250" i="32"/>
  <c r="AO250" i="32"/>
  <c r="AN250" i="32"/>
  <c r="AM250" i="32"/>
  <c r="AU249" i="32"/>
  <c r="AT249" i="32" s="1"/>
  <c r="AP249" i="32"/>
  <c r="AO249" i="32"/>
  <c r="AN249" i="32"/>
  <c r="AM249" i="32"/>
  <c r="AU248" i="32"/>
  <c r="AT248" i="32" s="1"/>
  <c r="AP248" i="32"/>
  <c r="AO248" i="32"/>
  <c r="AN248" i="32"/>
  <c r="AM248" i="32"/>
  <c r="AU247" i="32"/>
  <c r="AT247" i="32" s="1"/>
  <c r="AP247" i="32"/>
  <c r="AO247" i="32"/>
  <c r="AN247" i="32"/>
  <c r="AM247" i="32"/>
  <c r="AU246" i="32"/>
  <c r="AR246" i="32" s="1"/>
  <c r="AP246" i="32"/>
  <c r="AO246" i="32"/>
  <c r="AN246" i="32"/>
  <c r="AM246" i="32"/>
  <c r="AU245" i="32"/>
  <c r="AR245" i="32" s="1"/>
  <c r="AP245" i="32"/>
  <c r="AO245" i="32"/>
  <c r="AN245" i="32"/>
  <c r="AM245" i="32"/>
  <c r="AU244" i="32"/>
  <c r="AP244" i="32"/>
  <c r="AO244" i="32"/>
  <c r="AN244" i="32"/>
  <c r="AM244" i="32"/>
  <c r="AU243" i="32"/>
  <c r="AT243" i="32" s="1"/>
  <c r="AP243" i="32"/>
  <c r="AO243" i="32"/>
  <c r="AN243" i="32"/>
  <c r="AM243" i="32"/>
  <c r="AU242" i="32"/>
  <c r="AT242" i="32" s="1"/>
  <c r="AP242" i="32"/>
  <c r="AO242" i="32"/>
  <c r="AN242" i="32"/>
  <c r="AM242" i="32"/>
  <c r="AU241" i="32"/>
  <c r="AT241" i="32" s="1"/>
  <c r="AP241" i="32"/>
  <c r="AO241" i="32"/>
  <c r="AN241" i="32"/>
  <c r="AM241" i="32"/>
  <c r="AU240" i="32"/>
  <c r="AT240" i="32" s="1"/>
  <c r="AP240" i="32"/>
  <c r="AO240" i="32"/>
  <c r="AN240" i="32"/>
  <c r="AM240" i="32"/>
  <c r="AU239" i="32"/>
  <c r="AQ239" i="32" s="1"/>
  <c r="AP239" i="32"/>
  <c r="AO239" i="32"/>
  <c r="AN239" i="32"/>
  <c r="AM239" i="32"/>
  <c r="AU238" i="32"/>
  <c r="AR238" i="32" s="1"/>
  <c r="AP238" i="32"/>
  <c r="AO238" i="32"/>
  <c r="AN238" i="32"/>
  <c r="AM238" i="32"/>
  <c r="AU237" i="32"/>
  <c r="AS237" i="32" s="1"/>
  <c r="AP237" i="32"/>
  <c r="AO237" i="32"/>
  <c r="AN237" i="32"/>
  <c r="AM237" i="32"/>
  <c r="AU236" i="32"/>
  <c r="AP236" i="32"/>
  <c r="AO236" i="32"/>
  <c r="AN236" i="32"/>
  <c r="AM236" i="32"/>
  <c r="AU235" i="32"/>
  <c r="AT235" i="32" s="1"/>
  <c r="AP235" i="32"/>
  <c r="AO235" i="32"/>
  <c r="AN235" i="32"/>
  <c r="AM235" i="32"/>
  <c r="AU234" i="32"/>
  <c r="AT234" i="32" s="1"/>
  <c r="AP234" i="32"/>
  <c r="AO234" i="32"/>
  <c r="AN234" i="32"/>
  <c r="AM234" i="32"/>
  <c r="AU233" i="32"/>
  <c r="AT233" i="32" s="1"/>
  <c r="AP233" i="32"/>
  <c r="AO233" i="32"/>
  <c r="AN233" i="32"/>
  <c r="AM233" i="32"/>
  <c r="AU232" i="32"/>
  <c r="AS232" i="32" s="1"/>
  <c r="AP232" i="32"/>
  <c r="AO232" i="32"/>
  <c r="AN232" i="32"/>
  <c r="AM232" i="32"/>
  <c r="AU231" i="32"/>
  <c r="AQ231" i="32" s="1"/>
  <c r="AP231" i="32"/>
  <c r="AO231" i="32"/>
  <c r="AN231" i="32"/>
  <c r="AM231" i="32"/>
  <c r="AU230" i="32"/>
  <c r="AR230" i="32" s="1"/>
  <c r="AP230" i="32"/>
  <c r="AO230" i="32"/>
  <c r="AN230" i="32"/>
  <c r="AM230" i="32"/>
  <c r="AU229" i="32"/>
  <c r="AS229" i="32" s="1"/>
  <c r="AP229" i="32"/>
  <c r="AO229" i="32"/>
  <c r="AN229" i="32"/>
  <c r="AM229" i="32"/>
  <c r="AU228" i="32"/>
  <c r="AP228" i="32"/>
  <c r="AO228" i="32"/>
  <c r="AN228" i="32"/>
  <c r="AM228" i="32"/>
  <c r="AU227" i="32"/>
  <c r="AT227" i="32" s="1"/>
  <c r="AP227" i="32"/>
  <c r="AO227" i="32"/>
  <c r="AN227" i="32"/>
  <c r="AM227" i="32"/>
  <c r="AU226" i="32"/>
  <c r="AT226" i="32" s="1"/>
  <c r="AP226" i="32"/>
  <c r="AO226" i="32"/>
  <c r="AN226" i="32"/>
  <c r="AM226" i="32"/>
  <c r="AU225" i="32"/>
  <c r="AT225" i="32" s="1"/>
  <c r="AP225" i="32"/>
  <c r="AO225" i="32"/>
  <c r="AN225" i="32"/>
  <c r="AM225" i="32"/>
  <c r="AU224" i="32"/>
  <c r="AT224" i="32" s="1"/>
  <c r="AP224" i="32"/>
  <c r="AO224" i="32"/>
  <c r="AN224" i="32"/>
  <c r="AM224" i="32"/>
  <c r="AU223" i="32"/>
  <c r="AQ223" i="32" s="1"/>
  <c r="AP223" i="32"/>
  <c r="AO223" i="32"/>
  <c r="AN223" i="32"/>
  <c r="AM223" i="32"/>
  <c r="AU222" i="32"/>
  <c r="AR222" i="32" s="1"/>
  <c r="AP222" i="32"/>
  <c r="AO222" i="32"/>
  <c r="AN222" i="32"/>
  <c r="AM222" i="32"/>
  <c r="AU221" i="32"/>
  <c r="AS221" i="32" s="1"/>
  <c r="AP221" i="32"/>
  <c r="AO221" i="32"/>
  <c r="AN221" i="32"/>
  <c r="AM221" i="32"/>
  <c r="AU220" i="32"/>
  <c r="AP220" i="32"/>
  <c r="AO220" i="32"/>
  <c r="AN220" i="32"/>
  <c r="AM220" i="32"/>
  <c r="AU219" i="32"/>
  <c r="AT219" i="32" s="1"/>
  <c r="AP219" i="32"/>
  <c r="AO219" i="32"/>
  <c r="AN219" i="32"/>
  <c r="AM219" i="32"/>
  <c r="AU218" i="32"/>
  <c r="AT218" i="32" s="1"/>
  <c r="AP218" i="32"/>
  <c r="AO218" i="32"/>
  <c r="AN218" i="32"/>
  <c r="AM218" i="32"/>
  <c r="AU217" i="32"/>
  <c r="AT217" i="32" s="1"/>
  <c r="AP217" i="32"/>
  <c r="AO217" i="32"/>
  <c r="AN217" i="32"/>
  <c r="AM217" i="32"/>
  <c r="AU216" i="32"/>
  <c r="AT216" i="32" s="1"/>
  <c r="AP216" i="32"/>
  <c r="AO216" i="32"/>
  <c r="AN216" i="32"/>
  <c r="AM216" i="32"/>
  <c r="AU215" i="32"/>
  <c r="AQ215" i="32" s="1"/>
  <c r="AP215" i="32"/>
  <c r="AO215" i="32"/>
  <c r="AN215" i="32"/>
  <c r="AM215" i="32"/>
  <c r="AU214" i="32"/>
  <c r="AR214" i="32" s="1"/>
  <c r="AP214" i="32"/>
  <c r="AO214" i="32"/>
  <c r="AN214" i="32"/>
  <c r="AM214" i="32"/>
  <c r="AU213" i="32"/>
  <c r="AS213" i="32" s="1"/>
  <c r="AP213" i="32"/>
  <c r="AO213" i="32"/>
  <c r="AN213" i="32"/>
  <c r="AM213" i="32"/>
  <c r="AU212" i="32"/>
  <c r="AP212" i="32"/>
  <c r="AO212" i="32"/>
  <c r="AN212" i="32"/>
  <c r="AM212" i="32"/>
  <c r="AU211" i="32"/>
  <c r="AT211" i="32" s="1"/>
  <c r="AP211" i="32"/>
  <c r="AO211" i="32"/>
  <c r="AN211" i="32"/>
  <c r="AM211" i="32"/>
  <c r="AU210" i="32"/>
  <c r="AT210" i="32" s="1"/>
  <c r="AP210" i="32"/>
  <c r="AO210" i="32"/>
  <c r="AN210" i="32"/>
  <c r="AM210" i="32"/>
  <c r="AU209" i="32"/>
  <c r="AT209" i="32" s="1"/>
  <c r="AP209" i="32"/>
  <c r="AO209" i="32"/>
  <c r="AN209" i="32"/>
  <c r="AM209" i="32"/>
  <c r="AU208" i="32"/>
  <c r="AT208" i="32" s="1"/>
  <c r="AP208" i="32"/>
  <c r="AO208" i="32"/>
  <c r="AN208" i="32"/>
  <c r="AM208" i="32"/>
  <c r="AU207" i="32"/>
  <c r="AQ207" i="32" s="1"/>
  <c r="AP207" i="32"/>
  <c r="AO207" i="32"/>
  <c r="AN207" i="32"/>
  <c r="AM207" i="32"/>
  <c r="AU206" i="32"/>
  <c r="AR206" i="32" s="1"/>
  <c r="AP206" i="32"/>
  <c r="AO206" i="32"/>
  <c r="AN206" i="32"/>
  <c r="AM206" i="32"/>
  <c r="AU205" i="32"/>
  <c r="AS205" i="32" s="1"/>
  <c r="AP205" i="32"/>
  <c r="AO205" i="32"/>
  <c r="AN205" i="32"/>
  <c r="AM205" i="32"/>
  <c r="AU204" i="32"/>
  <c r="AS204" i="32" s="1"/>
  <c r="AP204" i="32"/>
  <c r="AO204" i="32"/>
  <c r="AN204" i="32"/>
  <c r="AM204" i="32"/>
  <c r="AU203" i="32"/>
  <c r="AS203" i="32" s="1"/>
  <c r="AP203" i="32"/>
  <c r="AO203" i="32"/>
  <c r="AN203" i="32"/>
  <c r="AM203" i="32"/>
  <c r="AU202" i="32"/>
  <c r="AP202" i="32"/>
  <c r="AO202" i="32"/>
  <c r="AN202" i="32"/>
  <c r="AM202" i="32"/>
  <c r="AU201" i="32"/>
  <c r="AT201" i="32" s="1"/>
  <c r="AP201" i="32"/>
  <c r="AO201" i="32"/>
  <c r="AN201" i="32"/>
  <c r="AM201" i="32"/>
  <c r="AU200" i="32"/>
  <c r="AT200" i="32" s="1"/>
  <c r="AP200" i="32"/>
  <c r="AO200" i="32"/>
  <c r="AN200" i="32"/>
  <c r="AM200" i="32"/>
  <c r="AU199" i="32"/>
  <c r="AQ199" i="32" s="1"/>
  <c r="AP199" i="32"/>
  <c r="AO199" i="32"/>
  <c r="AN199" i="32"/>
  <c r="AM199" i="32"/>
  <c r="AU198" i="32"/>
  <c r="AR198" i="32" s="1"/>
  <c r="AP198" i="32"/>
  <c r="AO198" i="32"/>
  <c r="AN198" i="32"/>
  <c r="AM198" i="32"/>
  <c r="AU197" i="32"/>
  <c r="AS197" i="32" s="1"/>
  <c r="AP197" i="32"/>
  <c r="AO197" i="32"/>
  <c r="AN197" i="32"/>
  <c r="AM197" i="32"/>
  <c r="AU196" i="32"/>
  <c r="AS196" i="32" s="1"/>
  <c r="AP196" i="32"/>
  <c r="AO196" i="32"/>
  <c r="AN196" i="32"/>
  <c r="AM196" i="32"/>
  <c r="AU195" i="32"/>
  <c r="AS195" i="32" s="1"/>
  <c r="AP195" i="32"/>
  <c r="AO195" i="32"/>
  <c r="AN195" i="32"/>
  <c r="AM195" i="32"/>
  <c r="AU194" i="32"/>
  <c r="AP194" i="32"/>
  <c r="AO194" i="32"/>
  <c r="AN194" i="32"/>
  <c r="AM194" i="32"/>
  <c r="AU193" i="32"/>
  <c r="AT193" i="32" s="1"/>
  <c r="AP193" i="32"/>
  <c r="AO193" i="32"/>
  <c r="AN193" i="32"/>
  <c r="AM193" i="32"/>
  <c r="AU192" i="32"/>
  <c r="AT192" i="32" s="1"/>
  <c r="AP192" i="32"/>
  <c r="AO192" i="32"/>
  <c r="AN192" i="32"/>
  <c r="AM192" i="32"/>
  <c r="AU191" i="32"/>
  <c r="AQ191" i="32" s="1"/>
  <c r="AP191" i="32"/>
  <c r="AO191" i="32"/>
  <c r="AN191" i="32"/>
  <c r="AM191" i="32"/>
  <c r="AU190" i="32"/>
  <c r="AR190" i="32" s="1"/>
  <c r="AP190" i="32"/>
  <c r="AO190" i="32"/>
  <c r="AN190" i="32"/>
  <c r="AM190" i="32"/>
  <c r="AU189" i="32"/>
  <c r="AS189" i="32" s="1"/>
  <c r="AP189" i="32"/>
  <c r="AO189" i="32"/>
  <c r="AN189" i="32"/>
  <c r="AM189" i="32"/>
  <c r="AU188" i="32"/>
  <c r="AS188" i="32" s="1"/>
  <c r="AP188" i="32"/>
  <c r="AO188" i="32"/>
  <c r="AN188" i="32"/>
  <c r="AM188" i="32"/>
  <c r="AU187" i="32"/>
  <c r="AT187" i="32" s="1"/>
  <c r="AP187" i="32"/>
  <c r="AO187" i="32"/>
  <c r="AN187" i="32"/>
  <c r="AM187" i="32"/>
  <c r="AU186" i="32"/>
  <c r="AP186" i="32"/>
  <c r="AO186" i="32"/>
  <c r="AN186" i="32"/>
  <c r="AM186" i="32"/>
  <c r="AU185" i="32"/>
  <c r="AT185" i="32" s="1"/>
  <c r="AP185" i="32"/>
  <c r="AO185" i="32"/>
  <c r="AN185" i="32"/>
  <c r="AM185" i="32"/>
  <c r="AU184" i="32"/>
  <c r="AT184" i="32" s="1"/>
  <c r="AP184" i="32"/>
  <c r="AO184" i="32"/>
  <c r="AN184" i="32"/>
  <c r="AM184" i="32"/>
  <c r="AU183" i="32"/>
  <c r="AQ183" i="32" s="1"/>
  <c r="AP183" i="32"/>
  <c r="AO183" i="32"/>
  <c r="AN183" i="32"/>
  <c r="AM183" i="32"/>
  <c r="AU182" i="32"/>
  <c r="AR182" i="32" s="1"/>
  <c r="AP182" i="32"/>
  <c r="AO182" i="32"/>
  <c r="AN182" i="32"/>
  <c r="AM182" i="32"/>
  <c r="AU181" i="32"/>
  <c r="AS181" i="32" s="1"/>
  <c r="AP181" i="32"/>
  <c r="AO181" i="32"/>
  <c r="AN181" i="32"/>
  <c r="AM181" i="32"/>
  <c r="AU180" i="32"/>
  <c r="AP180" i="32"/>
  <c r="AO180" i="32"/>
  <c r="AN180" i="32"/>
  <c r="AM180" i="32"/>
  <c r="AU179" i="32"/>
  <c r="AR179" i="32" s="1"/>
  <c r="AP179" i="32"/>
  <c r="AO179" i="32"/>
  <c r="AN179" i="32"/>
  <c r="AM179" i="32"/>
  <c r="AU178" i="32"/>
  <c r="AP178" i="32"/>
  <c r="AO178" i="32"/>
  <c r="AN178" i="32"/>
  <c r="AM178" i="32"/>
  <c r="AU177" i="32"/>
  <c r="AT177" i="32" s="1"/>
  <c r="AP177" i="32"/>
  <c r="AO177" i="32"/>
  <c r="AN177" i="32"/>
  <c r="AM177" i="32"/>
  <c r="AU176" i="32"/>
  <c r="AT176" i="32" s="1"/>
  <c r="AP176" i="32"/>
  <c r="AO176" i="32"/>
  <c r="AN176" i="32"/>
  <c r="AM176" i="32"/>
  <c r="AU175" i="32"/>
  <c r="AQ175" i="32" s="1"/>
  <c r="AP175" i="32"/>
  <c r="AO175" i="32"/>
  <c r="AN175" i="32"/>
  <c r="AM175" i="32"/>
  <c r="AU174" i="32"/>
  <c r="AR174" i="32" s="1"/>
  <c r="AP174" i="32"/>
  <c r="AO174" i="32"/>
  <c r="AN174" i="32"/>
  <c r="AM174" i="32"/>
  <c r="AU173" i="32"/>
  <c r="AS173" i="32" s="1"/>
  <c r="AP173" i="32"/>
  <c r="AO173" i="32"/>
  <c r="AN173" i="32"/>
  <c r="AM173" i="32"/>
  <c r="AU172" i="32"/>
  <c r="AP172" i="32"/>
  <c r="AO172" i="32"/>
  <c r="AN172" i="32"/>
  <c r="AM172" i="32"/>
  <c r="AU171" i="32"/>
  <c r="AS171" i="32" s="1"/>
  <c r="AP171" i="32"/>
  <c r="AO171" i="32"/>
  <c r="AN171" i="32"/>
  <c r="AM171" i="32"/>
  <c r="AU170" i="32"/>
  <c r="AP170" i="32"/>
  <c r="AO170" i="32"/>
  <c r="AN170" i="32"/>
  <c r="AM170" i="32"/>
  <c r="AU169" i="32"/>
  <c r="AT169" i="32" s="1"/>
  <c r="AP169" i="32"/>
  <c r="AO169" i="32"/>
  <c r="AN169" i="32"/>
  <c r="AM169" i="32"/>
  <c r="AU168" i="32"/>
  <c r="AT168" i="32" s="1"/>
  <c r="AP168" i="32"/>
  <c r="AO168" i="32"/>
  <c r="AN168" i="32"/>
  <c r="AM168" i="32"/>
  <c r="AU167" i="32"/>
  <c r="AQ167" i="32" s="1"/>
  <c r="AP167" i="32"/>
  <c r="AO167" i="32"/>
  <c r="AN167" i="32"/>
  <c r="AM167" i="32"/>
  <c r="AU166" i="32"/>
  <c r="AR166" i="32" s="1"/>
  <c r="AP166" i="32"/>
  <c r="AO166" i="32"/>
  <c r="AN166" i="32"/>
  <c r="AM166" i="32"/>
  <c r="AU165" i="32"/>
  <c r="AS165" i="32" s="1"/>
  <c r="AP165" i="32"/>
  <c r="AO165" i="32"/>
  <c r="AN165" i="32"/>
  <c r="AM165" i="32"/>
  <c r="AU164" i="32"/>
  <c r="AP164" i="32"/>
  <c r="AO164" i="32"/>
  <c r="AN164" i="32"/>
  <c r="AM164" i="32"/>
  <c r="AU163" i="32"/>
  <c r="AT163" i="32" s="1"/>
  <c r="AP163" i="32"/>
  <c r="AO163" i="32"/>
  <c r="AN163" i="32"/>
  <c r="AM163" i="32"/>
  <c r="AU162" i="32"/>
  <c r="AP162" i="32"/>
  <c r="AO162" i="32"/>
  <c r="AN162" i="32"/>
  <c r="AM162" i="32"/>
  <c r="AU161" i="32"/>
  <c r="AT161" i="32" s="1"/>
  <c r="AP161" i="32"/>
  <c r="AO161" i="32"/>
  <c r="AN161" i="32"/>
  <c r="AM161" i="32"/>
  <c r="AU160" i="32"/>
  <c r="AT160" i="32" s="1"/>
  <c r="AP160" i="32"/>
  <c r="AO160" i="32"/>
  <c r="AN160" i="32"/>
  <c r="AM160" i="32"/>
  <c r="AU159" i="32"/>
  <c r="AQ159" i="32" s="1"/>
  <c r="AP159" i="32"/>
  <c r="AO159" i="32"/>
  <c r="AN159" i="32"/>
  <c r="AM159" i="32"/>
  <c r="AU158" i="32"/>
  <c r="AR158" i="32" s="1"/>
  <c r="AP158" i="32"/>
  <c r="AO158" i="32"/>
  <c r="AN158" i="32"/>
  <c r="AM158" i="32"/>
  <c r="AU157" i="32"/>
  <c r="AS157" i="32" s="1"/>
  <c r="AP157" i="32"/>
  <c r="AO157" i="32"/>
  <c r="AN157" i="32"/>
  <c r="AM157" i="32"/>
  <c r="AU156" i="32"/>
  <c r="AP156" i="32"/>
  <c r="AO156" i="32"/>
  <c r="AN156" i="32"/>
  <c r="AM156" i="32"/>
  <c r="AU155" i="32"/>
  <c r="AR155" i="32" s="1"/>
  <c r="AP155" i="32"/>
  <c r="AO155" i="32"/>
  <c r="AN155" i="32"/>
  <c r="AM155" i="32"/>
  <c r="AU154" i="32"/>
  <c r="AP154" i="32"/>
  <c r="AO154" i="32"/>
  <c r="AN154" i="32"/>
  <c r="AM154" i="32"/>
  <c r="AU153" i="32"/>
  <c r="AT153" i="32" s="1"/>
  <c r="AP153" i="32"/>
  <c r="AO153" i="32"/>
  <c r="AN153" i="32"/>
  <c r="AM153" i="32"/>
  <c r="AU152" i="32"/>
  <c r="AT152" i="32" s="1"/>
  <c r="AP152" i="32"/>
  <c r="AO152" i="32"/>
  <c r="AN152" i="32"/>
  <c r="AM152" i="32"/>
  <c r="AU151" i="32"/>
  <c r="AQ151" i="32" s="1"/>
  <c r="AP151" i="32"/>
  <c r="AO151" i="32"/>
  <c r="AN151" i="32"/>
  <c r="AM151" i="32"/>
  <c r="AU150" i="32"/>
  <c r="AR150" i="32" s="1"/>
  <c r="AP150" i="32"/>
  <c r="AO150" i="32"/>
  <c r="AN150" i="32"/>
  <c r="AM150" i="32"/>
  <c r="AU149" i="32"/>
  <c r="AS149" i="32" s="1"/>
  <c r="AP149" i="32"/>
  <c r="AO149" i="32"/>
  <c r="AN149" i="32"/>
  <c r="AM149" i="32"/>
  <c r="AU148" i="32"/>
  <c r="AS148" i="32" s="1"/>
  <c r="AP148" i="32"/>
  <c r="AO148" i="32"/>
  <c r="AN148" i="32"/>
  <c r="AM148" i="32"/>
  <c r="AU147" i="32"/>
  <c r="AR147" i="32" s="1"/>
  <c r="AP147" i="32"/>
  <c r="AO147" i="32"/>
  <c r="AN147" i="32"/>
  <c r="AM147" i="32"/>
  <c r="AU146" i="32"/>
  <c r="AP146" i="32"/>
  <c r="AO146" i="32"/>
  <c r="AN146" i="32"/>
  <c r="AM146" i="32"/>
  <c r="AU145" i="32"/>
  <c r="AT145" i="32" s="1"/>
  <c r="AP145" i="32"/>
  <c r="AO145" i="32"/>
  <c r="AN145" i="32"/>
  <c r="AM145" i="32"/>
  <c r="AU144" i="32"/>
  <c r="AT144" i="32" s="1"/>
  <c r="AP144" i="32"/>
  <c r="AO144" i="32"/>
  <c r="AN144" i="32"/>
  <c r="AM144" i="32"/>
  <c r="AU143" i="32"/>
  <c r="AQ143" i="32" s="1"/>
  <c r="AP143" i="32"/>
  <c r="AO143" i="32"/>
  <c r="AN143" i="32"/>
  <c r="AM143" i="32"/>
  <c r="AU142" i="32"/>
  <c r="AR142" i="32" s="1"/>
  <c r="AP142" i="32"/>
  <c r="AO142" i="32"/>
  <c r="AN142" i="32"/>
  <c r="AM142" i="32"/>
  <c r="AU141" i="32"/>
  <c r="AS141" i="32" s="1"/>
  <c r="AP141" i="32"/>
  <c r="AO141" i="32"/>
  <c r="AN141" i="32"/>
  <c r="AM141" i="32"/>
  <c r="AU140" i="32"/>
  <c r="AS140" i="32" s="1"/>
  <c r="AP140" i="32"/>
  <c r="AO140" i="32"/>
  <c r="AN140" i="32"/>
  <c r="AM140" i="32"/>
  <c r="AU139" i="32"/>
  <c r="AR139" i="32" s="1"/>
  <c r="AP139" i="32"/>
  <c r="AO139" i="32"/>
  <c r="AN139" i="32"/>
  <c r="AM139" i="32"/>
  <c r="AU138" i="32"/>
  <c r="AP138" i="32"/>
  <c r="AO138" i="32"/>
  <c r="AN138" i="32"/>
  <c r="AM138" i="32"/>
  <c r="AU137" i="32"/>
  <c r="AT137" i="32" s="1"/>
  <c r="AP137" i="32"/>
  <c r="AO137" i="32"/>
  <c r="AN137" i="32"/>
  <c r="AM137" i="32"/>
  <c r="AU136" i="32"/>
  <c r="AR136" i="32" s="1"/>
  <c r="AP136" i="32"/>
  <c r="AO136" i="32"/>
  <c r="AN136" i="32"/>
  <c r="AM136" i="32"/>
  <c r="AU135" i="32"/>
  <c r="AQ135" i="32" s="1"/>
  <c r="AP135" i="32"/>
  <c r="AO135" i="32"/>
  <c r="AN135" i="32"/>
  <c r="AM135" i="32"/>
  <c r="AU134" i="32"/>
  <c r="AT134" i="32" s="1"/>
  <c r="AP134" i="32"/>
  <c r="AO134" i="32"/>
  <c r="AN134" i="32"/>
  <c r="AM134" i="32"/>
  <c r="AU133" i="32"/>
  <c r="AS133" i="32" s="1"/>
  <c r="AP133" i="32"/>
  <c r="AO133" i="32"/>
  <c r="AN133" i="32"/>
  <c r="AM133" i="32"/>
  <c r="AU132" i="32"/>
  <c r="AS132" i="32" s="1"/>
  <c r="AP132" i="32"/>
  <c r="AO132" i="32"/>
  <c r="AN132" i="32"/>
  <c r="AM132" i="32"/>
  <c r="AU131" i="32"/>
  <c r="AR131" i="32" s="1"/>
  <c r="AP131" i="32"/>
  <c r="AO131" i="32"/>
  <c r="AN131" i="32"/>
  <c r="AM131" i="32"/>
  <c r="AU130" i="32"/>
  <c r="AP130" i="32"/>
  <c r="AO130" i="32"/>
  <c r="AN130" i="32"/>
  <c r="AM130" i="32"/>
  <c r="AU129" i="32"/>
  <c r="AT129" i="32" s="1"/>
  <c r="AP129" i="32"/>
  <c r="AO129" i="32"/>
  <c r="AN129" i="32"/>
  <c r="AM129" i="32"/>
  <c r="AU128" i="32"/>
  <c r="AT128" i="32" s="1"/>
  <c r="AP128" i="32"/>
  <c r="AO128" i="32"/>
  <c r="AN128" i="32"/>
  <c r="AM128" i="32"/>
  <c r="AU127" i="32"/>
  <c r="AQ127" i="32" s="1"/>
  <c r="AP127" i="32"/>
  <c r="AO127" i="32"/>
  <c r="AN127" i="32"/>
  <c r="AM127" i="32"/>
  <c r="AU126" i="32"/>
  <c r="AT126" i="32" s="1"/>
  <c r="AP126" i="32"/>
  <c r="AO126" i="32"/>
  <c r="AN126" i="32"/>
  <c r="AM126" i="32"/>
  <c r="AU125" i="32"/>
  <c r="AS125" i="32" s="1"/>
  <c r="AP125" i="32"/>
  <c r="AO125" i="32"/>
  <c r="AN125" i="32"/>
  <c r="AM125" i="32"/>
  <c r="AU124" i="32"/>
  <c r="AS124" i="32" s="1"/>
  <c r="AP124" i="32"/>
  <c r="AO124" i="32"/>
  <c r="AN124" i="32"/>
  <c r="AM124" i="32"/>
  <c r="AU123" i="32"/>
  <c r="AR123" i="32" s="1"/>
  <c r="AP123" i="32"/>
  <c r="AO123" i="32"/>
  <c r="AN123" i="32"/>
  <c r="AM123" i="32"/>
  <c r="AU122" i="32"/>
  <c r="AP122" i="32"/>
  <c r="AO122" i="32"/>
  <c r="AN122" i="32"/>
  <c r="AM122" i="32"/>
  <c r="AU121" i="32"/>
  <c r="AT121" i="32" s="1"/>
  <c r="AP121" i="32"/>
  <c r="AO121" i="32"/>
  <c r="AN121" i="32"/>
  <c r="AM121" i="32"/>
  <c r="AU120" i="32"/>
  <c r="AT120" i="32" s="1"/>
  <c r="AP120" i="32"/>
  <c r="AO120" i="32"/>
  <c r="AN120" i="32"/>
  <c r="AM120" i="32"/>
  <c r="AU119" i="32"/>
  <c r="AQ119" i="32" s="1"/>
  <c r="AP119" i="32"/>
  <c r="AO119" i="32"/>
  <c r="AN119" i="32"/>
  <c r="AM119" i="32"/>
  <c r="AU118" i="32"/>
  <c r="AQ118" i="32" s="1"/>
  <c r="AP118" i="32"/>
  <c r="AO118" i="32"/>
  <c r="AN118" i="32"/>
  <c r="AM118" i="32"/>
  <c r="AU117" i="32"/>
  <c r="AS117" i="32" s="1"/>
  <c r="AP117" i="32"/>
  <c r="AO117" i="32"/>
  <c r="AN117" i="32"/>
  <c r="AM117" i="32"/>
  <c r="AU116" i="32"/>
  <c r="AS116" i="32" s="1"/>
  <c r="AP116" i="32"/>
  <c r="AO116" i="32"/>
  <c r="AN116" i="32"/>
  <c r="AM116" i="32"/>
  <c r="AU115" i="32"/>
  <c r="AR115" i="32" s="1"/>
  <c r="AP115" i="32"/>
  <c r="AO115" i="32"/>
  <c r="AN115" i="32"/>
  <c r="AM115" i="32"/>
  <c r="AU114" i="32"/>
  <c r="AP114" i="32"/>
  <c r="AO114" i="32"/>
  <c r="AN114" i="32"/>
  <c r="AM114" i="32"/>
  <c r="AU113" i="32"/>
  <c r="AT113" i="32" s="1"/>
  <c r="AP113" i="32"/>
  <c r="AO113" i="32"/>
  <c r="AN113" i="32"/>
  <c r="AM113" i="32"/>
  <c r="AU112" i="32"/>
  <c r="AS112" i="32" s="1"/>
  <c r="AP112" i="32"/>
  <c r="AO112" i="32"/>
  <c r="AN112" i="32"/>
  <c r="AM112" i="32"/>
  <c r="AU111" i="32"/>
  <c r="AQ111" i="32" s="1"/>
  <c r="AP111" i="32"/>
  <c r="AO111" i="32"/>
  <c r="AN111" i="32"/>
  <c r="AM111" i="32"/>
  <c r="AU110" i="32"/>
  <c r="AT110" i="32" s="1"/>
  <c r="AP110" i="32"/>
  <c r="AO110" i="32"/>
  <c r="AN110" i="32"/>
  <c r="AM110" i="32"/>
  <c r="AU109" i="32"/>
  <c r="AS109" i="32" s="1"/>
  <c r="AP109" i="32"/>
  <c r="AO109" i="32"/>
  <c r="AN109" i="32"/>
  <c r="AM109" i="32"/>
  <c r="AU108" i="32"/>
  <c r="AS108" i="32" s="1"/>
  <c r="AP108" i="32"/>
  <c r="AO108" i="32"/>
  <c r="AN108" i="32"/>
  <c r="AM108" i="32"/>
  <c r="AU107" i="32"/>
  <c r="AR107" i="32" s="1"/>
  <c r="AP107" i="32"/>
  <c r="AO107" i="32"/>
  <c r="AN107" i="32"/>
  <c r="AM107" i="32"/>
  <c r="AU106" i="32"/>
  <c r="AP106" i="32"/>
  <c r="AO106" i="32"/>
  <c r="AN106" i="32"/>
  <c r="AM106" i="32"/>
  <c r="AU105" i="32"/>
  <c r="AT105" i="32" s="1"/>
  <c r="AP105" i="32"/>
  <c r="AO105" i="32"/>
  <c r="AN105" i="32"/>
  <c r="AM105" i="32"/>
  <c r="AU104" i="32"/>
  <c r="AT104" i="32" s="1"/>
  <c r="AP104" i="32"/>
  <c r="AO104" i="32"/>
  <c r="AN104" i="32"/>
  <c r="AM104" i="32"/>
  <c r="AU103" i="32"/>
  <c r="AQ103" i="32" s="1"/>
  <c r="AP103" i="32"/>
  <c r="AO103" i="32"/>
  <c r="AN103" i="32"/>
  <c r="AM103" i="32"/>
  <c r="AU102" i="32"/>
  <c r="AT102" i="32" s="1"/>
  <c r="AP102" i="32"/>
  <c r="AO102" i="32"/>
  <c r="AN102" i="32"/>
  <c r="AM102" i="32"/>
  <c r="AU101" i="32"/>
  <c r="AS101" i="32" s="1"/>
  <c r="AP101" i="32"/>
  <c r="AO101" i="32"/>
  <c r="AN101" i="32"/>
  <c r="AM101" i="32"/>
  <c r="AU100" i="32"/>
  <c r="AS100" i="32" s="1"/>
  <c r="AP100" i="32"/>
  <c r="AO100" i="32"/>
  <c r="AN100" i="32"/>
  <c r="AM100" i="32"/>
  <c r="AU99" i="32"/>
  <c r="AR99" i="32" s="1"/>
  <c r="AP99" i="32"/>
  <c r="AO99" i="32"/>
  <c r="AN99" i="32"/>
  <c r="AM99" i="32"/>
  <c r="AU98" i="32"/>
  <c r="AR98" i="32" s="1"/>
  <c r="AP98" i="32"/>
  <c r="AO98" i="32"/>
  <c r="AN98" i="32"/>
  <c r="AM98" i="32"/>
  <c r="AU97" i="32"/>
  <c r="AT97" i="32" s="1"/>
  <c r="AP97" i="32"/>
  <c r="AO97" i="32"/>
  <c r="AN97" i="32"/>
  <c r="AM97" i="32"/>
  <c r="AU96" i="32"/>
  <c r="AT96" i="32" s="1"/>
  <c r="AP96" i="32"/>
  <c r="AO96" i="32"/>
  <c r="AN96" i="32"/>
  <c r="AM96" i="32"/>
  <c r="AU95" i="32"/>
  <c r="AR95" i="32" s="1"/>
  <c r="AP95" i="32"/>
  <c r="AO95" i="32"/>
  <c r="AN95" i="32"/>
  <c r="AM95" i="32"/>
  <c r="AU94" i="32"/>
  <c r="AT94" i="32" s="1"/>
  <c r="AP94" i="32"/>
  <c r="AO94" i="32"/>
  <c r="AN94" i="32"/>
  <c r="AM94" i="32"/>
  <c r="AU93" i="32"/>
  <c r="AS93" i="32" s="1"/>
  <c r="AP93" i="32"/>
  <c r="AO93" i="32"/>
  <c r="AN93" i="32"/>
  <c r="AM93" i="32"/>
  <c r="AU92" i="32"/>
  <c r="AS92" i="32" s="1"/>
  <c r="AP92" i="32"/>
  <c r="AO92" i="32"/>
  <c r="AN92" i="32"/>
  <c r="AM92" i="32"/>
  <c r="AU91" i="32"/>
  <c r="AR91" i="32" s="1"/>
  <c r="AP91" i="32"/>
  <c r="AO91" i="32"/>
  <c r="AN91" i="32"/>
  <c r="AM91" i="32"/>
  <c r="AU90" i="32"/>
  <c r="AP90" i="32"/>
  <c r="AO90" i="32"/>
  <c r="AN90" i="32"/>
  <c r="AM90" i="32"/>
  <c r="AU89" i="32"/>
  <c r="AT89" i="32" s="1"/>
  <c r="AP89" i="32"/>
  <c r="AO89" i="32"/>
  <c r="AN89" i="32"/>
  <c r="AM89" i="32"/>
  <c r="AU88" i="32"/>
  <c r="AS88" i="32" s="1"/>
  <c r="AP88" i="32"/>
  <c r="AO88" i="32"/>
  <c r="AN88" i="32"/>
  <c r="AM88" i="32"/>
  <c r="AU87" i="32"/>
  <c r="AR87" i="32" s="1"/>
  <c r="AP87" i="32"/>
  <c r="AO87" i="32"/>
  <c r="AN87" i="32"/>
  <c r="AM87" i="32"/>
  <c r="AU86" i="32"/>
  <c r="AS86" i="32" s="1"/>
  <c r="AP86" i="32"/>
  <c r="AO86" i="32"/>
  <c r="AN86" i="32"/>
  <c r="AM86" i="32"/>
  <c r="AU85" i="32"/>
  <c r="AS85" i="32" s="1"/>
  <c r="AP85" i="32"/>
  <c r="AO85" i="32"/>
  <c r="AN85" i="32"/>
  <c r="AM85" i="32"/>
  <c r="AU84" i="32"/>
  <c r="AS84" i="32" s="1"/>
  <c r="AP84" i="32"/>
  <c r="AO84" i="32"/>
  <c r="AN84" i="32"/>
  <c r="AM84" i="32"/>
  <c r="AU83" i="32"/>
  <c r="AR83" i="32" s="1"/>
  <c r="AP83" i="32"/>
  <c r="AO83" i="32"/>
  <c r="AN83" i="32"/>
  <c r="AM83" i="32"/>
  <c r="AU82" i="32"/>
  <c r="AS82" i="32" s="1"/>
  <c r="AP82" i="32"/>
  <c r="AO82" i="32"/>
  <c r="AN82" i="32"/>
  <c r="AM82" i="32"/>
  <c r="AU81" i="32"/>
  <c r="AT81" i="32" s="1"/>
  <c r="AP81" i="32"/>
  <c r="AO81" i="32"/>
  <c r="AN81" i="32"/>
  <c r="AM81" i="32"/>
  <c r="AU80" i="32"/>
  <c r="AT80" i="32" s="1"/>
  <c r="AP80" i="32"/>
  <c r="AO80" i="32"/>
  <c r="AN80" i="32"/>
  <c r="AM80" i="32"/>
  <c r="AU79" i="32"/>
  <c r="AT79" i="32" s="1"/>
  <c r="AP79" i="32"/>
  <c r="AO79" i="32"/>
  <c r="AN79" i="32"/>
  <c r="AM79" i="32"/>
  <c r="AU78" i="32"/>
  <c r="AQ78" i="32" s="1"/>
  <c r="AP78" i="32"/>
  <c r="AO78" i="32"/>
  <c r="AN78" i="32"/>
  <c r="AM78" i="32"/>
  <c r="AU77" i="32"/>
  <c r="AR77" i="32" s="1"/>
  <c r="AP77" i="32"/>
  <c r="AO77" i="32"/>
  <c r="AN77" i="32"/>
  <c r="AM77" i="32"/>
  <c r="AU76" i="32"/>
  <c r="AQ76" i="32" s="1"/>
  <c r="AP76" i="32"/>
  <c r="AO76" i="32"/>
  <c r="AN76" i="32"/>
  <c r="AM76" i="32"/>
  <c r="AU75" i="32"/>
  <c r="AR75" i="32" s="1"/>
  <c r="AP75" i="32"/>
  <c r="AO75" i="32"/>
  <c r="AN75" i="32"/>
  <c r="AM75" i="32"/>
  <c r="AU74" i="32"/>
  <c r="AT74" i="32" s="1"/>
  <c r="AP74" i="32"/>
  <c r="AO74" i="32"/>
  <c r="AN74" i="32"/>
  <c r="AM74" i="32"/>
  <c r="AU73" i="32"/>
  <c r="AT73" i="32" s="1"/>
  <c r="AP73" i="32"/>
  <c r="AO73" i="32"/>
  <c r="AN73" i="32"/>
  <c r="AM73" i="32"/>
  <c r="AU72" i="32"/>
  <c r="AS72" i="32" s="1"/>
  <c r="AP72" i="32"/>
  <c r="AO72" i="32"/>
  <c r="AN72" i="32"/>
  <c r="AM72" i="32"/>
  <c r="AU71" i="32"/>
  <c r="AR71" i="32" s="1"/>
  <c r="AP71" i="32"/>
  <c r="AO71" i="32"/>
  <c r="AN71" i="32"/>
  <c r="AM71" i="32"/>
  <c r="AU70" i="32"/>
  <c r="AT70" i="32" s="1"/>
  <c r="AP70" i="32"/>
  <c r="AO70" i="32"/>
  <c r="AN70" i="32"/>
  <c r="AM70" i="32"/>
  <c r="AU69" i="32"/>
  <c r="AT69" i="32" s="1"/>
  <c r="AP69" i="32"/>
  <c r="AO69" i="32"/>
  <c r="AN69" i="32"/>
  <c r="AM69" i="32"/>
  <c r="AU68" i="32"/>
  <c r="AT68" i="32" s="1"/>
  <c r="AP68" i="32"/>
  <c r="AO68" i="32"/>
  <c r="AN68" i="32"/>
  <c r="AM68" i="32"/>
  <c r="AU67" i="32"/>
  <c r="AQ67" i="32" s="1"/>
  <c r="AP67" i="32"/>
  <c r="AO67" i="32"/>
  <c r="AN67" i="32"/>
  <c r="AM67" i="32"/>
  <c r="AU66" i="32"/>
  <c r="AT66" i="32" s="1"/>
  <c r="AP66" i="32"/>
  <c r="AO66" i="32"/>
  <c r="AN66" i="32"/>
  <c r="AM66" i="32"/>
  <c r="AU65" i="32"/>
  <c r="AT65" i="32" s="1"/>
  <c r="AP65" i="32"/>
  <c r="AO65" i="32"/>
  <c r="AN65" i="32"/>
  <c r="AM65" i="32"/>
  <c r="AU64" i="32"/>
  <c r="AT64" i="32" s="1"/>
  <c r="AP64" i="32"/>
  <c r="AO64" i="32"/>
  <c r="AN64" i="32"/>
  <c r="AM64" i="32"/>
  <c r="AU63" i="32"/>
  <c r="AQ63" i="32" s="1"/>
  <c r="AP63" i="32"/>
  <c r="AO63" i="32"/>
  <c r="AN63" i="32"/>
  <c r="AM63" i="32"/>
  <c r="AU62" i="32"/>
  <c r="AT62" i="32" s="1"/>
  <c r="AP62" i="32"/>
  <c r="AO62" i="32"/>
  <c r="AN62" i="32"/>
  <c r="AM62" i="32"/>
  <c r="AU61" i="32"/>
  <c r="AT61" i="32" s="1"/>
  <c r="AP61" i="32"/>
  <c r="AO61" i="32"/>
  <c r="AN61" i="32"/>
  <c r="AM61" i="32"/>
  <c r="AU60" i="32"/>
  <c r="AT60" i="32" s="1"/>
  <c r="AP60" i="32"/>
  <c r="AO60" i="32"/>
  <c r="AN60" i="32"/>
  <c r="AM60" i="32"/>
  <c r="AU59" i="32"/>
  <c r="AQ59" i="32" s="1"/>
  <c r="AP59" i="32"/>
  <c r="AO59" i="32"/>
  <c r="AN59" i="32"/>
  <c r="AM59" i="32"/>
  <c r="AU58" i="32"/>
  <c r="AT58" i="32" s="1"/>
  <c r="AP58" i="32"/>
  <c r="AO58" i="32"/>
  <c r="AN58" i="32"/>
  <c r="AM58" i="32"/>
  <c r="AU57" i="32"/>
  <c r="AT57" i="32" s="1"/>
  <c r="AP57" i="32"/>
  <c r="AO57" i="32"/>
  <c r="AN57" i="32"/>
  <c r="AM57" i="32"/>
  <c r="AU56" i="32"/>
  <c r="AT56" i="32" s="1"/>
  <c r="AP56" i="32"/>
  <c r="AO56" i="32"/>
  <c r="AN56" i="32"/>
  <c r="AM56" i="32"/>
  <c r="AU55" i="32"/>
  <c r="AT55" i="32" s="1"/>
  <c r="AP55" i="32"/>
  <c r="AO55" i="32"/>
  <c r="AN55" i="32"/>
  <c r="AM55" i="32"/>
  <c r="AU54" i="32"/>
  <c r="AT54" i="32" s="1"/>
  <c r="AP54" i="32"/>
  <c r="AO54" i="32"/>
  <c r="AN54" i="32"/>
  <c r="AM54" i="32"/>
  <c r="AU53" i="32"/>
  <c r="AT53" i="32" s="1"/>
  <c r="AP53" i="32"/>
  <c r="AO53" i="32"/>
  <c r="AN53" i="32"/>
  <c r="AM53" i="32"/>
  <c r="AU52" i="32"/>
  <c r="AT52" i="32" s="1"/>
  <c r="AP52" i="32"/>
  <c r="AO52" i="32"/>
  <c r="AN52" i="32"/>
  <c r="AM52" i="32"/>
  <c r="AU51" i="32"/>
  <c r="AQ51" i="32" s="1"/>
  <c r="AP51" i="32"/>
  <c r="AO51" i="32"/>
  <c r="AN51" i="32"/>
  <c r="AM51" i="32"/>
  <c r="AU50" i="32"/>
  <c r="AT50" i="32" s="1"/>
  <c r="AP50" i="32"/>
  <c r="AO50" i="32"/>
  <c r="AN50" i="32"/>
  <c r="AM50" i="32"/>
  <c r="AU49" i="32"/>
  <c r="AT49" i="32" s="1"/>
  <c r="AP49" i="32"/>
  <c r="AO49" i="32"/>
  <c r="AN49" i="32"/>
  <c r="AM49" i="32"/>
  <c r="AU48" i="32"/>
  <c r="AT48" i="32" s="1"/>
  <c r="AP48" i="32"/>
  <c r="AO48" i="32"/>
  <c r="AN48" i="32"/>
  <c r="AM48" i="32"/>
  <c r="AU47" i="32"/>
  <c r="AS47" i="32" s="1"/>
  <c r="AP47" i="32"/>
  <c r="AO47" i="32"/>
  <c r="AN47" i="32"/>
  <c r="AM47" i="32"/>
  <c r="AU46" i="32"/>
  <c r="AT46" i="32" s="1"/>
  <c r="AP46" i="32"/>
  <c r="AO46" i="32"/>
  <c r="AN46" i="32"/>
  <c r="AM46" i="32"/>
  <c r="AU45" i="32"/>
  <c r="AT45" i="32" s="1"/>
  <c r="AP45" i="32"/>
  <c r="AO45" i="32"/>
  <c r="AN45" i="32"/>
  <c r="AM45" i="32"/>
  <c r="AU44" i="32"/>
  <c r="AS44" i="32" s="1"/>
  <c r="AP44" i="32"/>
  <c r="AO44" i="32"/>
  <c r="AN44" i="32"/>
  <c r="AM44" i="32"/>
  <c r="AU43" i="32"/>
  <c r="AQ43" i="32" s="1"/>
  <c r="AP43" i="32"/>
  <c r="AO43" i="32"/>
  <c r="AN43" i="32"/>
  <c r="AM43" i="32"/>
  <c r="AU42" i="32"/>
  <c r="AT42" i="32" s="1"/>
  <c r="AP42" i="32"/>
  <c r="AO42" i="32"/>
  <c r="AN42" i="32"/>
  <c r="AM42" i="32"/>
  <c r="AU41" i="32"/>
  <c r="AT41" i="32" s="1"/>
  <c r="AP41" i="32"/>
  <c r="AO41" i="32"/>
  <c r="AN41" i="32"/>
  <c r="AM41" i="32"/>
  <c r="AU40" i="32"/>
  <c r="AT40" i="32" s="1"/>
  <c r="AP40" i="32"/>
  <c r="AO40" i="32"/>
  <c r="AN40" i="32"/>
  <c r="AM40" i="32"/>
  <c r="AU39" i="32"/>
  <c r="AS39" i="32" s="1"/>
  <c r="AP39" i="32"/>
  <c r="AO39" i="32"/>
  <c r="AN39" i="32"/>
  <c r="AM39" i="32"/>
  <c r="AU38" i="32"/>
  <c r="AT38" i="32" s="1"/>
  <c r="AP38" i="32"/>
  <c r="AO38" i="32"/>
  <c r="AN38" i="32"/>
  <c r="AM38" i="32"/>
  <c r="AU37" i="32"/>
  <c r="AT37" i="32" s="1"/>
  <c r="AP37" i="32"/>
  <c r="AO37" i="32"/>
  <c r="AN37" i="32"/>
  <c r="AM37" i="32"/>
  <c r="AU36" i="32"/>
  <c r="AR36" i="32" s="1"/>
  <c r="AP36" i="32"/>
  <c r="AO36" i="32"/>
  <c r="AN36" i="32"/>
  <c r="AM36" i="32"/>
  <c r="AU35" i="32"/>
  <c r="AQ35" i="32" s="1"/>
  <c r="AP35" i="32"/>
  <c r="AO35" i="32"/>
  <c r="AN35" i="32"/>
  <c r="AM35" i="32"/>
  <c r="AU34" i="32"/>
  <c r="AT34" i="32" s="1"/>
  <c r="AP34" i="32"/>
  <c r="AO34" i="32"/>
  <c r="AN34" i="32"/>
  <c r="AM34" i="32"/>
  <c r="AU33" i="32"/>
  <c r="AT33" i="32" s="1"/>
  <c r="AP33" i="32"/>
  <c r="AO33" i="32"/>
  <c r="AN33" i="32"/>
  <c r="AM33" i="32"/>
  <c r="AU32" i="32"/>
  <c r="AT32" i="32" s="1"/>
  <c r="AP32" i="32"/>
  <c r="AO32" i="32"/>
  <c r="AN32" i="32"/>
  <c r="AM32" i="32"/>
  <c r="AU31" i="32"/>
  <c r="AT31" i="32" s="1"/>
  <c r="AP31" i="32"/>
  <c r="AO31" i="32"/>
  <c r="AN31" i="32"/>
  <c r="AM31" i="32"/>
  <c r="AU30" i="32"/>
  <c r="AT30" i="32" s="1"/>
  <c r="AP30" i="32"/>
  <c r="AO30" i="32"/>
  <c r="AN30" i="32"/>
  <c r="AM30" i="32"/>
  <c r="AU29" i="32"/>
  <c r="AT29" i="32" s="1"/>
  <c r="AP29" i="32"/>
  <c r="AO29" i="32"/>
  <c r="AN29" i="32"/>
  <c r="AM29" i="32"/>
  <c r="AU28" i="32"/>
  <c r="AT28" i="32" s="1"/>
  <c r="AP28" i="32"/>
  <c r="AO28" i="32"/>
  <c r="AN28" i="32"/>
  <c r="AM28" i="32"/>
  <c r="AU27" i="32"/>
  <c r="AQ27" i="32" s="1"/>
  <c r="AP27" i="32"/>
  <c r="AO27" i="32"/>
  <c r="AN27" i="32"/>
  <c r="AM27" i="32"/>
  <c r="AU26" i="32"/>
  <c r="AT26" i="32" s="1"/>
  <c r="AP26" i="32"/>
  <c r="AO26" i="32"/>
  <c r="AN26" i="32"/>
  <c r="AM26" i="32"/>
  <c r="AU25" i="32"/>
  <c r="AT25" i="32" s="1"/>
  <c r="AP25" i="32"/>
  <c r="AO25" i="32"/>
  <c r="AN25" i="32"/>
  <c r="AM25" i="32"/>
  <c r="AU24" i="32"/>
  <c r="AT24" i="32" s="1"/>
  <c r="AP24" i="32"/>
  <c r="AO24" i="32"/>
  <c r="AN24" i="32"/>
  <c r="AM24" i="32"/>
  <c r="AU23" i="32"/>
  <c r="AT23" i="32" s="1"/>
  <c r="AP23" i="32"/>
  <c r="AO23" i="32"/>
  <c r="AN23" i="32"/>
  <c r="AM23" i="32"/>
  <c r="AU22" i="32"/>
  <c r="AT22" i="32" s="1"/>
  <c r="AP22" i="32"/>
  <c r="AO22" i="32"/>
  <c r="AN22" i="32"/>
  <c r="AM22" i="32"/>
  <c r="AU21" i="32"/>
  <c r="AT21" i="32" s="1"/>
  <c r="AP21" i="32"/>
  <c r="AO21" i="32"/>
  <c r="AN21" i="32"/>
  <c r="AM21" i="32"/>
  <c r="AU20" i="32"/>
  <c r="AT20" i="32" s="1"/>
  <c r="AP20" i="32"/>
  <c r="AO20" i="32"/>
  <c r="AN20" i="32"/>
  <c r="AM20" i="32"/>
  <c r="AU19" i="32"/>
  <c r="AQ19" i="32" s="1"/>
  <c r="AP19" i="32"/>
  <c r="AO19" i="32"/>
  <c r="AN19" i="32"/>
  <c r="AM19" i="32"/>
  <c r="AU18" i="32"/>
  <c r="AS18" i="32" s="1"/>
  <c r="AP18" i="32"/>
  <c r="AO18" i="32"/>
  <c r="AN18" i="32"/>
  <c r="AM18" i="32"/>
  <c r="AU17" i="32"/>
  <c r="AT17" i="32" s="1"/>
  <c r="AP17" i="32"/>
  <c r="AO17" i="32"/>
  <c r="AN17" i="32"/>
  <c r="AM17" i="32"/>
  <c r="AU16" i="32"/>
  <c r="AT16" i="32" s="1"/>
  <c r="AP16" i="32"/>
  <c r="AO16" i="32"/>
  <c r="AN16" i="32"/>
  <c r="AM16" i="32"/>
  <c r="AU15" i="32"/>
  <c r="AT15" i="32" s="1"/>
  <c r="AP15" i="32"/>
  <c r="AO15" i="32"/>
  <c r="AN15" i="32"/>
  <c r="AM15" i="32"/>
  <c r="AU14" i="32"/>
  <c r="AT14" i="32" s="1"/>
  <c r="AP14" i="32"/>
  <c r="AO14" i="32"/>
  <c r="AN14" i="32"/>
  <c r="AM14" i="32"/>
  <c r="AU13" i="32"/>
  <c r="AT13" i="32" s="1"/>
  <c r="AP13" i="32"/>
  <c r="AO13" i="32"/>
  <c r="AN13" i="32"/>
  <c r="AM13" i="32"/>
  <c r="AU12" i="32"/>
  <c r="AS12" i="32" s="1"/>
  <c r="AP12" i="32"/>
  <c r="AO12" i="32"/>
  <c r="AN12" i="32"/>
  <c r="AM12" i="32"/>
  <c r="AU11" i="32"/>
  <c r="AQ11" i="32" s="1"/>
  <c r="AP11" i="32"/>
  <c r="AO11" i="32"/>
  <c r="AN11" i="32"/>
  <c r="AM11" i="32"/>
  <c r="AU10" i="32"/>
  <c r="AS10" i="32" s="1"/>
  <c r="AP10" i="32"/>
  <c r="AO10" i="32"/>
  <c r="AN10" i="32"/>
  <c r="AM10" i="32"/>
  <c r="AU9" i="32"/>
  <c r="AT9" i="32" s="1"/>
  <c r="AP9" i="32"/>
  <c r="AO9" i="32"/>
  <c r="AN9" i="32"/>
  <c r="AM9" i="32"/>
  <c r="AU8" i="32"/>
  <c r="AT8" i="32" s="1"/>
  <c r="AP8" i="32"/>
  <c r="AO8" i="32"/>
  <c r="AN8" i="32"/>
  <c r="AM8" i="32"/>
  <c r="AU7" i="32"/>
  <c r="AT7" i="32" s="1"/>
  <c r="AP7" i="32"/>
  <c r="AO7" i="32"/>
  <c r="AN7" i="32"/>
  <c r="AM7" i="32"/>
  <c r="AU6" i="32"/>
  <c r="AT6" i="32" s="1"/>
  <c r="AP6" i="32"/>
  <c r="AO6" i="32"/>
  <c r="AN6" i="32"/>
  <c r="AM6" i="32"/>
  <c r="AU5" i="32"/>
  <c r="AT5" i="32" s="1"/>
  <c r="AP5" i="32"/>
  <c r="AO5" i="32"/>
  <c r="AN5" i="32"/>
  <c r="AM5" i="32"/>
  <c r="AU4" i="32"/>
  <c r="AS4" i="32" s="1"/>
  <c r="AP4" i="32"/>
  <c r="AO4" i="32"/>
  <c r="AN4" i="32"/>
  <c r="AM4" i="32"/>
  <c r="AU3" i="32"/>
  <c r="AQ3" i="32" s="1"/>
  <c r="AP3" i="32"/>
  <c r="AO3" i="32"/>
  <c r="AN3" i="32"/>
  <c r="AM3" i="32"/>
  <c r="AS105" i="32" l="1"/>
  <c r="AT72" i="32"/>
  <c r="AT83" i="32"/>
  <c r="AS27" i="32"/>
  <c r="AS97" i="32"/>
  <c r="AT67" i="32"/>
  <c r="AR39" i="32"/>
  <c r="AT3" i="32"/>
  <c r="AT36" i="32"/>
  <c r="AT133" i="32"/>
  <c r="AQ30" i="32"/>
  <c r="AS59" i="32"/>
  <c r="AS179" i="32"/>
  <c r="AR120" i="32"/>
  <c r="AR118" i="32"/>
  <c r="AT139" i="32"/>
  <c r="AT118" i="32"/>
  <c r="AQ39" i="32"/>
  <c r="AR109" i="32"/>
  <c r="AR125" i="32"/>
  <c r="AS96" i="32"/>
  <c r="AQ128" i="32"/>
  <c r="AQ240" i="32"/>
  <c r="AQ22" i="32"/>
  <c r="AQ105" i="32"/>
  <c r="AS107" i="32"/>
  <c r="AT109" i="32"/>
  <c r="AS118" i="32"/>
  <c r="AQ120" i="32"/>
  <c r="AR189" i="32"/>
  <c r="AT232" i="32"/>
  <c r="AR257" i="32"/>
  <c r="AR94" i="32"/>
  <c r="AQ83" i="32"/>
  <c r="AT112" i="32"/>
  <c r="AQ242" i="32"/>
  <c r="AQ144" i="32"/>
  <c r="AR63" i="32"/>
  <c r="AS128" i="32"/>
  <c r="AR144" i="32"/>
  <c r="AQ158" i="32"/>
  <c r="AQ160" i="32"/>
  <c r="AS238" i="32"/>
  <c r="AR240" i="32"/>
  <c r="AR242" i="32"/>
  <c r="AS3" i="32"/>
  <c r="AS5" i="32"/>
  <c r="AT12" i="32"/>
  <c r="AQ77" i="32"/>
  <c r="AS144" i="32"/>
  <c r="AS158" i="32"/>
  <c r="AS177" i="32"/>
  <c r="AQ234" i="32"/>
  <c r="AR69" i="32"/>
  <c r="AR127" i="32"/>
  <c r="AS168" i="32"/>
  <c r="AQ247" i="32"/>
  <c r="AS254" i="32"/>
  <c r="AQ187" i="32"/>
  <c r="AQ14" i="32"/>
  <c r="AQ117" i="32"/>
  <c r="AR187" i="32"/>
  <c r="AQ44" i="32"/>
  <c r="AR53" i="32"/>
  <c r="AR117" i="32"/>
  <c r="AQ174" i="32"/>
  <c r="AR20" i="32"/>
  <c r="AR44" i="32"/>
  <c r="AS174" i="32"/>
  <c r="AS20" i="32"/>
  <c r="AR31" i="32"/>
  <c r="AT44" i="32"/>
  <c r="AQ121" i="32"/>
  <c r="AQ152" i="32"/>
  <c r="AQ168" i="32"/>
  <c r="AR27" i="32"/>
  <c r="AQ38" i="32"/>
  <c r="AS67" i="32"/>
  <c r="AQ69" i="32"/>
  <c r="AQ109" i="32"/>
  <c r="AS121" i="32"/>
  <c r="AS150" i="32"/>
  <c r="AR168" i="32"/>
  <c r="AQ54" i="32"/>
  <c r="AS63" i="32"/>
  <c r="AS83" i="32"/>
  <c r="AQ85" i="32"/>
  <c r="AR128" i="32"/>
  <c r="AR173" i="32"/>
  <c r="AS256" i="32"/>
  <c r="AT117" i="32"/>
  <c r="AQ166" i="32"/>
  <c r="AS187" i="32"/>
  <c r="AQ209" i="32"/>
  <c r="AT10" i="32"/>
  <c r="AS21" i="32"/>
  <c r="AQ46" i="32"/>
  <c r="AQ53" i="32"/>
  <c r="AQ79" i="32"/>
  <c r="AT125" i="32"/>
  <c r="AR177" i="32"/>
  <c r="AQ179" i="32"/>
  <c r="AQ201" i="32"/>
  <c r="AR234" i="32"/>
  <c r="AQ256" i="32"/>
  <c r="AR201" i="32"/>
  <c r="AS136" i="32"/>
  <c r="AS201" i="32"/>
  <c r="AT4" i="32"/>
  <c r="AQ6" i="32"/>
  <c r="AR43" i="32"/>
  <c r="AT88" i="32"/>
  <c r="AR134" i="32"/>
  <c r="AT136" i="32"/>
  <c r="AQ184" i="32"/>
  <c r="AR197" i="32"/>
  <c r="AQ224" i="32"/>
  <c r="AS35" i="32"/>
  <c r="AQ37" i="32"/>
  <c r="AS43" i="32"/>
  <c r="AR67" i="32"/>
  <c r="AQ165" i="32"/>
  <c r="AR184" i="32"/>
  <c r="AT195" i="32"/>
  <c r="AQ208" i="32"/>
  <c r="AS210" i="32"/>
  <c r="AR224" i="32"/>
  <c r="AQ250" i="32"/>
  <c r="AR37" i="32"/>
  <c r="AS71" i="32"/>
  <c r="AR93" i="32"/>
  <c r="AQ97" i="32"/>
  <c r="AS99" i="32"/>
  <c r="AQ163" i="32"/>
  <c r="AQ206" i="32"/>
  <c r="AS224" i="32"/>
  <c r="AR231" i="32"/>
  <c r="AQ233" i="32"/>
  <c r="AS248" i="32"/>
  <c r="AR152" i="32"/>
  <c r="AR209" i="32"/>
  <c r="AQ113" i="32"/>
  <c r="AQ115" i="32"/>
  <c r="AS120" i="32"/>
  <c r="AS152" i="32"/>
  <c r="AR183" i="32"/>
  <c r="AS209" i="32"/>
  <c r="AQ102" i="32"/>
  <c r="AS113" i="32"/>
  <c r="AS115" i="32"/>
  <c r="AR181" i="32"/>
  <c r="AR185" i="32"/>
  <c r="AQ211" i="32"/>
  <c r="AR102" i="32"/>
  <c r="AQ23" i="32"/>
  <c r="AR78" i="32"/>
  <c r="AQ13" i="32"/>
  <c r="AS23" i="32"/>
  <c r="AT27" i="32"/>
  <c r="AT39" i="32"/>
  <c r="AR60" i="32"/>
  <c r="AQ72" i="32"/>
  <c r="AS78" i="32"/>
  <c r="AT86" i="32"/>
  <c r="AQ88" i="32"/>
  <c r="AS102" i="32"/>
  <c r="AQ110" i="32"/>
  <c r="AQ112" i="32"/>
  <c r="AQ147" i="32"/>
  <c r="AR159" i="32"/>
  <c r="AS161" i="32"/>
  <c r="AR163" i="32"/>
  <c r="AR165" i="32"/>
  <c r="AT171" i="32"/>
  <c r="AT189" i="32"/>
  <c r="AS206" i="32"/>
  <c r="AR208" i="32"/>
  <c r="AQ225" i="32"/>
  <c r="AT229" i="32"/>
  <c r="AR233" i="32"/>
  <c r="AT237" i="32"/>
  <c r="AR239" i="32"/>
  <c r="AS245" i="32"/>
  <c r="AR247" i="32"/>
  <c r="AS253" i="32"/>
  <c r="AR23" i="32"/>
  <c r="AQ60" i="32"/>
  <c r="AR13" i="32"/>
  <c r="AQ36" i="32"/>
  <c r="AR45" i="32"/>
  <c r="AT47" i="32"/>
  <c r="AS60" i="32"/>
  <c r="AQ62" i="32"/>
  <c r="AR72" i="32"/>
  <c r="AT78" i="32"/>
  <c r="AR80" i="32"/>
  <c r="AR88" i="32"/>
  <c r="AR110" i="32"/>
  <c r="AR112" i="32"/>
  <c r="AQ139" i="32"/>
  <c r="AS147" i="32"/>
  <c r="AQ149" i="32"/>
  <c r="AR151" i="32"/>
  <c r="AT165" i="32"/>
  <c r="AQ198" i="32"/>
  <c r="AS208" i="32"/>
  <c r="AR225" i="32"/>
  <c r="AQ227" i="32"/>
  <c r="AS233" i="32"/>
  <c r="AR241" i="32"/>
  <c r="AS247" i="32"/>
  <c r="AR249" i="32"/>
  <c r="AT253" i="32"/>
  <c r="AT255" i="32"/>
  <c r="AR3" i="32"/>
  <c r="AQ20" i="32"/>
  <c r="AS36" i="32"/>
  <c r="AQ125" i="32"/>
  <c r="AR133" i="32"/>
  <c r="AS139" i="32"/>
  <c r="AT147" i="32"/>
  <c r="AS198" i="32"/>
  <c r="AS225" i="32"/>
  <c r="AS249" i="32"/>
  <c r="AQ257" i="32"/>
  <c r="AS110" i="32"/>
  <c r="AT115" i="32"/>
  <c r="AR135" i="32"/>
  <c r="AQ142" i="32"/>
  <c r="AR149" i="32"/>
  <c r="AS163" i="32"/>
  <c r="AS184" i="32"/>
  <c r="AQ218" i="32"/>
  <c r="AS222" i="32"/>
  <c r="AS240" i="32"/>
  <c r="AS37" i="32"/>
  <c r="AT63" i="32"/>
  <c r="AQ107" i="32"/>
  <c r="AS142" i="32"/>
  <c r="AT149" i="32"/>
  <c r="AR191" i="32"/>
  <c r="AT213" i="32"/>
  <c r="AR215" i="32"/>
  <c r="AR218" i="32"/>
  <c r="AS13" i="32"/>
  <c r="AQ15" i="32"/>
  <c r="AT43" i="32"/>
  <c r="AS53" i="32"/>
  <c r="AQ55" i="32"/>
  <c r="AR59" i="32"/>
  <c r="AQ80" i="32"/>
  <c r="AQ94" i="32"/>
  <c r="AQ99" i="32"/>
  <c r="AT107" i="32"/>
  <c r="AQ134" i="32"/>
  <c r="AS137" i="32"/>
  <c r="AR160" i="32"/>
  <c r="AR167" i="32"/>
  <c r="AT179" i="32"/>
  <c r="AT181" i="32"/>
  <c r="AQ203" i="32"/>
  <c r="AS246" i="32"/>
  <c r="AQ249" i="32"/>
  <c r="AR253" i="32"/>
  <c r="AR256" i="32"/>
  <c r="AQ12" i="32"/>
  <c r="AR15" i="32"/>
  <c r="AR19" i="32"/>
  <c r="AQ29" i="32"/>
  <c r="AQ52" i="32"/>
  <c r="AR55" i="32"/>
  <c r="AQ104" i="32"/>
  <c r="AQ141" i="32"/>
  <c r="AQ155" i="32"/>
  <c r="AS160" i="32"/>
  <c r="AQ176" i="32"/>
  <c r="AQ193" i="32"/>
  <c r="AQ200" i="32"/>
  <c r="AR203" i="32"/>
  <c r="AR205" i="32"/>
  <c r="AQ217" i="32"/>
  <c r="AR12" i="32"/>
  <c r="AS15" i="32"/>
  <c r="AR29" i="32"/>
  <c r="AR52" i="32"/>
  <c r="AS55" i="32"/>
  <c r="AT59" i="32"/>
  <c r="AT71" i="32"/>
  <c r="AS77" i="32"/>
  <c r="AS80" i="32"/>
  <c r="AQ86" i="32"/>
  <c r="AQ89" i="32"/>
  <c r="AQ91" i="32"/>
  <c r="AS94" i="32"/>
  <c r="AT99" i="32"/>
  <c r="AQ101" i="32"/>
  <c r="AR104" i="32"/>
  <c r="AR119" i="32"/>
  <c r="AQ126" i="32"/>
  <c r="AQ129" i="32"/>
  <c r="AQ131" i="32"/>
  <c r="AS134" i="32"/>
  <c r="AR141" i="32"/>
  <c r="AS153" i="32"/>
  <c r="AS155" i="32"/>
  <c r="AQ157" i="32"/>
  <c r="AQ171" i="32"/>
  <c r="AR176" i="32"/>
  <c r="AR193" i="32"/>
  <c r="AQ195" i="32"/>
  <c r="AR200" i="32"/>
  <c r="AT203" i="32"/>
  <c r="AT205" i="32"/>
  <c r="AR217" i="32"/>
  <c r="AQ226" i="32"/>
  <c r="AS230" i="32"/>
  <c r="AQ232" i="32"/>
  <c r="AQ235" i="32"/>
  <c r="AQ255" i="32"/>
  <c r="AQ258" i="32"/>
  <c r="AQ5" i="32"/>
  <c r="AS19" i="32"/>
  <c r="AR5" i="32"/>
  <c r="AT19" i="32"/>
  <c r="AS29" i="32"/>
  <c r="AQ31" i="32"/>
  <c r="AR35" i="32"/>
  <c r="AQ45" i="32"/>
  <c r="AS52" i="32"/>
  <c r="AQ68" i="32"/>
  <c r="AT77" i="32"/>
  <c r="AR86" i="32"/>
  <c r="AS89" i="32"/>
  <c r="AS91" i="32"/>
  <c r="AQ96" i="32"/>
  <c r="AR101" i="32"/>
  <c r="AS104" i="32"/>
  <c r="AR126" i="32"/>
  <c r="AS129" i="32"/>
  <c r="AS131" i="32"/>
  <c r="AQ136" i="32"/>
  <c r="AT141" i="32"/>
  <c r="AT155" i="32"/>
  <c r="AR157" i="32"/>
  <c r="AS169" i="32"/>
  <c r="AR171" i="32"/>
  <c r="AS176" i="32"/>
  <c r="AQ190" i="32"/>
  <c r="AS193" i="32"/>
  <c r="AR195" i="32"/>
  <c r="AS200" i="32"/>
  <c r="AR207" i="32"/>
  <c r="AQ210" i="32"/>
  <c r="AS217" i="32"/>
  <c r="AT221" i="32"/>
  <c r="AR223" i="32"/>
  <c r="AR226" i="32"/>
  <c r="AR232" i="32"/>
  <c r="AQ248" i="32"/>
  <c r="AR255" i="32"/>
  <c r="AR68" i="32"/>
  <c r="AT91" i="32"/>
  <c r="AQ93" i="32"/>
  <c r="AR96" i="32"/>
  <c r="AT101" i="32"/>
  <c r="AR111" i="32"/>
  <c r="AS126" i="32"/>
  <c r="AT131" i="32"/>
  <c r="AQ133" i="32"/>
  <c r="AR143" i="32"/>
  <c r="AQ150" i="32"/>
  <c r="AT157" i="32"/>
  <c r="AQ173" i="32"/>
  <c r="AQ185" i="32"/>
  <c r="AS190" i="32"/>
  <c r="AQ192" i="32"/>
  <c r="AR210" i="32"/>
  <c r="AS214" i="32"/>
  <c r="AQ216" i="32"/>
  <c r="AQ219" i="32"/>
  <c r="AQ241" i="32"/>
  <c r="AR248" i="32"/>
  <c r="AQ4" i="32"/>
  <c r="AR7" i="32"/>
  <c r="AR11" i="32"/>
  <c r="AR28" i="32"/>
  <c r="AS31" i="32"/>
  <c r="AT35" i="32"/>
  <c r="AS45" i="32"/>
  <c r="AQ47" i="32"/>
  <c r="AR51" i="32"/>
  <c r="AQ61" i="32"/>
  <c r="AS68" i="32"/>
  <c r="AQ123" i="32"/>
  <c r="AR192" i="32"/>
  <c r="AR216" i="32"/>
  <c r="AQ7" i="32"/>
  <c r="AQ28" i="32"/>
  <c r="AR4" i="32"/>
  <c r="AS7" i="32"/>
  <c r="AS11" i="32"/>
  <c r="AQ21" i="32"/>
  <c r="AS28" i="32"/>
  <c r="AR47" i="32"/>
  <c r="AS51" i="32"/>
  <c r="AR61" i="32"/>
  <c r="AR79" i="32"/>
  <c r="AT93" i="32"/>
  <c r="AS123" i="32"/>
  <c r="AS166" i="32"/>
  <c r="AT173" i="32"/>
  <c r="AQ182" i="32"/>
  <c r="AS185" i="32"/>
  <c r="AS192" i="32"/>
  <c r="AT197" i="32"/>
  <c r="AS216" i="32"/>
  <c r="AS241" i="32"/>
  <c r="AT245" i="32"/>
  <c r="AT11" i="32"/>
  <c r="AT18" i="32"/>
  <c r="AR21" i="32"/>
  <c r="AT51" i="32"/>
  <c r="AS61" i="32"/>
  <c r="AQ70" i="32"/>
  <c r="AR103" i="32"/>
  <c r="AT123" i="32"/>
  <c r="AS145" i="32"/>
  <c r="AR175" i="32"/>
  <c r="AS182" i="32"/>
  <c r="AR199" i="32"/>
  <c r="AT164" i="32"/>
  <c r="AR164" i="32"/>
  <c r="AQ164" i="32"/>
  <c r="AR22" i="32"/>
  <c r="AR30" i="32"/>
  <c r="AR38" i="32"/>
  <c r="AR46" i="32"/>
  <c r="AR54" i="32"/>
  <c r="AR62" i="32"/>
  <c r="AS69" i="32"/>
  <c r="AR70" i="32"/>
  <c r="AQ71" i="32"/>
  <c r="AS79" i="32"/>
  <c r="AQ81" i="32"/>
  <c r="AQ82" i="32"/>
  <c r="AR84" i="32"/>
  <c r="AR85" i="32"/>
  <c r="AT100" i="32"/>
  <c r="AR100" i="32"/>
  <c r="AQ100" i="32"/>
  <c r="AT122" i="32"/>
  <c r="AS122" i="32"/>
  <c r="AR122" i="32"/>
  <c r="AQ122" i="32"/>
  <c r="AT132" i="32"/>
  <c r="AR132" i="32"/>
  <c r="AQ132" i="32"/>
  <c r="AT148" i="32"/>
  <c r="AR148" i="32"/>
  <c r="AQ148" i="32"/>
  <c r="AT162" i="32"/>
  <c r="AS162" i="32"/>
  <c r="AR162" i="32"/>
  <c r="AQ162" i="32"/>
  <c r="AT170" i="32"/>
  <c r="AS170" i="32"/>
  <c r="AR170" i="32"/>
  <c r="AQ170" i="32"/>
  <c r="AT188" i="32"/>
  <c r="AR188" i="32"/>
  <c r="AQ188" i="32"/>
  <c r="AT220" i="32"/>
  <c r="AS220" i="32"/>
  <c r="AR220" i="32"/>
  <c r="AQ220" i="32"/>
  <c r="AT180" i="32"/>
  <c r="AR180" i="32"/>
  <c r="AQ180" i="32"/>
  <c r="AR6" i="32"/>
  <c r="AR14" i="32"/>
  <c r="AS6" i="32"/>
  <c r="AQ8" i="32"/>
  <c r="AS14" i="32"/>
  <c r="AQ16" i="32"/>
  <c r="AS22" i="32"/>
  <c r="AQ24" i="32"/>
  <c r="AS30" i="32"/>
  <c r="AQ32" i="32"/>
  <c r="AS38" i="32"/>
  <c r="AQ40" i="32"/>
  <c r="AS46" i="32"/>
  <c r="AQ48" i="32"/>
  <c r="AS54" i="32"/>
  <c r="AQ56" i="32"/>
  <c r="AS62" i="32"/>
  <c r="AQ64" i="32"/>
  <c r="AS70" i="32"/>
  <c r="AR81" i="32"/>
  <c r="AR82" i="32"/>
  <c r="AT85" i="32"/>
  <c r="AQ87" i="32"/>
  <c r="AT87" i="32"/>
  <c r="AS87" i="32"/>
  <c r="AT140" i="32"/>
  <c r="AR140" i="32"/>
  <c r="AQ140" i="32"/>
  <c r="AT154" i="32"/>
  <c r="AS154" i="32"/>
  <c r="AR154" i="32"/>
  <c r="AQ154" i="32"/>
  <c r="AT178" i="32"/>
  <c r="AS178" i="32"/>
  <c r="AR178" i="32"/>
  <c r="AQ178" i="32"/>
  <c r="AT186" i="32"/>
  <c r="AS186" i="32"/>
  <c r="AR186" i="32"/>
  <c r="AQ186" i="32"/>
  <c r="AT196" i="32"/>
  <c r="AR196" i="32"/>
  <c r="AQ196" i="32"/>
  <c r="AT90" i="32"/>
  <c r="AS90" i="32"/>
  <c r="AQ90" i="32"/>
  <c r="AT172" i="32"/>
  <c r="AR172" i="32"/>
  <c r="AQ172" i="32"/>
  <c r="AR8" i="32"/>
  <c r="AQ9" i="32"/>
  <c r="AR16" i="32"/>
  <c r="AQ17" i="32"/>
  <c r="AR24" i="32"/>
  <c r="AQ25" i="32"/>
  <c r="AR32" i="32"/>
  <c r="AQ33" i="32"/>
  <c r="AR40" i="32"/>
  <c r="AQ41" i="32"/>
  <c r="AR48" i="32"/>
  <c r="AQ49" i="32"/>
  <c r="AR56" i="32"/>
  <c r="AQ57" i="32"/>
  <c r="AR64" i="32"/>
  <c r="AQ65" i="32"/>
  <c r="AQ73" i="32"/>
  <c r="AS81" i="32"/>
  <c r="AT82" i="32"/>
  <c r="AT84" i="32"/>
  <c r="AQ84" i="32"/>
  <c r="AT98" i="32"/>
  <c r="AS98" i="32"/>
  <c r="AQ98" i="32"/>
  <c r="AT108" i="32"/>
  <c r="AR108" i="32"/>
  <c r="AQ108" i="32"/>
  <c r="AT130" i="32"/>
  <c r="AS130" i="32"/>
  <c r="AR130" i="32"/>
  <c r="AQ130" i="32"/>
  <c r="AT146" i="32"/>
  <c r="AS146" i="32"/>
  <c r="AR146" i="32"/>
  <c r="AQ146" i="32"/>
  <c r="AT194" i="32"/>
  <c r="AS194" i="32"/>
  <c r="AR194" i="32"/>
  <c r="AQ194" i="32"/>
  <c r="AT204" i="32"/>
  <c r="AR204" i="32"/>
  <c r="AQ204" i="32"/>
  <c r="AT236" i="32"/>
  <c r="AS236" i="32"/>
  <c r="AR236" i="32"/>
  <c r="AQ236" i="32"/>
  <c r="AS8" i="32"/>
  <c r="AR9" i="32"/>
  <c r="AQ10" i="32"/>
  <c r="AS24" i="32"/>
  <c r="AR25" i="32"/>
  <c r="AQ26" i="32"/>
  <c r="AS32" i="32"/>
  <c r="AR33" i="32"/>
  <c r="AQ34" i="32"/>
  <c r="AR41" i="32"/>
  <c r="AS48" i="32"/>
  <c r="AR49" i="32"/>
  <c r="AQ50" i="32"/>
  <c r="AS56" i="32"/>
  <c r="AR57" i="32"/>
  <c r="AQ58" i="32"/>
  <c r="AS64" i="32"/>
  <c r="AR65" i="32"/>
  <c r="AQ66" i="32"/>
  <c r="AR73" i="32"/>
  <c r="AQ74" i="32"/>
  <c r="AT138" i="32"/>
  <c r="AS138" i="32"/>
  <c r="AR138" i="32"/>
  <c r="AQ138" i="32"/>
  <c r="AT212" i="32"/>
  <c r="AS212" i="32"/>
  <c r="AR212" i="32"/>
  <c r="AQ212" i="32"/>
  <c r="AT156" i="32"/>
  <c r="AR156" i="32"/>
  <c r="AQ156" i="32"/>
  <c r="AS16" i="32"/>
  <c r="AR17" i="32"/>
  <c r="AQ18" i="32"/>
  <c r="AS40" i="32"/>
  <c r="AQ42" i="32"/>
  <c r="AS9" i="32"/>
  <c r="AR10" i="32"/>
  <c r="AS17" i="32"/>
  <c r="AR18" i="32"/>
  <c r="AS25" i="32"/>
  <c r="AR26" i="32"/>
  <c r="AS33" i="32"/>
  <c r="AR34" i="32"/>
  <c r="AS41" i="32"/>
  <c r="AR42" i="32"/>
  <c r="AS49" i="32"/>
  <c r="AR50" i="32"/>
  <c r="AS57" i="32"/>
  <c r="AR58" i="32"/>
  <c r="AS65" i="32"/>
  <c r="AR66" i="32"/>
  <c r="AS73" i="32"/>
  <c r="AR74" i="32"/>
  <c r="AQ75" i="32"/>
  <c r="AR76" i="32"/>
  <c r="AQ95" i="32"/>
  <c r="AT95" i="32"/>
  <c r="AS95" i="32"/>
  <c r="AT106" i="32"/>
  <c r="AS106" i="32"/>
  <c r="AR106" i="32"/>
  <c r="AQ106" i="32"/>
  <c r="AT116" i="32"/>
  <c r="AR116" i="32"/>
  <c r="AQ116" i="32"/>
  <c r="AT202" i="32"/>
  <c r="AS202" i="32"/>
  <c r="AR202" i="32"/>
  <c r="AQ202" i="32"/>
  <c r="AS26" i="32"/>
  <c r="AS34" i="32"/>
  <c r="AS42" i="32"/>
  <c r="AS50" i="32"/>
  <c r="AS58" i="32"/>
  <c r="AS66" i="32"/>
  <c r="AS74" i="32"/>
  <c r="AS75" i="32"/>
  <c r="AS76" i="32"/>
  <c r="AT92" i="32"/>
  <c r="AR92" i="32"/>
  <c r="AQ92" i="32"/>
  <c r="AT228" i="32"/>
  <c r="AS228" i="32"/>
  <c r="AR228" i="32"/>
  <c r="AQ228" i="32"/>
  <c r="AT252" i="32"/>
  <c r="AS252" i="32"/>
  <c r="AR252" i="32"/>
  <c r="AQ252" i="32"/>
  <c r="AT75" i="32"/>
  <c r="AT76" i="32"/>
  <c r="AR90" i="32"/>
  <c r="AT114" i="32"/>
  <c r="AS114" i="32"/>
  <c r="AR114" i="32"/>
  <c r="AQ114" i="32"/>
  <c r="AT124" i="32"/>
  <c r="AR124" i="32"/>
  <c r="AQ124" i="32"/>
  <c r="AS156" i="32"/>
  <c r="AS164" i="32"/>
  <c r="AS172" i="32"/>
  <c r="AS180" i="32"/>
  <c r="AT244" i="32"/>
  <c r="AS244" i="32"/>
  <c r="AR244" i="32"/>
  <c r="AQ244" i="32"/>
  <c r="AS103" i="32"/>
  <c r="AS111" i="32"/>
  <c r="AS119" i="32"/>
  <c r="AS127" i="32"/>
  <c r="AS135" i="32"/>
  <c r="AQ137" i="32"/>
  <c r="AT142" i="32"/>
  <c r="AS143" i="32"/>
  <c r="AQ145" i="32"/>
  <c r="AT150" i="32"/>
  <c r="AS151" i="32"/>
  <c r="AQ153" i="32"/>
  <c r="AT158" i="32"/>
  <c r="AS159" i="32"/>
  <c r="AQ161" i="32"/>
  <c r="AT166" i="32"/>
  <c r="AS167" i="32"/>
  <c r="AQ169" i="32"/>
  <c r="AT174" i="32"/>
  <c r="AS175" i="32"/>
  <c r="AQ177" i="32"/>
  <c r="AT182" i="32"/>
  <c r="AS183" i="32"/>
  <c r="AT190" i="32"/>
  <c r="AS191" i="32"/>
  <c r="AT198" i="32"/>
  <c r="AS199" i="32"/>
  <c r="AT206" i="32"/>
  <c r="AS207" i="32"/>
  <c r="AT214" i="32"/>
  <c r="AS215" i="32"/>
  <c r="AT222" i="32"/>
  <c r="AS223" i="32"/>
  <c r="AT230" i="32"/>
  <c r="AS231" i="32"/>
  <c r="AT238" i="32"/>
  <c r="AS239" i="32"/>
  <c r="AT246" i="32"/>
  <c r="AT254" i="32"/>
  <c r="AR89" i="32"/>
  <c r="AR97" i="32"/>
  <c r="AT103" i="32"/>
  <c r="AR105" i="32"/>
  <c r="AT111" i="32"/>
  <c r="AR113" i="32"/>
  <c r="AT119" i="32"/>
  <c r="AR121" i="32"/>
  <c r="AT127" i="32"/>
  <c r="AR129" i="32"/>
  <c r="AT135" i="32"/>
  <c r="AR137" i="32"/>
  <c r="AT143" i="32"/>
  <c r="AR145" i="32"/>
  <c r="AT151" i="32"/>
  <c r="AR153" i="32"/>
  <c r="AT159" i="32"/>
  <c r="AR161" i="32"/>
  <c r="AT167" i="32"/>
  <c r="AR169" i="32"/>
  <c r="AT175" i="32"/>
  <c r="AT183" i="32"/>
  <c r="AT191" i="32"/>
  <c r="AT199" i="32"/>
  <c r="AT207" i="32"/>
  <c r="AT215" i="32"/>
  <c r="AT223" i="32"/>
  <c r="AT231" i="32"/>
  <c r="AT239" i="32"/>
  <c r="AQ243" i="32"/>
  <c r="AR250" i="32"/>
  <c r="AQ251" i="32"/>
  <c r="AS257" i="32"/>
  <c r="AR258" i="32"/>
  <c r="AQ259" i="32"/>
  <c r="AR211" i="32"/>
  <c r="AS218" i="32"/>
  <c r="AR219" i="32"/>
  <c r="AS226" i="32"/>
  <c r="AR227" i="32"/>
  <c r="AS234" i="32"/>
  <c r="AR235" i="32"/>
  <c r="AS242" i="32"/>
  <c r="AR243" i="32"/>
  <c r="AS250" i="32"/>
  <c r="AR251" i="32"/>
  <c r="AS258" i="32"/>
  <c r="AR259" i="32"/>
  <c r="AQ181" i="32"/>
  <c r="AQ189" i="32"/>
  <c r="AQ197" i="32"/>
  <c r="AQ205" i="32"/>
  <c r="AS211" i="32"/>
  <c r="AQ213" i="32"/>
  <c r="AS219" i="32"/>
  <c r="AQ221" i="32"/>
  <c r="AS227" i="32"/>
  <c r="AQ229" i="32"/>
  <c r="AS235" i="32"/>
  <c r="AQ237" i="32"/>
  <c r="AS243" i="32"/>
  <c r="AQ245" i="32"/>
  <c r="AS251" i="32"/>
  <c r="AS259" i="32"/>
  <c r="AR213" i="32"/>
  <c r="AQ214" i="32"/>
  <c r="AR221" i="32"/>
  <c r="AQ222" i="32"/>
  <c r="AR229" i="32"/>
  <c r="AQ230" i="32"/>
  <c r="AR237" i="32"/>
  <c r="AQ238" i="32"/>
  <c r="AQ246" i="32"/>
  <c r="AQ254" i="32"/>
  <c r="C50" i="54"/>
  <c r="AP2" i="32"/>
  <c r="G47" i="54" s="1"/>
  <c r="AO2" i="32"/>
  <c r="G75" i="54"/>
  <c r="F75" i="54"/>
  <c r="E75" i="54"/>
  <c r="D75" i="54"/>
  <c r="C75" i="54"/>
  <c r="G74" i="54"/>
  <c r="F74" i="54"/>
  <c r="E74" i="54"/>
  <c r="D74" i="54"/>
  <c r="C74" i="54"/>
  <c r="G73" i="54"/>
  <c r="F73" i="54"/>
  <c r="E73" i="54"/>
  <c r="D73" i="54"/>
  <c r="L75" i="54"/>
  <c r="L74" i="54"/>
  <c r="L88" i="54"/>
  <c r="L87" i="54"/>
  <c r="G88" i="54"/>
  <c r="F88" i="54"/>
  <c r="E88" i="54"/>
  <c r="D88" i="54"/>
  <c r="C88" i="54"/>
  <c r="G87" i="54"/>
  <c r="F87" i="54"/>
  <c r="E87" i="54"/>
  <c r="D87" i="54"/>
  <c r="C87" i="54"/>
  <c r="G86" i="54"/>
  <c r="F86" i="54"/>
  <c r="E86" i="54"/>
  <c r="D86" i="54"/>
  <c r="L97" i="54"/>
  <c r="L96" i="54"/>
  <c r="L95" i="54"/>
  <c r="L94" i="54"/>
  <c r="L93" i="54"/>
  <c r="G97" i="54"/>
  <c r="F97" i="54"/>
  <c r="E97" i="54"/>
  <c r="D97" i="54"/>
  <c r="C97" i="54"/>
  <c r="G96" i="54"/>
  <c r="F96" i="54"/>
  <c r="E96" i="54"/>
  <c r="D96" i="54"/>
  <c r="C96" i="54"/>
  <c r="G95" i="54"/>
  <c r="F95" i="54"/>
  <c r="E95" i="54"/>
  <c r="D95" i="54"/>
  <c r="C95" i="54"/>
  <c r="G94" i="54"/>
  <c r="F94" i="54"/>
  <c r="E94" i="54"/>
  <c r="D94" i="54"/>
  <c r="C94" i="54"/>
  <c r="G93" i="54"/>
  <c r="F93" i="54"/>
  <c r="E93" i="54"/>
  <c r="D93" i="54"/>
  <c r="C93" i="54"/>
  <c r="G92" i="54"/>
  <c r="F92" i="54"/>
  <c r="E92" i="54"/>
  <c r="D92" i="54"/>
  <c r="G110" i="54"/>
  <c r="F110" i="54"/>
  <c r="E110" i="54"/>
  <c r="D110" i="54"/>
  <c r="C110" i="54"/>
  <c r="G109" i="54"/>
  <c r="F109" i="54"/>
  <c r="E109" i="54"/>
  <c r="D109" i="54"/>
  <c r="C109" i="54"/>
  <c r="G108" i="54"/>
  <c r="F108" i="54"/>
  <c r="E108" i="54"/>
  <c r="D108" i="54"/>
  <c r="C108" i="54"/>
  <c r="G107" i="54"/>
  <c r="F107" i="54"/>
  <c r="E107" i="54"/>
  <c r="D107" i="54"/>
  <c r="C107" i="54"/>
  <c r="G106" i="54"/>
  <c r="F106" i="54"/>
  <c r="E106" i="54"/>
  <c r="D106" i="54"/>
  <c r="C106" i="54"/>
  <c r="G105" i="54"/>
  <c r="F105" i="54"/>
  <c r="E105" i="54"/>
  <c r="D105" i="54"/>
  <c r="C105" i="54"/>
  <c r="L110" i="54"/>
  <c r="L109" i="54"/>
  <c r="L108" i="54"/>
  <c r="L107" i="54"/>
  <c r="L106" i="54"/>
  <c r="L105" i="54"/>
  <c r="L92" i="54"/>
  <c r="C92" i="54"/>
  <c r="L86" i="54"/>
  <c r="C86" i="54"/>
  <c r="L73" i="54"/>
  <c r="C73" i="54"/>
  <c r="L61" i="54"/>
  <c r="L60" i="54"/>
  <c r="L59" i="54"/>
  <c r="L58" i="54"/>
  <c r="L57" i="54"/>
  <c r="L56" i="54"/>
  <c r="G61" i="54"/>
  <c r="F61" i="54"/>
  <c r="E61" i="54"/>
  <c r="D61" i="54"/>
  <c r="C61" i="54"/>
  <c r="G60" i="54"/>
  <c r="F60" i="54"/>
  <c r="E60" i="54"/>
  <c r="D60" i="54"/>
  <c r="C60" i="54"/>
  <c r="G59" i="54"/>
  <c r="F59" i="54"/>
  <c r="E59" i="54"/>
  <c r="D59" i="54"/>
  <c r="C59" i="54"/>
  <c r="G58" i="54"/>
  <c r="F58" i="54"/>
  <c r="E58" i="54"/>
  <c r="D58" i="54"/>
  <c r="C58" i="54"/>
  <c r="G57" i="54"/>
  <c r="F57" i="54"/>
  <c r="E57" i="54"/>
  <c r="D57" i="54"/>
  <c r="C57" i="54"/>
  <c r="G56" i="54"/>
  <c r="F56" i="54"/>
  <c r="E56" i="54"/>
  <c r="D56" i="54"/>
  <c r="C56" i="54"/>
  <c r="X24" i="54"/>
  <c r="X23" i="54"/>
  <c r="T39" i="54"/>
  <c r="T38" i="54"/>
  <c r="T35" i="54"/>
  <c r="T34" i="54"/>
  <c r="T33" i="54"/>
  <c r="T32" i="54"/>
  <c r="T31" i="54"/>
  <c r="T30" i="54"/>
  <c r="T29" i="54"/>
  <c r="T28" i="54"/>
  <c r="T27" i="54"/>
  <c r="T26" i="54"/>
  <c r="T25" i="54"/>
  <c r="T24" i="54"/>
  <c r="T23" i="54"/>
  <c r="T22" i="54"/>
  <c r="T21" i="54"/>
  <c r="T20" i="54"/>
  <c r="T19" i="54"/>
  <c r="T18" i="54"/>
  <c r="T17" i="54"/>
  <c r="T16" i="54"/>
  <c r="T15" i="54"/>
  <c r="Z20" i="49"/>
  <c r="AA20" i="49" s="1" a="1"/>
  <c r="AU2" i="32" s="1"/>
  <c r="AT2" i="32" s="1"/>
  <c r="T36" i="54" l="1"/>
  <c r="L104" i="54"/>
  <c r="L111" i="54" s="1"/>
  <c r="T37" i="54"/>
  <c r="C47" i="54"/>
  <c r="D47" i="54"/>
  <c r="E47" i="54"/>
  <c r="F47" i="54"/>
  <c r="F68" i="54"/>
  <c r="L66" i="54"/>
  <c r="G66" i="54"/>
  <c r="C67" i="54"/>
  <c r="D68" i="54"/>
  <c r="D67" i="54"/>
  <c r="E68" i="54"/>
  <c r="L67" i="54"/>
  <c r="G68" i="54"/>
  <c r="G67" i="54"/>
  <c r="E67" i="54"/>
  <c r="F67" i="54"/>
  <c r="L68" i="54"/>
  <c r="C66" i="54"/>
  <c r="C68" i="54"/>
  <c r="D66" i="54"/>
  <c r="E66" i="54"/>
  <c r="AQ2" i="32"/>
  <c r="F66" i="54"/>
  <c r="AR2" i="32"/>
  <c r="AS2" i="32"/>
  <c r="H110" i="54"/>
  <c r="H109" i="54"/>
  <c r="K2" i="49" a="1"/>
  <c r="AM2" i="32"/>
  <c r="AN2" i="32"/>
  <c r="F2" i="49" a="1"/>
  <c r="H47" i="54" l="1"/>
  <c r="F104" i="54"/>
  <c r="L36" i="54"/>
  <c r="L35" i="54"/>
  <c r="E104" i="54"/>
  <c r="G104" i="54"/>
  <c r="D104" i="54"/>
  <c r="C104" i="54"/>
  <c r="E40" i="54"/>
  <c r="G38" i="54"/>
  <c r="D37" i="54"/>
  <c r="F35" i="54"/>
  <c r="C34" i="54"/>
  <c r="E32" i="54"/>
  <c r="G30" i="54"/>
  <c r="D29" i="54"/>
  <c r="F27" i="54"/>
  <c r="C26" i="54"/>
  <c r="E24" i="54"/>
  <c r="G22" i="54"/>
  <c r="D21" i="54"/>
  <c r="F19" i="54"/>
  <c r="C18" i="54"/>
  <c r="E16" i="54"/>
  <c r="D36" i="54"/>
  <c r="G29" i="54"/>
  <c r="G21" i="54"/>
  <c r="C23" i="54"/>
  <c r="D40" i="54"/>
  <c r="F38" i="54"/>
  <c r="C37" i="54"/>
  <c r="E35" i="54"/>
  <c r="G33" i="54"/>
  <c r="D32" i="54"/>
  <c r="F30" i="54"/>
  <c r="C29" i="54"/>
  <c r="E27" i="54"/>
  <c r="G25" i="54"/>
  <c r="D24" i="54"/>
  <c r="F22" i="54"/>
  <c r="C21" i="54"/>
  <c r="E19" i="54"/>
  <c r="G17" i="54"/>
  <c r="D16" i="54"/>
  <c r="E36" i="54"/>
  <c r="F31" i="54"/>
  <c r="G26" i="54"/>
  <c r="C22" i="54"/>
  <c r="D17" i="54"/>
  <c r="C33" i="54"/>
  <c r="E23" i="54"/>
  <c r="C31" i="54"/>
  <c r="E21" i="54"/>
  <c r="C40" i="54"/>
  <c r="E38" i="54"/>
  <c r="G36" i="54"/>
  <c r="D35" i="54"/>
  <c r="F33" i="54"/>
  <c r="C32" i="54"/>
  <c r="E30" i="54"/>
  <c r="G28" i="54"/>
  <c r="D27" i="54"/>
  <c r="F25" i="54"/>
  <c r="C24" i="54"/>
  <c r="E22" i="54"/>
  <c r="G20" i="54"/>
  <c r="D19" i="54"/>
  <c r="F17" i="54"/>
  <c r="C16" i="54"/>
  <c r="C38" i="54"/>
  <c r="D33" i="54"/>
  <c r="E28" i="54"/>
  <c r="F23" i="54"/>
  <c r="G18" i="54"/>
  <c r="E39" i="54"/>
  <c r="E31" i="54"/>
  <c r="F26" i="54"/>
  <c r="F18" i="54"/>
  <c r="G27" i="54"/>
  <c r="G19" i="54"/>
  <c r="G39" i="54"/>
  <c r="D38" i="54"/>
  <c r="F36" i="54"/>
  <c r="C35" i="54"/>
  <c r="E33" i="54"/>
  <c r="G31" i="54"/>
  <c r="D30" i="54"/>
  <c r="F28" i="54"/>
  <c r="C27" i="54"/>
  <c r="E25" i="54"/>
  <c r="G23" i="54"/>
  <c r="D22" i="54"/>
  <c r="F20" i="54"/>
  <c r="C19" i="54"/>
  <c r="E17" i="54"/>
  <c r="F39" i="54"/>
  <c r="G34" i="54"/>
  <c r="C30" i="54"/>
  <c r="D25" i="54"/>
  <c r="E20" i="54"/>
  <c r="F34" i="54"/>
  <c r="C25" i="54"/>
  <c r="C17" i="54"/>
  <c r="D26" i="54"/>
  <c r="F16" i="54"/>
  <c r="G37" i="54"/>
  <c r="D28" i="54"/>
  <c r="D20" i="54"/>
  <c r="F24" i="54"/>
  <c r="G40" i="54"/>
  <c r="D39" i="54"/>
  <c r="F37" i="54"/>
  <c r="C36" i="54"/>
  <c r="E34" i="54"/>
  <c r="G32" i="54"/>
  <c r="D31" i="54"/>
  <c r="F29" i="54"/>
  <c r="C28" i="54"/>
  <c r="E26" i="54"/>
  <c r="G24" i="54"/>
  <c r="D23" i="54"/>
  <c r="F21" i="54"/>
  <c r="C20" i="54"/>
  <c r="E18" i="54"/>
  <c r="G16" i="54"/>
  <c r="F40" i="54"/>
  <c r="C39" i="54"/>
  <c r="E37" i="54"/>
  <c r="G35" i="54"/>
  <c r="D34" i="54"/>
  <c r="F32" i="54"/>
  <c r="E29" i="54"/>
  <c r="D18" i="54"/>
  <c r="O26" i="54"/>
  <c r="Y18" i="54"/>
  <c r="N26" i="54"/>
  <c r="Q21" i="54"/>
  <c r="M26" i="54"/>
  <c r="P21" i="54"/>
  <c r="Q26" i="54"/>
  <c r="L26" i="54"/>
  <c r="O21" i="54"/>
  <c r="Q20" i="54"/>
  <c r="O20" i="54"/>
  <c r="Y19" i="54"/>
  <c r="N21" i="54"/>
  <c r="P20" i="54"/>
  <c r="M21" i="54"/>
  <c r="L20" i="54"/>
  <c r="L21" i="54"/>
  <c r="N20" i="54"/>
  <c r="M20" i="54"/>
  <c r="Y17" i="54"/>
  <c r="H106" i="54"/>
  <c r="P26" i="54"/>
  <c r="Y16" i="54"/>
  <c r="F111" i="54" l="1"/>
  <c r="G111" i="54"/>
  <c r="E111" i="54"/>
  <c r="D111" i="54"/>
  <c r="C111" i="54"/>
  <c r="M36" i="54"/>
  <c r="Y24" i="54"/>
  <c r="H107" i="54"/>
  <c r="L76" i="54"/>
  <c r="M35" i="54"/>
  <c r="H104" i="54"/>
  <c r="H108" i="54"/>
  <c r="L98" i="54"/>
  <c r="H105" i="54"/>
  <c r="Y23" i="54"/>
  <c r="L89" i="54"/>
  <c r="L62" i="54"/>
  <c r="H96" i="54"/>
  <c r="H58" i="54"/>
  <c r="T40" i="54"/>
  <c r="U26" i="54" s="1"/>
  <c r="O17" i="54"/>
  <c r="O19" i="54" s="1"/>
  <c r="M17" i="54"/>
  <c r="M19" i="54" s="1"/>
  <c r="P17" i="54"/>
  <c r="P19" i="54" s="1"/>
  <c r="N17" i="54"/>
  <c r="N19" i="54" s="1"/>
  <c r="L17" i="54"/>
  <c r="L19" i="54" s="1"/>
  <c r="H59" i="54"/>
  <c r="H94" i="54"/>
  <c r="E98" i="54"/>
  <c r="G89" i="54"/>
  <c r="F62" i="54"/>
  <c r="D89" i="54"/>
  <c r="D76" i="54"/>
  <c r="D98" i="54"/>
  <c r="D62" i="54"/>
  <c r="C89" i="54"/>
  <c r="E76" i="54"/>
  <c r="F76" i="54"/>
  <c r="G76" i="54"/>
  <c r="H88" i="54"/>
  <c r="H57" i="54"/>
  <c r="G98" i="54"/>
  <c r="H75" i="54"/>
  <c r="F89" i="54"/>
  <c r="C98" i="54"/>
  <c r="H87" i="54"/>
  <c r="H74" i="54"/>
  <c r="C62" i="54"/>
  <c r="H97" i="54"/>
  <c r="H95" i="54"/>
  <c r="C76" i="54"/>
  <c r="E62" i="54"/>
  <c r="H93" i="54"/>
  <c r="G62" i="54"/>
  <c r="H86" i="54"/>
  <c r="H60" i="54"/>
  <c r="H61" i="54"/>
  <c r="H92" i="54"/>
  <c r="F98" i="54"/>
  <c r="H56" i="54"/>
  <c r="E89" i="54"/>
  <c r="H73" i="54"/>
  <c r="H66" i="54" l="1"/>
  <c r="H67" i="54"/>
  <c r="H68" i="54"/>
  <c r="L79" i="54"/>
  <c r="L80" i="54"/>
  <c r="H111" i="54"/>
  <c r="L81" i="54"/>
  <c r="U29" i="54"/>
  <c r="Y20" i="54"/>
  <c r="U33" i="54"/>
  <c r="U20" i="54"/>
  <c r="U40" i="54"/>
  <c r="Y15" i="54"/>
  <c r="U16" i="54"/>
  <c r="U19" i="54"/>
  <c r="U17" i="54"/>
  <c r="U32" i="54"/>
  <c r="U18" i="54"/>
  <c r="U15" i="54"/>
  <c r="U23" i="54"/>
  <c r="U25" i="54"/>
  <c r="U34" i="54"/>
  <c r="U39" i="54"/>
  <c r="U38" i="54"/>
  <c r="U22" i="54"/>
  <c r="U28" i="54"/>
  <c r="U21" i="54"/>
  <c r="U31" i="54"/>
  <c r="U36" i="54"/>
  <c r="U24" i="54"/>
  <c r="U35" i="54"/>
  <c r="U27" i="54"/>
  <c r="U30" i="54"/>
  <c r="U37" i="54"/>
  <c r="H19" i="54"/>
  <c r="H34" i="54"/>
  <c r="H26" i="54"/>
  <c r="H29" i="54"/>
  <c r="H20" i="54"/>
  <c r="H37" i="54"/>
  <c r="H38" i="54"/>
  <c r="H16" i="54"/>
  <c r="Q17" i="54" s="1"/>
  <c r="Q19" i="54" s="1"/>
  <c r="H21" i="54"/>
  <c r="H27" i="54"/>
  <c r="H18" i="54"/>
  <c r="H25" i="54"/>
  <c r="H32" i="54"/>
  <c r="H98" i="54"/>
  <c r="H35" i="54"/>
  <c r="H24" i="54"/>
  <c r="H22" i="54"/>
  <c r="H17" i="54"/>
  <c r="H31" i="54"/>
  <c r="F41" i="54"/>
  <c r="O16" i="54" s="1"/>
  <c r="O18" i="54" s="1"/>
  <c r="H62" i="54"/>
  <c r="H39" i="54"/>
  <c r="H33" i="54"/>
  <c r="H89" i="54"/>
  <c r="H28" i="54"/>
  <c r="D41" i="54"/>
  <c r="H23" i="54"/>
  <c r="H36" i="54"/>
  <c r="C41" i="54"/>
  <c r="L16" i="54" s="1"/>
  <c r="L18" i="54" s="1"/>
  <c r="H76" i="54"/>
  <c r="C79" i="54" s="1"/>
  <c r="H40" i="54"/>
  <c r="H30" i="54"/>
  <c r="G41" i="54"/>
  <c r="E41" i="54"/>
  <c r="N16" i="54" s="1"/>
  <c r="N18" i="54" s="1"/>
  <c r="C81" i="54" l="1"/>
  <c r="H41" i="54"/>
  <c r="I23" i="54" s="1"/>
  <c r="C80" i="54"/>
  <c r="O31" i="54"/>
  <c r="M16" i="54"/>
  <c r="M18" i="54" s="1"/>
  <c r="M31" i="54"/>
  <c r="L31" i="54"/>
  <c r="P16" i="54"/>
  <c r="P18" i="54" s="1"/>
  <c r="P31" i="54"/>
  <c r="N31" i="54"/>
  <c r="I24" i="54" l="1"/>
  <c r="I33" i="54"/>
  <c r="I36" i="54"/>
  <c r="I40" i="54"/>
  <c r="I28" i="54"/>
  <c r="I32" i="54"/>
  <c r="I27" i="54"/>
  <c r="I22" i="54"/>
  <c r="I17" i="54"/>
  <c r="I39" i="54"/>
  <c r="I18" i="54"/>
  <c r="I21" i="54"/>
  <c r="I35" i="54"/>
  <c r="Q31" i="54"/>
  <c r="I41" i="54"/>
  <c r="I37" i="54"/>
  <c r="I20" i="54"/>
  <c r="I19" i="54"/>
  <c r="I29" i="54"/>
  <c r="I38" i="54"/>
  <c r="I26" i="54"/>
  <c r="I34" i="54"/>
  <c r="I16" i="54"/>
  <c r="I30" i="54"/>
  <c r="I25" i="54"/>
  <c r="I31" i="54"/>
  <c r="Q16" i="54"/>
  <c r="Q18" i="54" s="1"/>
  <c r="AA20" i="49"/>
  <c r="K2" i="49"/>
  <c r="F2" i="4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<sst xmlns="http://schemas.openxmlformats.org/spreadsheetml/2006/main" count="6214" uniqueCount="1026">
  <si>
    <t xml:space="preserve">Prioridade no Contato? </t>
  </si>
  <si>
    <t>Data Envio Paciente</t>
  </si>
  <si>
    <t>Motivo Envio</t>
  </si>
  <si>
    <t>Origem</t>
  </si>
  <si>
    <t>MO</t>
  </si>
  <si>
    <t>Nome do paciente</t>
  </si>
  <si>
    <t>CPF</t>
  </si>
  <si>
    <t>Data de Nascimento</t>
  </si>
  <si>
    <t>Idade</t>
  </si>
  <si>
    <t>Genero</t>
  </si>
  <si>
    <t>Estado</t>
  </si>
  <si>
    <t>Município</t>
  </si>
  <si>
    <t>Bairro</t>
  </si>
  <si>
    <t>Nível de Rede</t>
  </si>
  <si>
    <t>Telefone atualizado</t>
  </si>
  <si>
    <t>Profissional</t>
  </si>
  <si>
    <t>Status BNF Linha</t>
  </si>
  <si>
    <t>Data de Inclusão</t>
  </si>
  <si>
    <t>Data da Alta, Inatividade ou Recusa</t>
  </si>
  <si>
    <t>Status Do Contato</t>
  </si>
  <si>
    <t>Situação Atual Do Paciente</t>
  </si>
  <si>
    <t>Tentativa de Contato 1</t>
  </si>
  <si>
    <t>Tentativa de Contato 2</t>
  </si>
  <si>
    <t>Tentativa de Contato 3</t>
  </si>
  <si>
    <t>Observações Importantes</t>
  </si>
  <si>
    <t>Status Pré Consulta Enfermagem</t>
  </si>
  <si>
    <t>Data 1ª Consulta de Enfermagem</t>
  </si>
  <si>
    <t>Status da 1ª Consulta Enfermagem</t>
  </si>
  <si>
    <t>Se reagendado, sinalizar datas</t>
  </si>
  <si>
    <t>Complexidade</t>
  </si>
  <si>
    <t>Resultado da Escala</t>
  </si>
  <si>
    <t>Local de Acomapanhamento inicial</t>
  </si>
  <si>
    <t>Local de Acomapanhamento atual</t>
  </si>
  <si>
    <t>Diagnostico Confirmado?</t>
  </si>
  <si>
    <t>Direcionado ao Hub?</t>
  </si>
  <si>
    <t>Flag</t>
  </si>
  <si>
    <t>Encaminhado p/ Consolidado?</t>
  </si>
  <si>
    <t>Linha</t>
  </si>
  <si>
    <t>Mês/Ano</t>
  </si>
  <si>
    <t>Semana</t>
  </si>
  <si>
    <t>Mês/Ano
Inclusão</t>
  </si>
  <si>
    <t>Semana
Inclusão</t>
  </si>
  <si>
    <t>SLA Captação</t>
  </si>
  <si>
    <t>SLA Exclusão</t>
  </si>
  <si>
    <t>SLA Tent. Contatos</t>
  </si>
  <si>
    <t>SLA Consulta</t>
  </si>
  <si>
    <t>Ativo/Inativo</t>
  </si>
  <si>
    <t>Não</t>
  </si>
  <si>
    <t>Transbordo/Navegação</t>
  </si>
  <si>
    <t>Captado pela Amil/Call Center</t>
  </si>
  <si>
    <t>ALBERTO JESUS GONZALEZ BELLO</t>
  </si>
  <si>
    <t>M</t>
  </si>
  <si>
    <t>SP</t>
  </si>
  <si>
    <t>SAO PAULO</t>
  </si>
  <si>
    <t>NÍVEL 100</t>
  </si>
  <si>
    <t>11-985834047</t>
  </si>
  <si>
    <t>equipe cardio</t>
  </si>
  <si>
    <t>6. Contato sem sucesso</t>
  </si>
  <si>
    <t>Contato Sem Sucesso</t>
  </si>
  <si>
    <t>Fora da Linha</t>
  </si>
  <si>
    <t>Desflagado</t>
  </si>
  <si>
    <t xml:space="preserve">Sim </t>
  </si>
  <si>
    <t>Valvopatias</t>
  </si>
  <si>
    <t>ANA MARIA GROVO SILVA</t>
  </si>
  <si>
    <t>F</t>
  </si>
  <si>
    <t>SAO BERNARDO DO CAMPO</t>
  </si>
  <si>
    <t>NÍVEL 110</t>
  </si>
  <si>
    <t>11-973010361</t>
  </si>
  <si>
    <t>1. Aceitou o programa</t>
  </si>
  <si>
    <t>Contato Com Sucesso</t>
  </si>
  <si>
    <t>Ativo</t>
  </si>
  <si>
    <t>Não se aplica</t>
  </si>
  <si>
    <t>Agendada</t>
  </si>
  <si>
    <t>19/05/2026 10:40</t>
  </si>
  <si>
    <t>Realizada</t>
  </si>
  <si>
    <t xml:space="preserve">Baixa </t>
  </si>
  <si>
    <t>Amil - Unidade Avançada Luz Joao Dias </t>
  </si>
  <si>
    <t>Confirmado</t>
  </si>
  <si>
    <t>Sim</t>
  </si>
  <si>
    <t>CARLOS ROBERTO DE PAULA LIMA</t>
  </si>
  <si>
    <t>RJ</t>
  </si>
  <si>
    <t>NOVA IGUAÇU</t>
  </si>
  <si>
    <t>NÍVEL 750</t>
  </si>
  <si>
    <t>21-964146289</t>
  </si>
  <si>
    <t>21/05/2026 10:00</t>
  </si>
  <si>
    <t>Amil Espaço Saúde - Tijuca </t>
  </si>
  <si>
    <t>DANIELE CRISTINA DE FREITAS</t>
  </si>
  <si>
    <t>RIO DE JANEIRO</t>
  </si>
  <si>
    <t>NÍVEL 450</t>
  </si>
  <si>
    <t>21-971089623</t>
  </si>
  <si>
    <t>ELIETE GUEDES MENDONCA</t>
  </si>
  <si>
    <t>NÍVEL 60</t>
  </si>
  <si>
    <t>11-982224026</t>
  </si>
  <si>
    <t>EVANDRO DA SILVA GRACA XAVIER</t>
  </si>
  <si>
    <t>NÍVEL 75</t>
  </si>
  <si>
    <t>21-991633688</t>
  </si>
  <si>
    <t>18/05/2026 12:40</t>
  </si>
  <si>
    <t xml:space="preserve">Média </t>
  </si>
  <si>
    <t>IRACY GIMENES</t>
  </si>
  <si>
    <t>NÍVEL 500</t>
  </si>
  <si>
    <t>11-945517457</t>
  </si>
  <si>
    <t>27/05/2026 11:20</t>
  </si>
  <si>
    <t>Amil - Ud Cubatão Sp - Hospital Da Luz </t>
  </si>
  <si>
    <t>ISABEL CRISTINA LOPES DOS SANTOS</t>
  </si>
  <si>
    <t>11-994653200</t>
  </si>
  <si>
    <t xml:space="preserve">Não realizada - Falta </t>
  </si>
  <si>
    <t>JOAO PAULO DE SOUZA ROCHA</t>
  </si>
  <si>
    <t>NÍVEL 800</t>
  </si>
  <si>
    <t>21-982371385</t>
  </si>
  <si>
    <t>JORGE LUIZ RIBEIRO DE MIRANDA</t>
  </si>
  <si>
    <t>NÍVEL 50</t>
  </si>
  <si>
    <t>11-982453305</t>
  </si>
  <si>
    <t>21/05/2026 16:40</t>
  </si>
  <si>
    <t xml:space="preserve">Alta </t>
  </si>
  <si>
    <t>Amil - Unidade Avançada Vitoria </t>
  </si>
  <si>
    <t>LUIZ FERNANDO PRADO DE SOUZA</t>
  </si>
  <si>
    <t>11-949825848</t>
  </si>
  <si>
    <t>LUIZ ROBERTO NOVAIS</t>
  </si>
  <si>
    <t>NÍVEL 40</t>
  </si>
  <si>
    <t>11-931395123</t>
  </si>
  <si>
    <t>25/05/2026 11:40</t>
  </si>
  <si>
    <t>LUIZ ROGERIO DE SOUZA</t>
  </si>
  <si>
    <t>NÍVEL 380</t>
  </si>
  <si>
    <t>11-997884950</t>
  </si>
  <si>
    <t>25/05/2026 10:00</t>
  </si>
  <si>
    <t>MARCUS VINICIUS MAGLIANO COSTA</t>
  </si>
  <si>
    <t>11-985846223</t>
  </si>
  <si>
    <t>MARIA APARECIDA ANACLETO RAMALHO</t>
  </si>
  <si>
    <t>21-985888679</t>
  </si>
  <si>
    <t>PEDRO VALTER CAMPANA</t>
  </si>
  <si>
    <t>ARUJA</t>
  </si>
  <si>
    <t>11-996881963</t>
  </si>
  <si>
    <t>RITA BETANIA DINIZ PEREIRA</t>
  </si>
  <si>
    <t>GUARULHOS</t>
  </si>
  <si>
    <t>null-null</t>
  </si>
  <si>
    <t>SERGIO BRAGA DAMASCENO</t>
  </si>
  <si>
    <t>11-995604070</t>
  </si>
  <si>
    <t>VALDA AZEREDO GONCALVES</t>
  </si>
  <si>
    <t>NÍVEL 200</t>
  </si>
  <si>
    <t>21-997844172</t>
  </si>
  <si>
    <t>20/05/2026 15:40</t>
  </si>
  <si>
    <t>ADEMILSON FRANCISCO DE AQUINO</t>
  </si>
  <si>
    <t>DUQUE DE CAXIAS</t>
  </si>
  <si>
    <t>NÍVEL 120</t>
  </si>
  <si>
    <t>21-988384207</t>
  </si>
  <si>
    <t>ADILSON DOS SANTOS SAMPAIO</t>
  </si>
  <si>
    <t>21-972040123</t>
  </si>
  <si>
    <t>ALBERTO PEREIRA DE SOUSA</t>
  </si>
  <si>
    <t>CAMPOS DOS GOYTACAZES</t>
  </si>
  <si>
    <t>21-964413317</t>
  </si>
  <si>
    <t>27/05/2026 14:00</t>
  </si>
  <si>
    <t>Amil Espaço Saúde - Campo Grande </t>
  </si>
  <si>
    <t>Em Investigação</t>
  </si>
  <si>
    <t>ALECIR RIBEIRO BRUNO</t>
  </si>
  <si>
    <t>21-988140674</t>
  </si>
  <si>
    <t>27/05/2026 12:20</t>
  </si>
  <si>
    <t>ALESSANDRA SANTOS MENEZES</t>
  </si>
  <si>
    <t>11-952513343</t>
  </si>
  <si>
    <t>25/05/2026 15:00</t>
  </si>
  <si>
    <t>ALEX DAMASCENO BRAZ FAGUNDES</t>
  </si>
  <si>
    <t>11-997833250</t>
  </si>
  <si>
    <t>ALEX GUSMAO</t>
  </si>
  <si>
    <t>NÍVEL 80</t>
  </si>
  <si>
    <t>21-986845749</t>
  </si>
  <si>
    <t>26/05/2026 15:00</t>
  </si>
  <si>
    <t>ALEXANDRE DE JESUS SANTOS</t>
  </si>
  <si>
    <t>21-980081048</t>
  </si>
  <si>
    <t>ALIANDRA DIAS ANDRADE</t>
  </si>
  <si>
    <t>11-976772548</t>
  </si>
  <si>
    <t>26/05/2026 14:40</t>
  </si>
  <si>
    <t>Amil Espaço Saúde - Tatuapé</t>
  </si>
  <si>
    <t>AMIR JAVARINI</t>
  </si>
  <si>
    <t>TABOAO DA SERRA</t>
  </si>
  <si>
    <t>11-998474994</t>
  </si>
  <si>
    <t>ANA LUCIA GOMES DA SILVA PAULA</t>
  </si>
  <si>
    <t>21-999510480</t>
  </si>
  <si>
    <t>ANA MARIA DOS SANTOS SOUZA</t>
  </si>
  <si>
    <t>21-982945366</t>
  </si>
  <si>
    <t>21/05/2026 10:40</t>
  </si>
  <si>
    <t>ANALICE VIEIRA DE ANDRADE</t>
  </si>
  <si>
    <t>21-969769711</t>
  </si>
  <si>
    <t>ANDERSON DE OLIVEIRA GONCALVES</t>
  </si>
  <si>
    <t>21-964457531</t>
  </si>
  <si>
    <t>ANDRE LUIZ DE SOUZA PEREIRA</t>
  </si>
  <si>
    <t>21-964176088</t>
  </si>
  <si>
    <t>ANDREIA FERREIRA DE OLIVEIRA SILVA</t>
  </si>
  <si>
    <t>BELFORD ROXO</t>
  </si>
  <si>
    <t>21-969764540</t>
  </si>
  <si>
    <t>21/05/2026 15:40</t>
  </si>
  <si>
    <t>ANGELA MARIA ARAUJO DOS SANTOS</t>
  </si>
  <si>
    <t>21-979667030</t>
  </si>
  <si>
    <t>ANGELA REZENDE DA COSTA</t>
  </si>
  <si>
    <t>21-973697276</t>
  </si>
  <si>
    <t>Aguardando Agendamento</t>
  </si>
  <si>
    <t>ANTONIO ANSELMO DOS SANTOS JUNIOR</t>
  </si>
  <si>
    <t>DIADEMA</t>
  </si>
  <si>
    <t>11-960344767</t>
  </si>
  <si>
    <t>13/05/2026 14:20</t>
  </si>
  <si>
    <t>ANTONIO BEZERRA DE MENEZES</t>
  </si>
  <si>
    <t>21-984765943</t>
  </si>
  <si>
    <t>3. Recusa por falta de interesse</t>
  </si>
  <si>
    <t>ANTONIO DA PAIXAO</t>
  </si>
  <si>
    <t>11-970374946</t>
  </si>
  <si>
    <t>22/05/2026 09:40</t>
  </si>
  <si>
    <t>ANTONIO JOSE PEREIRA DE JESUS</t>
  </si>
  <si>
    <t>21-996496184</t>
  </si>
  <si>
    <t>ANTONIO ROBERTO DE ALMEIDA LOPES</t>
  </si>
  <si>
    <t>NÍVEL 600</t>
  </si>
  <si>
    <t>21-998404080</t>
  </si>
  <si>
    <t>APPARECIDA FERREIRA</t>
  </si>
  <si>
    <t>NÍVEL 300</t>
  </si>
  <si>
    <t>11-998226496</t>
  </si>
  <si>
    <t>ARMANDO DA SILVA FIGUEIREDO</t>
  </si>
  <si>
    <t>21-969954983</t>
  </si>
  <si>
    <t>AURENY VIEIRA SILVA</t>
  </si>
  <si>
    <t>21-981679096</t>
  </si>
  <si>
    <t>AYMORE SARTORI FILHO</t>
  </si>
  <si>
    <t>NAO INFORMADO</t>
  </si>
  <si>
    <t>21-982797972</t>
  </si>
  <si>
    <t>BALTAZAR CORREIA DOS SANTOS FILHO</t>
  </si>
  <si>
    <t>21-991501311</t>
  </si>
  <si>
    <t>19/05/2026 16:20</t>
  </si>
  <si>
    <t>BEATRIZ LUCINDA DO NASCIMENTO</t>
  </si>
  <si>
    <t>NÍVEL 400</t>
  </si>
  <si>
    <t>21-986185020</t>
  </si>
  <si>
    <t>BENEDITA MARTINS FERREIRA</t>
  </si>
  <si>
    <t>11-974487275</t>
  </si>
  <si>
    <t>BRUNA REGINA RIBEIRO GOULART</t>
  </si>
  <si>
    <t>21-998060059</t>
  </si>
  <si>
    <t>CARLINDA RODRIGUES LIMA ALVES</t>
  </si>
  <si>
    <t>21-992577359</t>
  </si>
  <si>
    <t>CARLOS ALBERTO DE OLIVEIRA</t>
  </si>
  <si>
    <t>21-964364132</t>
  </si>
  <si>
    <t>CARLOS JESUS DE ANDRADE</t>
  </si>
  <si>
    <t>21-99771-7485</t>
  </si>
  <si>
    <t>CARMEN BERENICE FIGUEIRA</t>
  </si>
  <si>
    <t>11-948102763</t>
  </si>
  <si>
    <t>CARMEN LUCIA RODRIGUES REGO CRUZ</t>
  </si>
  <si>
    <t>21-999144190</t>
  </si>
  <si>
    <t>CATARINA SARDI</t>
  </si>
  <si>
    <t>11-954880325</t>
  </si>
  <si>
    <t>26/05/2026 11:20</t>
  </si>
  <si>
    <t>Amil Espaço Saúde - Ana Rosa </t>
  </si>
  <si>
    <t>CATIA REGINA BRAGANCA VIEIRA</t>
  </si>
  <si>
    <t>21-985835384</t>
  </si>
  <si>
    <t>19/05/2026 15:00</t>
  </si>
  <si>
    <t>CELESTE PEREIRA DA COSTA SANTOS</t>
  </si>
  <si>
    <t>11-992652835</t>
  </si>
  <si>
    <t>CELIA CRISTINA DA SILVA MEIS</t>
  </si>
  <si>
    <t>21-979830222</t>
  </si>
  <si>
    <t>CILEA DA SILVA</t>
  </si>
  <si>
    <t>NILOPOLIS</t>
  </si>
  <si>
    <t>24-981742559</t>
  </si>
  <si>
    <t>CLAUDETE MARQUES DOS REIS</t>
  </si>
  <si>
    <t>11-998153477</t>
  </si>
  <si>
    <t>21/05/2026 12:00</t>
  </si>
  <si>
    <t>CLAUDIO CESAR CASTRO MUNIZ</t>
  </si>
  <si>
    <t>SAO JOAO DE MERITI</t>
  </si>
  <si>
    <t>21-966167855</t>
  </si>
  <si>
    <t>21/05/2026 15:00</t>
  </si>
  <si>
    <t>CLAUDIO MARCELO FERNANDES BORGES</t>
  </si>
  <si>
    <t>21-964673598</t>
  </si>
  <si>
    <t>21/05/2026 15:20</t>
  </si>
  <si>
    <t>CLAUDIO TAVARES</t>
  </si>
  <si>
    <t>21-991487793</t>
  </si>
  <si>
    <t>CLEUSA TORRES</t>
  </si>
  <si>
    <t>21-982385300</t>
  </si>
  <si>
    <t>CLEUZA SILVA EVANGELISTA SANTANA</t>
  </si>
  <si>
    <t>11-966549722</t>
  </si>
  <si>
    <t>CLOVIS FERMI</t>
  </si>
  <si>
    <t>11-996511980</t>
  </si>
  <si>
    <t>25/05/2026 10:20</t>
  </si>
  <si>
    <t>CREUSA MARIA FERREIRA DE BARROS</t>
  </si>
  <si>
    <t>22-992218434</t>
  </si>
  <si>
    <t>4. Inelegível fora do escopo</t>
  </si>
  <si>
    <t>Nega Diagnóstico</t>
  </si>
  <si>
    <t>19/05/2026 14:20</t>
  </si>
  <si>
    <t>Negativo</t>
  </si>
  <si>
    <t>CYL FARNEY ALVES BONIFACIO</t>
  </si>
  <si>
    <t>11-982956526</t>
  </si>
  <si>
    <t>DELMA APARECIDA DA SILVA</t>
  </si>
  <si>
    <t>11-970712845</t>
  </si>
  <si>
    <t>DEUSIMARY DE SOUZA FERREIRA</t>
  </si>
  <si>
    <t>21-996324199</t>
  </si>
  <si>
    <t>02/;06/2026</t>
  </si>
  <si>
    <t>Amil Espaço Saúde - Botafogo </t>
  </si>
  <si>
    <t>DIANA MARIA ALBERTO</t>
  </si>
  <si>
    <t>21-983916739</t>
  </si>
  <si>
    <t>25/05/2026 12:20</t>
  </si>
  <si>
    <t>DIVA BACETO DONICI</t>
  </si>
  <si>
    <t>11-985796591</t>
  </si>
  <si>
    <t>DOROTI ANGELOTTI</t>
  </si>
  <si>
    <t>11-984508617</t>
  </si>
  <si>
    <t>EDILAINE DE BRITO FERNANDES DOS SANTOS</t>
  </si>
  <si>
    <t>21-981419560</t>
  </si>
  <si>
    <t>22/05/2026 11:00</t>
  </si>
  <si>
    <t>EDILSON PAULINO BARACHO</t>
  </si>
  <si>
    <t>21-975949332</t>
  </si>
  <si>
    <t>EDNA VITORIO DO NASCIMENTO</t>
  </si>
  <si>
    <t>11-974032089</t>
  </si>
  <si>
    <t>22/05/2026 15:00</t>
  </si>
  <si>
    <t>EDUARDO ANDRE NOGUEIRA PESCIOTTA</t>
  </si>
  <si>
    <t>JUNDIAI</t>
  </si>
  <si>
    <t>11-995158610</t>
  </si>
  <si>
    <t>ELEUTERIO DANTAS DOS SANTOS</t>
  </si>
  <si>
    <t>11-953442577</t>
  </si>
  <si>
    <t>ELEYCA PODLYSKA DINIZ</t>
  </si>
  <si>
    <t>21-971245603</t>
  </si>
  <si>
    <t>21/05/2026 16:00</t>
  </si>
  <si>
    <t>ELIANE AZEVEDO RIBEIRO</t>
  </si>
  <si>
    <t>21-985741523</t>
  </si>
  <si>
    <t>ELIAS BARBOSA FONSECA</t>
  </si>
  <si>
    <t>21-991008015</t>
  </si>
  <si>
    <t>ELIAS NASCIMENTO DOS SANTOS</t>
  </si>
  <si>
    <t>21-993149387</t>
  </si>
  <si>
    <t>ELIMAR SODRE DE OLIVEIRA</t>
  </si>
  <si>
    <t>NITEROI</t>
  </si>
  <si>
    <t>21-996057228</t>
  </si>
  <si>
    <t>20/05/2026 10:40</t>
  </si>
  <si>
    <t>ELINDOISE CERQUEIRA BORGES</t>
  </si>
  <si>
    <t>CAJAMAR</t>
  </si>
  <si>
    <t>11-934391270</t>
  </si>
  <si>
    <t>ELISABETE MARIA MACIEL MULLER</t>
  </si>
  <si>
    <t>21-998114913</t>
  </si>
  <si>
    <t>ELVIRA CASTELLO BRANCO SARTO</t>
  </si>
  <si>
    <t>21-997461594</t>
  </si>
  <si>
    <t>19/05/2026 12:20</t>
  </si>
  <si>
    <t>ERIKA ANANIAS</t>
  </si>
  <si>
    <t>11-998243436</t>
  </si>
  <si>
    <t>19/05/2026 12:00</t>
  </si>
  <si>
    <t>FERNANDA CRUZ DE SOUZA</t>
  </si>
  <si>
    <t>11-991843949</t>
  </si>
  <si>
    <t>FERNANDO JOSE SOLEDADE</t>
  </si>
  <si>
    <t>21-996011720</t>
  </si>
  <si>
    <t>5. Alta por outros motivos</t>
  </si>
  <si>
    <t>paciente pertence a linha de IC ou Arritmia</t>
  </si>
  <si>
    <t>FERNANDO VALENCA DOS SANTOS</t>
  </si>
  <si>
    <t>21-983065704</t>
  </si>
  <si>
    <t>FLAVIO ALVES DA SILVA</t>
  </si>
  <si>
    <t>21-972386747</t>
  </si>
  <si>
    <t>FLAVIO CESAR FERREIRA DA SILVA</t>
  </si>
  <si>
    <t>MARICA</t>
  </si>
  <si>
    <t>21-964299787</t>
  </si>
  <si>
    <t>22/05/2026 12:00</t>
  </si>
  <si>
    <t>FRANCISCO FAGUNDES FILHO</t>
  </si>
  <si>
    <t>11-991575424</t>
  </si>
  <si>
    <t>25/05/2026 15:40</t>
  </si>
  <si>
    <t>FRANCISCO GILBERTO DOS SANTOS</t>
  </si>
  <si>
    <t>21-969035023</t>
  </si>
  <si>
    <t>FRANCISCO JOSE FRANCELINO</t>
  </si>
  <si>
    <t>21-996838901</t>
  </si>
  <si>
    <t>FRANCISCO JOSE LEITE E SILVA</t>
  </si>
  <si>
    <t>21-99987-8472</t>
  </si>
  <si>
    <t>GERALDO RIBEIRO DE OLIVEIRA</t>
  </si>
  <si>
    <t>11-94388-1817</t>
  </si>
  <si>
    <t>GERSON PEREIRA DE ARAUJO</t>
  </si>
  <si>
    <t>21-987420134</t>
  </si>
  <si>
    <t>22/05/2026 10:40</t>
  </si>
  <si>
    <t>GILDA DIAS DAMACENO</t>
  </si>
  <si>
    <t>21-979145819</t>
  </si>
  <si>
    <t>27/05/2026 12:00</t>
  </si>
  <si>
    <t>GILVAN CANDIDO PEREIRA</t>
  </si>
  <si>
    <t>21-998822207</t>
  </si>
  <si>
    <t>25/05/2026 15:20</t>
  </si>
  <si>
    <t>HARLEI DOS SANTOS SEVERINO</t>
  </si>
  <si>
    <t>21-987300907</t>
  </si>
  <si>
    <t>18/05/2026 15:00</t>
  </si>
  <si>
    <t>Externo - Outros</t>
  </si>
  <si>
    <t>HELIO OLIVEIRA DOS SANTOS</t>
  </si>
  <si>
    <t>11-961371145</t>
  </si>
  <si>
    <t>HENILDA FERREIRA DA CUNHA</t>
  </si>
  <si>
    <t>21-986657370</t>
  </si>
  <si>
    <t>20/05/2026 16:20</t>
  </si>
  <si>
    <t>HENRIQUE WALDEMAR GRATTI</t>
  </si>
  <si>
    <t>11-914093987</t>
  </si>
  <si>
    <t>HILDA DA SILVA BARROSO</t>
  </si>
  <si>
    <t>21-965399835</t>
  </si>
  <si>
    <t>25/05/2026 16:00</t>
  </si>
  <si>
    <t>HILTON CARLOS ALVES LYRIO</t>
  </si>
  <si>
    <t>21-999430139</t>
  </si>
  <si>
    <t>IRAN DE OLIVEIRA SILVA</t>
  </si>
  <si>
    <t>21-981099731</t>
  </si>
  <si>
    <t>IVAN DA SILVA CABRAL</t>
  </si>
  <si>
    <t>21-987860230</t>
  </si>
  <si>
    <t>IVO CAMILO GOMES</t>
  </si>
  <si>
    <t>11-951727623</t>
  </si>
  <si>
    <t>20/05/2026 09:40</t>
  </si>
  <si>
    <t>JAIR FERREIRA DE ASSUNCAO</t>
  </si>
  <si>
    <t>21-991120775</t>
  </si>
  <si>
    <t>JANDIRA LOPES</t>
  </si>
  <si>
    <t>21-997676144</t>
  </si>
  <si>
    <t>JOAO ALFREDO MOREIRA MARTINS</t>
  </si>
  <si>
    <t>21-970061133</t>
  </si>
  <si>
    <t>JOAO BATISTA MARTINS</t>
  </si>
  <si>
    <t>11-959808149</t>
  </si>
  <si>
    <t>JORGE DA SILVA BITTENCOURT</t>
  </si>
  <si>
    <t>21-988236139</t>
  </si>
  <si>
    <t>18/05/2026 16:40</t>
  </si>
  <si>
    <t>JORGE DE CARVALHO BOQUIMPANI</t>
  </si>
  <si>
    <t>21-964263751</t>
  </si>
  <si>
    <t>21/05/2026 09:40</t>
  </si>
  <si>
    <t>JOSE ANTONIO MESQUITA FARIAS</t>
  </si>
  <si>
    <t>21-959365228</t>
  </si>
  <si>
    <t>25/05/2026 14:20</t>
  </si>
  <si>
    <t>JOSE ARAUJO ADAO</t>
  </si>
  <si>
    <t>PORTO ALEGRE</t>
  </si>
  <si>
    <t>21-965744062</t>
  </si>
  <si>
    <t>25/05/2026 12:40</t>
  </si>
  <si>
    <t>JOSE CAMILO DA SILVA FILHO</t>
  </si>
  <si>
    <t>21-979152435</t>
  </si>
  <si>
    <t>JOSE EDUARDO CLAUDIO DA SILVA</t>
  </si>
  <si>
    <t>21-997524064</t>
  </si>
  <si>
    <t>22/05/2026 14:40</t>
  </si>
  <si>
    <t>JOSE ELENALDO DE JESUS GOIS</t>
  </si>
  <si>
    <t>OSASCO</t>
  </si>
  <si>
    <t>11-969353017</t>
  </si>
  <si>
    <t>22/05/2026 16:20</t>
  </si>
  <si>
    <t>JOSE FELICIANO VIEIRA DA SILVA</t>
  </si>
  <si>
    <t>21-976123718</t>
  </si>
  <si>
    <t>20/05/2026 15:20</t>
  </si>
  <si>
    <t>JOSE FIEL DE LIMA FILHO</t>
  </si>
  <si>
    <t>21-992715305</t>
  </si>
  <si>
    <t>JOSE GONCALVES</t>
  </si>
  <si>
    <t>21-998802830</t>
  </si>
  <si>
    <t>JOSE LOPES SOARES SOBRINHO</t>
  </si>
  <si>
    <t>21-969760181</t>
  </si>
  <si>
    <t>JOSE MARIA TAVARES DE FARIAS</t>
  </si>
  <si>
    <t>11-980705828</t>
  </si>
  <si>
    <t>JOSE RAMOS MACHADO</t>
  </si>
  <si>
    <t>21-986367349</t>
  </si>
  <si>
    <t>JOSE ROBERTO FERNANDES DUARTE</t>
  </si>
  <si>
    <t>21-979299200</t>
  </si>
  <si>
    <t>JOSEFA MARCIA DE SOUZA CARVALHO AMORIM</t>
  </si>
  <si>
    <t>EMBU DAS ARTES</t>
  </si>
  <si>
    <t>11-961014338</t>
  </si>
  <si>
    <t>JULIANA SILVA BORGES FERREIRA DE SOUZA</t>
  </si>
  <si>
    <t>21-979534274</t>
  </si>
  <si>
    <t>22/05/2026 10:00</t>
  </si>
  <si>
    <t>JUREMA CORTES TECLA PEREIRA</t>
  </si>
  <si>
    <t>21-999140340</t>
  </si>
  <si>
    <t>25/05/2026 14:40</t>
  </si>
  <si>
    <t>JUSSARA FRANCISCA DE PAULA</t>
  </si>
  <si>
    <t>21-976048558</t>
  </si>
  <si>
    <t>5. Alta por inelegibilidade</t>
  </si>
  <si>
    <t>LAMIR CARDOSO CARVALHO COUTINHO</t>
  </si>
  <si>
    <t>21-992957534</t>
  </si>
  <si>
    <t>22/05/2026 12:20</t>
  </si>
  <si>
    <t>LANUSA ADRIANO DA SILVA</t>
  </si>
  <si>
    <t>21-976716155</t>
  </si>
  <si>
    <t>20/05/2026 10:00</t>
  </si>
  <si>
    <t>LARISSA RIBEIRO MATOS</t>
  </si>
  <si>
    <t>21-986134253</t>
  </si>
  <si>
    <t>20/05/2026 16:40</t>
  </si>
  <si>
    <t>LEANDRO DUTRA DA SILVA</t>
  </si>
  <si>
    <t>11-996374179</t>
  </si>
  <si>
    <t>19/05/2026 11:40</t>
  </si>
  <si>
    <t>LEILA MARIA DE OLIVEIRA</t>
  </si>
  <si>
    <t>11-933975225</t>
  </si>
  <si>
    <t>20/05/2026 15:00</t>
  </si>
  <si>
    <t>LENIR SILVA MORAIS</t>
  </si>
  <si>
    <t>21-988789987</t>
  </si>
  <si>
    <t>5. Alta por múltiplas tentativas</t>
  </si>
  <si>
    <t>Pendente</t>
  </si>
  <si>
    <t>LEONARDO DA SILVA LAURINDO</t>
  </si>
  <si>
    <t>21-987648870</t>
  </si>
  <si>
    <t>LIDIA MATSIKO SHIMIZU</t>
  </si>
  <si>
    <t>11-975805592</t>
  </si>
  <si>
    <t>LUCIANA VIEIRA VILELA</t>
  </si>
  <si>
    <t>21-977137021</t>
  </si>
  <si>
    <t>26/05/2026 12:00</t>
  </si>
  <si>
    <t>LUCIANO COSTA</t>
  </si>
  <si>
    <t>21-975054000</t>
  </si>
  <si>
    <t>LUIS CARLOS BASTOS</t>
  </si>
  <si>
    <t>21-996642834</t>
  </si>
  <si>
    <t>LUIZ CARLOS FIORENTINI</t>
  </si>
  <si>
    <t>21-970009389</t>
  </si>
  <si>
    <t>19/05/2026 16:00</t>
  </si>
  <si>
    <t>LUIZ CARLOS LOPES MOREIRA</t>
  </si>
  <si>
    <t>21-975098173</t>
  </si>
  <si>
    <t>LUIZ EDUARDO MEDEIROS DE LIMA</t>
  </si>
  <si>
    <t>21-981125834</t>
  </si>
  <si>
    <t>20/05/2026 12:40</t>
  </si>
  <si>
    <t>Recusa</t>
  </si>
  <si>
    <t>LUIZ GONZAGA DE FIGUEIREDO FILHO</t>
  </si>
  <si>
    <t>21-971205662</t>
  </si>
  <si>
    <t>LUIZ HONORIO DE MENEZES</t>
  </si>
  <si>
    <t>21-973943126</t>
  </si>
  <si>
    <t>LUIZ SERGIO SANKUEVITZ CRUZ</t>
  </si>
  <si>
    <t>LUZIA VIVEIROS RIBEIRO</t>
  </si>
  <si>
    <t>21-964291312</t>
  </si>
  <si>
    <t>25/05/2026 12:00</t>
  </si>
  <si>
    <t>MANOEL SANTOS SILVA</t>
  </si>
  <si>
    <t>11-988726516</t>
  </si>
  <si>
    <t>MARCELO BRASIL SANTOS PEREIRA</t>
  </si>
  <si>
    <t>21-996461147</t>
  </si>
  <si>
    <t>MARCELO DE SOUZA TAVEIRA</t>
  </si>
  <si>
    <t>21-969018694</t>
  </si>
  <si>
    <t>22/05/2026 10:20</t>
  </si>
  <si>
    <t>MARCELO LIMA DE SOUSA</t>
  </si>
  <si>
    <t>21-987472527</t>
  </si>
  <si>
    <t>MARCIA DANTAS DE MELLO</t>
  </si>
  <si>
    <t>21-988119323</t>
  </si>
  <si>
    <t>MARCIA DE SOUZA ALVES</t>
  </si>
  <si>
    <t>21-993109634</t>
  </si>
  <si>
    <t>MARCIA ZAMARIOLI DE OLIVEIRA</t>
  </si>
  <si>
    <t>11-976213094</t>
  </si>
  <si>
    <t>15/05/2026 11:20</t>
  </si>
  <si>
    <t>MARCIO ROSA DE OLIVEIRA</t>
  </si>
  <si>
    <t>21-986307030</t>
  </si>
  <si>
    <t>MARGARETH TAVARES DA SILVA</t>
  </si>
  <si>
    <t>21-992674132</t>
  </si>
  <si>
    <t>18/05/2026 14:40</t>
  </si>
  <si>
    <t>MARIA ALVES DA SILVA</t>
  </si>
  <si>
    <t>21-975659736</t>
  </si>
  <si>
    <t>MARIA APARECIDA PESSAGNA RAYMUNDO</t>
  </si>
  <si>
    <t>11-993312995</t>
  </si>
  <si>
    <t>26/05/2026 16:40</t>
  </si>
  <si>
    <t>Não Informou</t>
  </si>
  <si>
    <t>MARIA APARECIDA VASCONCELOS GOMES</t>
  </si>
  <si>
    <t>11-959590626</t>
  </si>
  <si>
    <t>MARIA CELIS BATISTA DE SANTANA</t>
  </si>
  <si>
    <t>21-983279316</t>
  </si>
  <si>
    <t>MARIA CLEIDE DE SOUSA</t>
  </si>
  <si>
    <t>21-979218081</t>
  </si>
  <si>
    <t>25/05/2026 11:20</t>
  </si>
  <si>
    <t>MARIA CRISTINA SBANO MARTINS</t>
  </si>
  <si>
    <t>21-997570870</t>
  </si>
  <si>
    <t>27/05/2026 11:40</t>
  </si>
  <si>
    <t>MARIA DA GLORIA MARQUES DE SOUZA</t>
  </si>
  <si>
    <t>21-983973039</t>
  </si>
  <si>
    <t>Inativo</t>
  </si>
  <si>
    <t>Não possui alterações / cardiopatias</t>
  </si>
  <si>
    <t>MARIA DE LOURDES DEDES</t>
  </si>
  <si>
    <t>11-945043424</t>
  </si>
  <si>
    <t>21/05/2026 10:20</t>
  </si>
  <si>
    <t>MARIA DE LOURDES FONTES CHAVES DE GARCIA SORIA</t>
  </si>
  <si>
    <t>21-983748774</t>
  </si>
  <si>
    <t>MARIA DE LOURDES RAMOS LIRA</t>
  </si>
  <si>
    <t>21-985810637</t>
  </si>
  <si>
    <t>MARIA DE LOURDES SILVA</t>
  </si>
  <si>
    <t>21-991629696</t>
  </si>
  <si>
    <t>MARIA EDILEUZA DA SILVA FERREIRA DE SOUZA</t>
  </si>
  <si>
    <t>11-995898004</t>
  </si>
  <si>
    <t>MARIA EDNA LIMA DE SOUZA</t>
  </si>
  <si>
    <t>21-970455606</t>
  </si>
  <si>
    <t>MARIA EMILIA FERNANDES VIANA</t>
  </si>
  <si>
    <t>21-999890934</t>
  </si>
  <si>
    <t>MARIA FRANCISCA DE ANDRADE</t>
  </si>
  <si>
    <t>21-979414135</t>
  </si>
  <si>
    <t>MARIA LUCIA RAMOS ARAUJO</t>
  </si>
  <si>
    <t>11-993468260</t>
  </si>
  <si>
    <t>MARIA MADALENA DA SILVA ALMEIDA</t>
  </si>
  <si>
    <t>11-967533664</t>
  </si>
  <si>
    <t>MARIA MADALENA NUNES GREGORIO</t>
  </si>
  <si>
    <t>21-967526808</t>
  </si>
  <si>
    <t>27/05/2026 10:00</t>
  </si>
  <si>
    <t>MARIA NELITA FERREIRA DE SOUSA</t>
  </si>
  <si>
    <t>21-976258271</t>
  </si>
  <si>
    <t>MARIA VALDENIA COSTA</t>
  </si>
  <si>
    <t>21-974709650</t>
  </si>
  <si>
    <t>MARILDETE RIBEIRO SOUSA FERNANDES</t>
  </si>
  <si>
    <t>11-972775130</t>
  </si>
  <si>
    <t>MARILENE COLLI</t>
  </si>
  <si>
    <t>21-975468008</t>
  </si>
  <si>
    <t>MARILSA PEREIRA CAMPOS</t>
  </si>
  <si>
    <t>21-989039237</t>
  </si>
  <si>
    <t>MARINEA SANT ANNA DE ALMEIDA</t>
  </si>
  <si>
    <t>21-995412886</t>
  </si>
  <si>
    <t>MARIO DUARTE DE SOUSA</t>
  </si>
  <si>
    <t>21-964858605</t>
  </si>
  <si>
    <t>MARLI SILVEIRA DE SOUZA</t>
  </si>
  <si>
    <t>21-993643454</t>
  </si>
  <si>
    <t>MARTA MARIA NASCIMENTO DE OLIVEIRA</t>
  </si>
  <si>
    <t>21-969424750</t>
  </si>
  <si>
    <t>MARTHA RODRIGUES DE MEDEIROS DA SILVA</t>
  </si>
  <si>
    <t>21-997083914</t>
  </si>
  <si>
    <t>26/05/2026 12:20</t>
  </si>
  <si>
    <t>MAURICIO RIBEIRO</t>
  </si>
  <si>
    <t>11-959759066</t>
  </si>
  <si>
    <t>MAYARA LOPES SILVA</t>
  </si>
  <si>
    <t>11-942856969</t>
  </si>
  <si>
    <t>MICHAEL VIEIRA DOS SANTOS</t>
  </si>
  <si>
    <t>MACAE</t>
  </si>
  <si>
    <t>21-976857346</t>
  </si>
  <si>
    <t>22/05/2026 15:40</t>
  </si>
  <si>
    <t>MONICA SOARES DO SACRAMENTO</t>
  </si>
  <si>
    <t>21-981494007</t>
  </si>
  <si>
    <t>NATALINA DAS GRACAS PEREIRA FREITAS</t>
  </si>
  <si>
    <t>11-945412501</t>
  </si>
  <si>
    <t>26/05/2026 09:40</t>
  </si>
  <si>
    <t>NEIDE PEREIRA MODICA</t>
  </si>
  <si>
    <t>11-980935425</t>
  </si>
  <si>
    <t>26/05/2026 15:20</t>
  </si>
  <si>
    <t>NILA LORENZON FRAGA</t>
  </si>
  <si>
    <t>SEROPEDICA</t>
  </si>
  <si>
    <t>21-994257924</t>
  </si>
  <si>
    <t>25/05/2026 09:40</t>
  </si>
  <si>
    <t>OLGA DE JESUS MATHIAS</t>
  </si>
  <si>
    <t>11-981245162</t>
  </si>
  <si>
    <t>ORLANDO DO CARMO MERLIM</t>
  </si>
  <si>
    <t>21-994548465</t>
  </si>
  <si>
    <t>25/05/2026 16:20</t>
  </si>
  <si>
    <t>OSVALDO MARTINS DE PAIVA</t>
  </si>
  <si>
    <t>21-970125337</t>
  </si>
  <si>
    <t>20/05/2026 12:00</t>
  </si>
  <si>
    <t>PATRICIA DE CAMPOS TORRES</t>
  </si>
  <si>
    <t>21-987495172</t>
  </si>
  <si>
    <t>27/05/2026 11:00</t>
  </si>
  <si>
    <t>PAULO CESAR DE JESUS</t>
  </si>
  <si>
    <t>21-980722310</t>
  </si>
  <si>
    <t>PAULO CESAR GOMES BAPTISTA</t>
  </si>
  <si>
    <t>21-992162139</t>
  </si>
  <si>
    <t>PAULO CESAR SANTOS BARBOSA</t>
  </si>
  <si>
    <t>11-941277021</t>
  </si>
  <si>
    <t>26/05/2026 10:40</t>
  </si>
  <si>
    <t>PAULO HENRIQUE ALVES ROSA</t>
  </si>
  <si>
    <t>21-987600951</t>
  </si>
  <si>
    <t>PAULO SILVIO PIRES</t>
  </si>
  <si>
    <t>21-994222324</t>
  </si>
  <si>
    <t>PENHA MARIA DA SILVA FONTES</t>
  </si>
  <si>
    <t>NÍVEL 900</t>
  </si>
  <si>
    <t>21-979885837</t>
  </si>
  <si>
    <t>RAMIRO LOPES FONTE</t>
  </si>
  <si>
    <t>21-965016160</t>
  </si>
  <si>
    <t>26/05/2026 15:40</t>
  </si>
  <si>
    <t>RAPHAEL PEREIRA DE SOUZA</t>
  </si>
  <si>
    <t>21-972666041</t>
  </si>
  <si>
    <t>21/05/2026 11:40</t>
  </si>
  <si>
    <t>REGINA CELIA POLARES DA CRUZ</t>
  </si>
  <si>
    <t>21-975168335</t>
  </si>
  <si>
    <t>REINALDO SANTOS VIRGINIO</t>
  </si>
  <si>
    <t>SAO GONÇALO</t>
  </si>
  <si>
    <t>21-987233666</t>
  </si>
  <si>
    <t>RENATO CALISTO DA COSTA</t>
  </si>
  <si>
    <t>21-966764576</t>
  </si>
  <si>
    <t>22/05/2026 12:40</t>
  </si>
  <si>
    <t>RICARDO BATISTA OLIVEIRA</t>
  </si>
  <si>
    <t>NI-NI</t>
  </si>
  <si>
    <t>RICARDO BENTO DA SILVA FILHO</t>
  </si>
  <si>
    <t>21-967669111</t>
  </si>
  <si>
    <t>RICARDO DE ALBUQUERQUE ZARATTINI</t>
  </si>
  <si>
    <t>21-964097304</t>
  </si>
  <si>
    <t>RICARDO FELIX ROSA</t>
  </si>
  <si>
    <t>21-971014131</t>
  </si>
  <si>
    <t>RIMPE HIRATANI</t>
  </si>
  <si>
    <t>11-991621908</t>
  </si>
  <si>
    <t>ROBERTO DE AZEVEDO ANGELLOTI</t>
  </si>
  <si>
    <t>21-980944660</t>
  </si>
  <si>
    <t>ROBERTO OUNO</t>
  </si>
  <si>
    <t>11-999948542</t>
  </si>
  <si>
    <t>27/05/2026 10:40</t>
  </si>
  <si>
    <t>ROBERTO RODRIGUES BRITO</t>
  </si>
  <si>
    <t>21-964996621</t>
  </si>
  <si>
    <t>ROBSON AGRIPINO QUADRA</t>
  </si>
  <si>
    <t>21-974139650</t>
  </si>
  <si>
    <t>ROBSON LUIZ FREITAS DA SILVA</t>
  </si>
  <si>
    <t>21-989387150</t>
  </si>
  <si>
    <t>RODRIGO DE AQUINO SANTOS</t>
  </si>
  <si>
    <t>21-991350677</t>
  </si>
  <si>
    <t>RODRIGO NASCIMENTO MONTEIRO</t>
  </si>
  <si>
    <t>11-987233846</t>
  </si>
  <si>
    <t>RODRIGO VIEIRA CARDOSO</t>
  </si>
  <si>
    <t>RONALDO CUPERTINO DE MORAES</t>
  </si>
  <si>
    <t>21-968284784</t>
  </si>
  <si>
    <t>RONALDSON MARTINS CORDEIRO DE SOUZA</t>
  </si>
  <si>
    <t>21-991280929</t>
  </si>
  <si>
    <t>ROSANE MARILZA DE ARRUDA JORGE</t>
  </si>
  <si>
    <t>21-994767638</t>
  </si>
  <si>
    <t>ROSENILDA MARTINS DA SILVA</t>
  </si>
  <si>
    <t>11-987106035</t>
  </si>
  <si>
    <t>21/05/2026 16:20</t>
  </si>
  <si>
    <t>ROZALY DA SILVA PESSANHA</t>
  </si>
  <si>
    <t>21-987313571</t>
  </si>
  <si>
    <t>RUBEM PRANDI LIMA</t>
  </si>
  <si>
    <t>21-999819923</t>
  </si>
  <si>
    <t>19/05/2026 14:00</t>
  </si>
  <si>
    <t>RUTE MACHADO DA CRUZ OLIVEIRA</t>
  </si>
  <si>
    <t>21-990593883</t>
  </si>
  <si>
    <t>SANDRA DE OLIVEIRA DUARTE</t>
  </si>
  <si>
    <t>11-981698506</t>
  </si>
  <si>
    <t>SERGIO PISANI</t>
  </si>
  <si>
    <t>11-951564087</t>
  </si>
  <si>
    <t>SERGIO PORTO DE SOUZA</t>
  </si>
  <si>
    <t>11-962280468</t>
  </si>
  <si>
    <t>SEVERINA GENEROSA DA SILVA ALVES</t>
  </si>
  <si>
    <t>11-953832661</t>
  </si>
  <si>
    <t>SEVERINO JOSE DA SILVA FILHO</t>
  </si>
  <si>
    <t>11-970973172</t>
  </si>
  <si>
    <t>SIDNEY GIAMARUSTI</t>
  </si>
  <si>
    <t>11-991127199</t>
  </si>
  <si>
    <t>SILAS RODRIGUES DOS SANTOS</t>
  </si>
  <si>
    <t>11-983722464</t>
  </si>
  <si>
    <t>SILMAR ISIDORO CABRAL</t>
  </si>
  <si>
    <t>11-952116250</t>
  </si>
  <si>
    <t>SILVANIA MARIA DA SILVA SUMAN</t>
  </si>
  <si>
    <t>21-969346714</t>
  </si>
  <si>
    <t>SIMONE PEREIRA COELHO</t>
  </si>
  <si>
    <t>21-995453524</t>
  </si>
  <si>
    <t>21/05/2026 14:00</t>
  </si>
  <si>
    <t>SOELY SOARES DA SILVA</t>
  </si>
  <si>
    <t>21-970093750</t>
  </si>
  <si>
    <t>20/05/2026 11:40</t>
  </si>
  <si>
    <t>SOLANGE CARDINI RODRIGUES</t>
  </si>
  <si>
    <t>21-994130753</t>
  </si>
  <si>
    <t>SONIA MARIA CARVALHO SILVA</t>
  </si>
  <si>
    <t>21-986724142</t>
  </si>
  <si>
    <t>SONIA NASCIMENTO DOS SANTOS</t>
  </si>
  <si>
    <t>21-996617616</t>
  </si>
  <si>
    <t>SONIA REGINA PICERNI GIAMARUSTI</t>
  </si>
  <si>
    <t>TATIANE DE ALMEIDA QUEIROZ</t>
  </si>
  <si>
    <t>11-964358908</t>
  </si>
  <si>
    <t>21/05/2026 12:20</t>
  </si>
  <si>
    <t>TELMA APARECIDA DE MORAIS</t>
  </si>
  <si>
    <t>11-995881606</t>
  </si>
  <si>
    <t>20/05/2026 11:00</t>
  </si>
  <si>
    <t>TIAGO SALES CARNEIRO</t>
  </si>
  <si>
    <t>21-964609413</t>
  </si>
  <si>
    <t>27/05/2026 10:20</t>
  </si>
  <si>
    <t>TONULU DA SILVA</t>
  </si>
  <si>
    <t>21-981709250</t>
  </si>
  <si>
    <t>20/05/2026 14:00</t>
  </si>
  <si>
    <t>VALDECI LOPES DA SILVA</t>
  </si>
  <si>
    <t>21-984948518</t>
  </si>
  <si>
    <t>VALDIR MARTINS DE OLIVEIRA</t>
  </si>
  <si>
    <t>21-996328539</t>
  </si>
  <si>
    <t>Não realizada - Reagendada</t>
  </si>
  <si>
    <t>VALDIVINO FERREIRA DE ALMEIDA</t>
  </si>
  <si>
    <t>11-951597692</t>
  </si>
  <si>
    <t>VANECA ALVES DA SILVA</t>
  </si>
  <si>
    <t>11-962871135</t>
  </si>
  <si>
    <t>VANIA CRISTINA RODRIGUES BAPTISTA</t>
  </si>
  <si>
    <t>21-995241564</t>
  </si>
  <si>
    <t>VILMA HELENA BARBOZA SALGADO</t>
  </si>
  <si>
    <t>21-976215005</t>
  </si>
  <si>
    <t>WASHINGTON DE MELO ROCHA</t>
  </si>
  <si>
    <t>11-966591475</t>
  </si>
  <si>
    <t>26/05/2026 10:00</t>
  </si>
  <si>
    <t>Outros</t>
  </si>
  <si>
    <t xml:space="preserve">Navegação </t>
  </si>
  <si>
    <t>081044361</t>
  </si>
  <si>
    <t>SOLANGE COELHO LATARULLO</t>
  </si>
  <si>
    <t>PARQUE CISPER</t>
  </si>
  <si>
    <t>1125460389 11947216300</t>
  </si>
  <si>
    <t>746353421</t>
  </si>
  <si>
    <t>ALEX EDUARDO ASCENCAO</t>
  </si>
  <si>
    <t>ENGENHO DE DENTRO</t>
  </si>
  <si>
    <t>27/05/2026 14:20</t>
  </si>
  <si>
    <t>424729660</t>
  </si>
  <si>
    <t>TALITA DE AZEVEDO MOURA</t>
  </si>
  <si>
    <t>VILA PARQUE JABAQUARA</t>
  </si>
  <si>
    <t>7. Em fase de captação</t>
  </si>
  <si>
    <t>Forms</t>
  </si>
  <si>
    <t>TANIA MARIA MARTINS DE JESUS AFONSO</t>
  </si>
  <si>
    <t>013.979.847-16</t>
  </si>
  <si>
    <t>SANTO CRISTO</t>
  </si>
  <si>
    <t>Navegação</t>
  </si>
  <si>
    <t>VANDERLEA DOS SANTOS PINTO</t>
  </si>
  <si>
    <t>941.741.307-44</t>
  </si>
  <si>
    <t>rio de janeiro</t>
  </si>
  <si>
    <t>HELIOPOLIS</t>
  </si>
  <si>
    <t>23/06/2026 14:40</t>
  </si>
  <si>
    <t>Transbordo/TotalCare</t>
  </si>
  <si>
    <t>Captado Total Care</t>
  </si>
  <si>
    <t>Maria De Fatima Pereira Agostinho</t>
  </si>
  <si>
    <t>23/06/2026 11:00</t>
  </si>
  <si>
    <t>Edileusa Soares Dos Santos</t>
  </si>
  <si>
    <t>8. Não contactado</t>
  </si>
  <si>
    <t>Marina Diniz Ferreira</t>
  </si>
  <si>
    <t>Helena Francisca Walsh Tavares</t>
  </si>
  <si>
    <t>24/06/2026 14:00</t>
  </si>
  <si>
    <t>Carlos Alberto Ferreira</t>
  </si>
  <si>
    <t>Ricardo Vilas Boas De Sa Rego</t>
  </si>
  <si>
    <t>Luiz Carlos De Oliveira</t>
  </si>
  <si>
    <t>Livia Lopes Matias Pereira</t>
  </si>
  <si>
    <t>Ana Maria Rodrigues Ferreira</t>
  </si>
  <si>
    <t>Maria Augusta Prates</t>
  </si>
  <si>
    <t>16/06/2026 15:00</t>
  </si>
  <si>
    <t>Elza Rodrigues Silva</t>
  </si>
  <si>
    <t>Delma Barreto Da Silva Santana</t>
  </si>
  <si>
    <t>Camilla Messias Belarmino Dos Santos</t>
  </si>
  <si>
    <t>Pedro Dos Reis Pires</t>
  </si>
  <si>
    <t>24/06/2026 13:00</t>
  </si>
  <si>
    <t>Raimundo Alves Crispim</t>
  </si>
  <si>
    <t>24/06/2026 15:40</t>
  </si>
  <si>
    <t>Francisco Nunes Pereira</t>
  </si>
  <si>
    <t>Sebastiao Pereira Da Silva</t>
  </si>
  <si>
    <t>NINI</t>
  </si>
  <si>
    <t>Carlos Valdir Cancado</t>
  </si>
  <si>
    <t>Janice De Abreu Ferraz</t>
  </si>
  <si>
    <t>Luciana Da Silva Ferreira</t>
  </si>
  <si>
    <t>23/06/2026 16:00</t>
  </si>
  <si>
    <t>Leticia Cristina Da Silva</t>
  </si>
  <si>
    <t>23/06/2026 10:20</t>
  </si>
  <si>
    <t>Geane Ferreira Dos Reis</t>
  </si>
  <si>
    <t>Fabio Neves Da Silva Araujo</t>
  </si>
  <si>
    <t>16/06/2026 13:40</t>
  </si>
  <si>
    <t>Clemilson Santos De Jesus</t>
  </si>
  <si>
    <t>24/06/2026 13:40</t>
  </si>
  <si>
    <t>Marcela Conceicao Da Silva Vieira</t>
  </si>
  <si>
    <t>Rosemeire Martins</t>
  </si>
  <si>
    <t>Marcos Eduardo Charret</t>
  </si>
  <si>
    <t>Sesinaldo Mondek Da Silva</t>
  </si>
  <si>
    <t>Renata Goncalves Pereira Da Silva</t>
  </si>
  <si>
    <t>23/06/2026 14:00</t>
  </si>
  <si>
    <t>Bernardino Araujo Da Silva</t>
  </si>
  <si>
    <t>Lucia Maria De Jesus Silva</t>
  </si>
  <si>
    <t>Sueli Maria De Souza Morello</t>
  </si>
  <si>
    <t>Sumio Hashimoto</t>
  </si>
  <si>
    <t>Josebete Ferreira Dantas</t>
  </si>
  <si>
    <t>Ozeias Machado Nunes</t>
  </si>
  <si>
    <t>RIO DAS OSTRAS</t>
  </si>
  <si>
    <t>2198019-3287</t>
  </si>
  <si>
    <t>24/06/2026 15:20</t>
  </si>
  <si>
    <t>Maria Moura Lacerda</t>
  </si>
  <si>
    <t>24/06/2026 09:40</t>
  </si>
  <si>
    <t>Neulza Luciana Moreira</t>
  </si>
  <si>
    <t>Telma Guimaraes Da Silva</t>
  </si>
  <si>
    <t>23/06/2026 13:00</t>
  </si>
  <si>
    <t>Maria Solange Cardoso Da Rocha</t>
  </si>
  <si>
    <t>Venina Lamonica Peixoto</t>
  </si>
  <si>
    <t>Joel Nunes Bezerra</t>
  </si>
  <si>
    <t>Maria Da Graca Patricio</t>
  </si>
  <si>
    <t>Edison De Lacerda</t>
  </si>
  <si>
    <t>16/06/2026 14:40</t>
  </si>
  <si>
    <t>Mario Cesar De Souza</t>
  </si>
  <si>
    <t>23/06/2026 09:40</t>
  </si>
  <si>
    <t>Ana De Belem Lobato</t>
  </si>
  <si>
    <t>Vera Lucia Dos Santos Medeiros</t>
  </si>
  <si>
    <t>GENECIR PONTES PEREIRA DE OLIVEIRA</t>
  </si>
  <si>
    <t>GUARATIBA</t>
  </si>
  <si>
    <t>Situação Atual do Paciente</t>
  </si>
  <si>
    <t>Total</t>
  </si>
  <si>
    <t>&gt;&gt; Inserir no formato Mês / Ano apenas - como 01/2026, 02/2026, etc.</t>
  </si>
  <si>
    <t>Início</t>
  </si>
  <si>
    <t>Fim</t>
  </si>
  <si>
    <t>CONTAGEM DE PACIENTES</t>
  </si>
  <si>
    <t>Mês</t>
  </si>
  <si>
    <t>Parâmetros</t>
  </si>
  <si>
    <t>Absoluto</t>
  </si>
  <si>
    <t>Percentual</t>
  </si>
  <si>
    <t>Taxa de Captação</t>
  </si>
  <si>
    <t>2. Em avaliação para participar do programa</t>
  </si>
  <si>
    <t>SLA Captação
Médio</t>
  </si>
  <si>
    <t>3. Recusa por conta da assinatura do termo</t>
  </si>
  <si>
    <t>SLA Tent. Contato
Médio</t>
  </si>
  <si>
    <t>3. Recusa por desconfiança do programa</t>
  </si>
  <si>
    <t>SLA Consulta
Médio</t>
  </si>
  <si>
    <t>SLA Exclusão
Médio</t>
  </si>
  <si>
    <t>3. Recusa pela coparticipação</t>
  </si>
  <si>
    <t>Potencial de Conversão</t>
  </si>
  <si>
    <t>3. Recusa por estar fora da região</t>
  </si>
  <si>
    <t>3. Recusa por outros motivos</t>
  </si>
  <si>
    <t>Por Gênero</t>
  </si>
  <si>
    <t>4. Exclusão do plano</t>
  </si>
  <si>
    <t>4. Óbito</t>
  </si>
  <si>
    <t>4. Não Captar a pedido da Operadora</t>
  </si>
  <si>
    <t>5. Alta por óbito</t>
  </si>
  <si>
    <t>5. Alta a pedido - recusa em assinar o termo</t>
  </si>
  <si>
    <t>5. Alta a pedido - perda de interesse</t>
  </si>
  <si>
    <t>5. Alta a pedido - mudança de região</t>
  </si>
  <si>
    <t>5. Alta por exclusão do plano</t>
  </si>
  <si>
    <t>5. Alta a pedido da operadora</t>
  </si>
  <si>
    <t>9. Não informado</t>
  </si>
  <si>
    <t>CONTAGEM DE PACIENTES QUE ACEITARAM O PROGRAMA COM BASE NA DATA DE INCLUSÃO</t>
  </si>
  <si>
    <t>Período</t>
  </si>
  <si>
    <t>LOCAL DE ACOMPANHAMENTO - PACIENTES QUE ACEITARAM O PROGRAMA</t>
  </si>
  <si>
    <t>Local de Acompanhamento Inicial</t>
  </si>
  <si>
    <t>Amil Paulistano</t>
  </si>
  <si>
    <t>Samaritano Higi</t>
  </si>
  <si>
    <t>COI -RJ</t>
  </si>
  <si>
    <t>Interno - Amil Geral</t>
  </si>
  <si>
    <t>Externo - Geral</t>
  </si>
  <si>
    <t>Taxa de Conversão - Hub Linha</t>
  </si>
  <si>
    <t>COI RJ</t>
  </si>
  <si>
    <t>DIAGNÓSTICO CONFIRMADO?  - PACIENTES QUE ACEITARAM O PROGRAMA</t>
  </si>
  <si>
    <t>Dx Confirmado / Semana</t>
  </si>
  <si>
    <t>Dx Confirmado</t>
  </si>
  <si>
    <t>CONSULTAS</t>
  </si>
  <si>
    <t>Status Pré-Consulta</t>
  </si>
  <si>
    <t>Pendente de agendamento</t>
  </si>
  <si>
    <t>Status Consultas de Enfermagem</t>
  </si>
  <si>
    <t>Não realizada - Desistência</t>
  </si>
  <si>
    <t>Sem Preenchimento</t>
  </si>
  <si>
    <t>ORIGEM</t>
  </si>
  <si>
    <t>Casos Prioritário - E-mail</t>
  </si>
  <si>
    <t>Forms Total Care</t>
  </si>
  <si>
    <t>GSC</t>
  </si>
  <si>
    <t>Triggers</t>
  </si>
  <si>
    <t xml:space="preserve">Viva Bem </t>
  </si>
  <si>
    <t>Saúde Ocupacional</t>
  </si>
  <si>
    <t>Lista Suspensa - Origem</t>
  </si>
  <si>
    <t>Origem (Colocar na ordem desejada)</t>
  </si>
  <si>
    <t xml:space="preserve">Lista Suspensa - Local de Acomapanhamento </t>
  </si>
  <si>
    <t>Local de Acomapanhamento  (Colocar na ordem desejada)</t>
  </si>
  <si>
    <t>Linhas</t>
  </si>
  <si>
    <t>CA Confirmado?</t>
  </si>
  <si>
    <t>Direcionado ao Paulistano?</t>
  </si>
  <si>
    <t>CÉLULA COM FÓRMULA - NÃO ALTERAR</t>
  </si>
  <si>
    <t xml:space="preserve">Captação + Navegação </t>
  </si>
  <si>
    <t>Outras</t>
  </si>
  <si>
    <t>Colorretal</t>
  </si>
  <si>
    <t>Mama</t>
  </si>
  <si>
    <t>Pós-TMO</t>
  </si>
  <si>
    <t>Aguardando Contato</t>
  </si>
  <si>
    <t>NA</t>
  </si>
  <si>
    <t>Migrou do Fluxo de Negativa</t>
  </si>
  <si>
    <t>Próstata</t>
  </si>
  <si>
    <t>Pulmão</t>
  </si>
  <si>
    <t>Autoimunidade</t>
  </si>
  <si>
    <t>CMDP - Centro Médico Dom Pedro</t>
  </si>
  <si>
    <t>Anticoagulante</t>
  </si>
  <si>
    <t>Emagrecimento</t>
  </si>
  <si>
    <t>Ambulatório - Américas</t>
  </si>
  <si>
    <t>Arritmias</t>
  </si>
  <si>
    <t>Ambulatório - Samaritano Barra</t>
  </si>
  <si>
    <t>Amil - Hospital Ipiranga Arujá - Ambulatório </t>
  </si>
  <si>
    <t>ICC</t>
  </si>
  <si>
    <t>Captado pela Amil</t>
  </si>
  <si>
    <t>Amil - Hospital Ipiranga Mogi - Ambulatório </t>
  </si>
  <si>
    <t>Pós-IAM</t>
  </si>
  <si>
    <t>Captado pela Amil - Endocrino CMDP</t>
  </si>
  <si>
    <t>Amil - Hospital Metropolitano - Centro Médico </t>
  </si>
  <si>
    <t>CMDP - Busca Ativa do Paciente</t>
  </si>
  <si>
    <t>Amil - Hospital Paulistano - Ambulatório </t>
  </si>
  <si>
    <t>Diabetes</t>
  </si>
  <si>
    <t>CMDP - Eduardo</t>
  </si>
  <si>
    <t>CMDP Nutri - Andreza Oliveira Barbosa</t>
  </si>
  <si>
    <t>Amil - Unidade Avançada Carlos Chagas </t>
  </si>
  <si>
    <t>Gestantes</t>
  </si>
  <si>
    <t>CMDP Nutri - Helena Guazzelli</t>
  </si>
  <si>
    <t>Amil - Unidade Avançada Luz Butantã </t>
  </si>
  <si>
    <t>Coluna</t>
  </si>
  <si>
    <t>CMDP Nutri - Juliana Cardoso Gaia</t>
  </si>
  <si>
    <t>Pós-AVC</t>
  </si>
  <si>
    <t>CMDP Nutri - Maria Carolina Vieira Marrano</t>
  </si>
  <si>
    <t>Cefaleia</t>
  </si>
  <si>
    <t>CMDP Nutri - Mariana Freire Lima</t>
  </si>
  <si>
    <t>Endometriose</t>
  </si>
  <si>
    <t>CMDP Nutri - Rosangela Cristina Toni Dos Santos</t>
  </si>
  <si>
    <t>Fumo Zero</t>
  </si>
  <si>
    <t>S</t>
  </si>
  <si>
    <t>CMDP Nutri - Tamyres Yuri Silva Palhares</t>
  </si>
  <si>
    <t xml:space="preserve">Asma </t>
  </si>
  <si>
    <t>CMDP Nutri - Victor De Faria Hernandes</t>
  </si>
  <si>
    <t>Amil Espaço Saúde - Caxias </t>
  </si>
  <si>
    <t>DPOC</t>
  </si>
  <si>
    <t>Empresa - Light</t>
  </si>
  <si>
    <t>Amil Espaço Saúde - Guarulhos </t>
  </si>
  <si>
    <t>Renal</t>
  </si>
  <si>
    <t>Empresa - Qualitech</t>
  </si>
  <si>
    <t>Amil Espaço Saúde - Niterói </t>
  </si>
  <si>
    <t>Tx Hepatico</t>
  </si>
  <si>
    <t>Equipe - Cirurgião Luiz Alfredo</t>
  </si>
  <si>
    <t>Amil Espaço Saúde - Nova Iguaçu </t>
  </si>
  <si>
    <t>Equipe - Cirurgião Michel Menezes</t>
  </si>
  <si>
    <t>Amil Espaço Saúde - Osasco </t>
  </si>
  <si>
    <t>Equipe - Clínica Sallet</t>
  </si>
  <si>
    <t>Amil Espaço Saúde - Santana </t>
  </si>
  <si>
    <t>Equipe - Clinigest</t>
  </si>
  <si>
    <t>Equipe - Dr Antonio Claudio Jamel </t>
  </si>
  <si>
    <t>Amil Telemedicina </t>
  </si>
  <si>
    <t>Equipe - Dr. Fernando Barros</t>
  </si>
  <si>
    <t>Centro Médico Jardim </t>
  </si>
  <si>
    <t>Equipe - Dr. Guilherme Ribas</t>
  </si>
  <si>
    <t>Centro Médico Joao Azevedo - Sbc  II</t>
  </si>
  <si>
    <t>Equipe - Dr. Jose Antonio Possidente Pacheco</t>
  </si>
  <si>
    <t>Centro Médico João Azevedo - Sbc I  </t>
  </si>
  <si>
    <t>Equipe - Dr. Luiz Alfredo</t>
  </si>
  <si>
    <t>Centro Médico Luiz Ferreira - Sbc </t>
  </si>
  <si>
    <t>Equipe - Dr. Michel Menezes</t>
  </si>
  <si>
    <t>Centro Médico - Samaritano Higienópolis </t>
  </si>
  <si>
    <t>Equipe - Dr. Paulo Roberto Falcão</t>
  </si>
  <si>
    <t>Centro Médico Hospital São Lucas </t>
  </si>
  <si>
    <t>Equipe - Dra. Ana Kariana Soares Alves </t>
  </si>
  <si>
    <t>Hospital Alvorada Ambulatório Arapanés </t>
  </si>
  <si>
    <t>Equipe - Dra. Damiana de Cassia</t>
  </si>
  <si>
    <t>Hospital Alvorada Moema </t>
  </si>
  <si>
    <t>Equipe - Dra. Mariana Araujo Santos</t>
  </si>
  <si>
    <t>Hospital Américas - Ambulatório </t>
  </si>
  <si>
    <t>Equipe - FERNANDO DE BARROS</t>
  </si>
  <si>
    <t>Hospital Samaritano Paulista - Ambulatório </t>
  </si>
  <si>
    <t>Equipe - Instituto Castro</t>
  </si>
  <si>
    <t>AES - Botafogo  &lt;= 400</t>
  </si>
  <si>
    <t>Equipe - NewMatrix Serviços Médico</t>
  </si>
  <si>
    <t>AES - Campo Grande &lt;= 400</t>
  </si>
  <si>
    <t>AES - Caxias &lt;= 400</t>
  </si>
  <si>
    <t>Outras Indicações Amil</t>
  </si>
  <si>
    <t>AES - Niteroi &lt;= 400</t>
  </si>
  <si>
    <t>Transbordo Navegação</t>
  </si>
  <si>
    <t>AES - Tijuca &lt;= 400</t>
  </si>
  <si>
    <t>Cirurgião bariátrico (Externo)</t>
  </si>
  <si>
    <t>AES - Osasco &lt;= 400</t>
  </si>
  <si>
    <t>Optin</t>
  </si>
  <si>
    <t>AES - Nova Iguaçu &lt;= 400</t>
  </si>
  <si>
    <t>ASM - Centro Médico Hospital São Lucas &gt; 400</t>
  </si>
  <si>
    <t>ASM - Hospital Américas - Ambulatório &gt; 400</t>
  </si>
  <si>
    <t>ASM - Centro Médico Samaritano &gt; 400</t>
  </si>
  <si>
    <t>AMIL - Hospital Ipiranga Mogi - Ambulatório &lt;= 400</t>
  </si>
  <si>
    <t>AMIL - Unidade Avançada Luz Butantã  &lt;= 400</t>
  </si>
  <si>
    <t>AMIL - Unidade Avançada Vitória  &lt;= 400</t>
  </si>
  <si>
    <t>AMIL - Unidade Avançada Luiz Joao Dias  &lt;= 400</t>
  </si>
  <si>
    <t>AP - Centro Médico João Azevedo SBC I &lt;= 400</t>
  </si>
  <si>
    <t>Amil Espaço Saúde - Santo Amaro</t>
  </si>
  <si>
    <t>Amil Espaço Saúde - Guarulhos</t>
  </si>
  <si>
    <t xml:space="preserve">Amil Espaço Saúde - Santa Helena </t>
  </si>
  <si>
    <t>Hospital Samaritano - Não Especificado</t>
  </si>
  <si>
    <t>SUS</t>
  </si>
  <si>
    <t>Escala</t>
  </si>
  <si>
    <t xml:space="preserve">Local de Acomapanhamento </t>
  </si>
  <si>
    <t>Navegação - Transbordo</t>
  </si>
  <si>
    <t>Unidade Avançada Luz Butantã</t>
  </si>
  <si>
    <t>Unidade Avançada Luz João Dias</t>
  </si>
  <si>
    <t>Captação e Navegação</t>
  </si>
  <si>
    <t>UD Cubatão - Hospital Luz</t>
  </si>
  <si>
    <t>AES Ana Rosa</t>
  </si>
  <si>
    <t>AES Guarulhos</t>
  </si>
  <si>
    <t>AES Tatuapé</t>
  </si>
  <si>
    <t>Samaritano Paulista</t>
  </si>
  <si>
    <t>AES Tijuca</t>
  </si>
  <si>
    <t>AES Botafogo</t>
  </si>
  <si>
    <t xml:space="preserve">  </t>
  </si>
  <si>
    <t>AES Campo Grande</t>
  </si>
  <si>
    <t>ONCO</t>
  </si>
  <si>
    <t>Interno</t>
  </si>
  <si>
    <t>Externo</t>
  </si>
  <si>
    <t>Investigando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</si>
</sst>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00000000"/>
    <numFmt numFmtId="165" formatCode="dd/mm/yy;@"/>
    <numFmt numFmtId="166" formatCode="000\.000\.000\-00"/>
    <numFmt numFmtId="167" formatCode="dd/mm/yyyy;@"/>
    <numFmt numFmtId="168" formatCode="0.0"/>
    <numFmt numFmtId="169" formatCode="#,##0.0"/>
    <numFmt numFmtId="170" formatCode="00000000"/>
    <numFmt numFmtId="171" formatCode="d/mm/yyyy;@"/>
  </numFmts>
  <fonts count="2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11"/>
      <name val="Calibri"/>
      <family val="2"/>
    </font>
    <font>
      <b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8"/>
      <color rgb="FF000000"/>
      <name val="Calibri"/>
      <family val="2"/>
    </font>
    <font>
      <b/>
      <sz val="9"/>
      <color rgb="FF00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0000"/>
      <name val="Calibri"/>
      <family val="2"/>
    </font>
    <font>
      <sz val="11"/>
      <color rgb="FF00000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theme="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rgb="FF5B9BD5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rgb="FF5B9BD5"/>
        <bgColor rgb="FF5B9BD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E2EFDA"/>
        <bgColor rgb="FF000000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23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0" fontId="0" fillId="0" borderId="2" xfId="0" applyBorder="1"/>
    <xf numFmtId="164" fontId="5" fillId="4" borderId="4" xfId="0" applyNumberFormat="1" applyFont="1" applyFill="1" applyBorder="1" applyAlignment="1">
      <alignment horizontal="center" vertical="center" wrapText="1"/>
    </xf>
    <xf numFmtId="14" fontId="5" fillId="4" borderId="4" xfId="0" applyNumberFormat="1" applyFont="1" applyFill="1" applyBorder="1" applyAlignment="1">
      <alignment horizontal="center" vertical="center" wrapText="1"/>
    </xf>
    <xf numFmtId="165" fontId="5" fillId="4" borderId="4" xfId="0" applyNumberFormat="1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166" fontId="5" fillId="4" borderId="4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49" fontId="5" fillId="3" borderId="7" xfId="0" applyNumberFormat="1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14" fontId="5" fillId="3" borderId="7" xfId="0" applyNumberFormat="1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right"/>
    </xf>
    <xf numFmtId="0" fontId="6" fillId="0" borderId="2" xfId="0" applyFont="1" applyBorder="1" applyAlignment="1">
      <alignment vertical="center"/>
    </xf>
    <xf numFmtId="16" fontId="0" fillId="0" borderId="2" xfId="0" applyNumberFormat="1" applyBorder="1"/>
    <xf numFmtId="0" fontId="0" fillId="0" borderId="4" xfId="0" applyBorder="1"/>
    <xf numFmtId="0" fontId="6" fillId="0" borderId="6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7" fontId="3" fillId="6" borderId="1" xfId="0" applyNumberFormat="1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8" fillId="12" borderId="1" xfId="0" applyFont="1" applyFill="1" applyBorder="1"/>
    <xf numFmtId="0" fontId="0" fillId="10" borderId="1" xfId="0" applyFill="1" applyBorder="1" applyAlignment="1">
      <alignment horizontal="center"/>
    </xf>
    <xf numFmtId="0" fontId="8" fillId="1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9" fillId="0" borderId="1" xfId="0" applyFont="1" applyBorder="1" applyAlignment="1">
      <alignment horizontal="center"/>
    </xf>
    <xf numFmtId="14" fontId="0" fillId="0" borderId="0" xfId="0" applyNumberFormat="1"/>
    <xf numFmtId="9" fontId="0" fillId="10" borderId="1" xfId="1" applyFont="1" applyFill="1" applyBorder="1" applyAlignment="1">
      <alignment horizontal="center"/>
    </xf>
    <xf numFmtId="9" fontId="0" fillId="0" borderId="1" xfId="1" applyFont="1" applyBorder="1" applyAlignment="1">
      <alignment horizontal="center"/>
    </xf>
    <xf numFmtId="9" fontId="9" fillId="0" borderId="1" xfId="1" applyFont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0" fontId="0" fillId="11" borderId="0" xfId="0" applyFill="1" applyAlignment="1">
      <alignment horizontal="center"/>
    </xf>
    <xf numFmtId="0" fontId="8" fillId="12" borderId="1" xfId="0" applyFont="1" applyFill="1" applyBorder="1" applyAlignment="1">
      <alignment horizontal="center"/>
    </xf>
    <xf numFmtId="0" fontId="9" fillId="10" borderId="1" xfId="0" applyFont="1" applyFill="1" applyBorder="1"/>
    <xf numFmtId="0" fontId="9" fillId="0" borderId="1" xfId="0" applyFont="1" applyBorder="1"/>
    <xf numFmtId="9" fontId="9" fillId="10" borderId="1" xfId="1" applyFont="1" applyFill="1" applyBorder="1" applyAlignment="1">
      <alignment horizontal="center"/>
    </xf>
    <xf numFmtId="9" fontId="9" fillId="0" borderId="1" xfId="0" applyNumberFormat="1" applyFont="1" applyBorder="1" applyAlignment="1">
      <alignment horizontal="center"/>
    </xf>
    <xf numFmtId="9" fontId="9" fillId="10" borderId="1" xfId="0" applyNumberFormat="1" applyFont="1" applyFill="1" applyBorder="1" applyAlignment="1">
      <alignment horizontal="center"/>
    </xf>
    <xf numFmtId="0" fontId="9" fillId="11" borderId="8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9" fillId="14" borderId="17" xfId="0" applyFont="1" applyFill="1" applyBorder="1" applyAlignment="1">
      <alignment horizontal="center"/>
    </xf>
    <xf numFmtId="0" fontId="9" fillId="14" borderId="18" xfId="0" applyFont="1" applyFill="1" applyBorder="1" applyAlignment="1">
      <alignment horizontal="center"/>
    </xf>
    <xf numFmtId="0" fontId="9" fillId="5" borderId="20" xfId="0" applyFont="1" applyFill="1" applyBorder="1" applyAlignment="1">
      <alignment horizontal="center"/>
    </xf>
    <xf numFmtId="0" fontId="6" fillId="11" borderId="16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6" fillId="11" borderId="11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/>
    </xf>
    <xf numFmtId="0" fontId="0" fillId="0" borderId="12" xfId="0" applyBorder="1" applyAlignment="1">
      <alignment horizontal="center"/>
    </xf>
    <xf numFmtId="0" fontId="6" fillId="11" borderId="13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3" fillId="0" borderId="0" xfId="0" applyFont="1" applyAlignment="1">
      <alignment horizontal="center"/>
    </xf>
    <xf numFmtId="0" fontId="12" fillId="13" borderId="9" xfId="0" applyFont="1" applyFill="1" applyBorder="1" applyAlignment="1">
      <alignment horizontal="center" vertical="center" wrapText="1"/>
    </xf>
    <xf numFmtId="0" fontId="11" fillId="11" borderId="23" xfId="0" applyFont="1" applyFill="1" applyBorder="1" applyAlignment="1">
      <alignment horizontal="center"/>
    </xf>
    <xf numFmtId="0" fontId="11" fillId="11" borderId="24" xfId="0" applyFont="1" applyFill="1" applyBorder="1" applyAlignment="1">
      <alignment horizontal="center"/>
    </xf>
    <xf numFmtId="0" fontId="11" fillId="11" borderId="25" xfId="0" applyFont="1" applyFill="1" applyBorder="1" applyAlignment="1">
      <alignment horizontal="center"/>
    </xf>
    <xf numFmtId="0" fontId="9" fillId="14" borderId="9" xfId="0" applyFont="1" applyFill="1" applyBorder="1" applyAlignment="1">
      <alignment horizontal="center"/>
    </xf>
    <xf numFmtId="0" fontId="5" fillId="15" borderId="20" xfId="0" applyFont="1" applyFill="1" applyBorder="1" applyAlignment="1">
      <alignment horizontal="center" vertical="center" wrapText="1"/>
    </xf>
    <xf numFmtId="0" fontId="11" fillId="0" borderId="21" xfId="0" applyFont="1" applyBorder="1" applyAlignment="1">
      <alignment horizontal="center"/>
    </xf>
    <xf numFmtId="0" fontId="9" fillId="6" borderId="20" xfId="0" applyFont="1" applyFill="1" applyBorder="1" applyAlignment="1">
      <alignment horizontal="center"/>
    </xf>
    <xf numFmtId="169" fontId="0" fillId="10" borderId="1" xfId="1" applyNumberFormat="1" applyFont="1" applyFill="1" applyBorder="1" applyAlignment="1">
      <alignment horizontal="center"/>
    </xf>
    <xf numFmtId="0" fontId="8" fillId="16" borderId="1" xfId="0" applyFont="1" applyFill="1" applyBorder="1"/>
    <xf numFmtId="0" fontId="8" fillId="16" borderId="1" xfId="0" applyFont="1" applyFill="1" applyBorder="1" applyAlignment="1">
      <alignment horizontal="center" vertical="center"/>
    </xf>
    <xf numFmtId="14" fontId="0" fillId="2" borderId="1" xfId="0" applyNumberFormat="1" applyFill="1" applyBorder="1"/>
    <xf numFmtId="0" fontId="0" fillId="2" borderId="1" xfId="0" applyFill="1" applyBorder="1" applyAlignment="1">
      <alignment horizontal="center"/>
    </xf>
    <xf numFmtId="9" fontId="0" fillId="2" borderId="1" xfId="1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7" fontId="0" fillId="10" borderId="1" xfId="0" applyNumberForma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70" fontId="1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1" fillId="7" borderId="2" xfId="0" applyFont="1" applyFill="1" applyBorder="1" applyAlignment="1">
      <alignment horizontal="center" vertical="center" wrapText="1"/>
    </xf>
    <xf numFmtId="14" fontId="2" fillId="7" borderId="2" xfId="0" applyNumberFormat="1" applyFont="1" applyFill="1" applyBorder="1" applyAlignment="1">
      <alignment horizontal="center" vertical="center" wrapText="1"/>
    </xf>
    <xf numFmtId="14" fontId="1" fillId="7" borderId="2" xfId="0" applyNumberFormat="1" applyFont="1" applyFill="1" applyBorder="1" applyAlignment="1">
      <alignment horizontal="center" vertical="center" wrapText="1"/>
    </xf>
    <xf numFmtId="167" fontId="1" fillId="0" borderId="2" xfId="0" applyNumberFormat="1" applyFont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wrapText="1"/>
    </xf>
    <xf numFmtId="0" fontId="1" fillId="19" borderId="2" xfId="0" applyFont="1" applyFill="1" applyBorder="1" applyAlignment="1">
      <alignment horizontal="center" vertical="center" wrapText="1"/>
    </xf>
    <xf numFmtId="164" fontId="17" fillId="8" borderId="1" xfId="0" applyNumberFormat="1" applyFont="1" applyFill="1" applyBorder="1" applyAlignment="1">
      <alignment horizontal="center" vertical="center" wrapText="1"/>
    </xf>
    <xf numFmtId="14" fontId="17" fillId="8" borderId="1" xfId="0" applyNumberFormat="1" applyFont="1" applyFill="1" applyBorder="1" applyAlignment="1">
      <alignment horizontal="center" vertical="center" wrapText="1"/>
    </xf>
    <xf numFmtId="165" fontId="17" fillId="8" borderId="1" xfId="0" applyNumberFormat="1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1" fontId="17" fillId="8" borderId="1" xfId="0" applyNumberFormat="1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14" fontId="17" fillId="3" borderId="1" xfId="0" applyNumberFormat="1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14" fontId="17" fillId="2" borderId="1" xfId="0" applyNumberFormat="1" applyFont="1" applyFill="1" applyBorder="1" applyAlignment="1">
      <alignment horizontal="center" vertical="center" wrapText="1"/>
    </xf>
    <xf numFmtId="167" fontId="17" fillId="6" borderId="1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166" fontId="1" fillId="0" borderId="2" xfId="0" applyNumberFormat="1" applyFont="1" applyBorder="1" applyAlignment="1">
      <alignment horizontal="center" vertical="center" wrapText="1"/>
    </xf>
    <xf numFmtId="0" fontId="1" fillId="20" borderId="2" xfId="0" applyFont="1" applyFill="1" applyBorder="1" applyAlignment="1">
      <alignment horizontal="center" vertical="center" wrapText="1"/>
    </xf>
    <xf numFmtId="167" fontId="18" fillId="7" borderId="2" xfId="0" applyNumberFormat="1" applyFont="1" applyFill="1" applyBorder="1" applyAlignment="1">
      <alignment horizontal="center" vertical="center" wrapText="1"/>
    </xf>
    <xf numFmtId="14" fontId="18" fillId="7" borderId="2" xfId="0" applyNumberFormat="1" applyFont="1" applyFill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vertical="center" wrapText="1"/>
    </xf>
    <xf numFmtId="171" fontId="1" fillId="0" borderId="2" xfId="0" applyNumberFormat="1" applyFont="1" applyBorder="1" applyAlignment="1">
      <alignment horizontal="center" vertical="center" wrapText="1"/>
    </xf>
    <xf numFmtId="0" fontId="16" fillId="17" borderId="2" xfId="0" applyFont="1" applyFill="1" applyBorder="1" applyAlignment="1">
      <alignment horizontal="center" vertical="center" wrapText="1"/>
    </xf>
    <xf numFmtId="165" fontId="1" fillId="0" borderId="2" xfId="0" applyNumberFormat="1" applyFont="1" applyBorder="1" applyAlignment="1">
      <alignment horizontal="center" vertical="center" wrapText="1"/>
    </xf>
    <xf numFmtId="167" fontId="2" fillId="7" borderId="2" xfId="0" applyNumberFormat="1" applyFont="1" applyFill="1" applyBorder="1" applyAlignment="1">
      <alignment horizontal="center" vertical="center" wrapText="1"/>
    </xf>
    <xf numFmtId="167" fontId="1" fillId="7" borderId="2" xfId="0" applyNumberFormat="1" applyFont="1" applyFill="1" applyBorder="1" applyAlignment="1">
      <alignment horizontal="center" vertical="center" wrapText="1"/>
    </xf>
    <xf numFmtId="16" fontId="1" fillId="0" borderId="2" xfId="0" applyNumberFormat="1" applyFont="1" applyBorder="1" applyAlignment="1">
      <alignment horizontal="center" vertical="center" wrapText="1"/>
    </xf>
    <xf numFmtId="14" fontId="1" fillId="21" borderId="2" xfId="0" applyNumberFormat="1" applyFont="1" applyFill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9" fillId="7" borderId="2" xfId="0" applyFont="1" applyFill="1" applyBorder="1" applyAlignment="1">
      <alignment horizontal="center" wrapText="1"/>
    </xf>
    <xf numFmtId="0" fontId="1" fillId="19" borderId="26" xfId="0" applyFont="1" applyFill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14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14" fontId="2" fillId="7" borderId="4" xfId="0" applyNumberFormat="1" applyFont="1" applyFill="1" applyBorder="1" applyAlignment="1">
      <alignment horizontal="center" vertical="center" wrapText="1"/>
    </xf>
    <xf numFmtId="14" fontId="1" fillId="7" borderId="4" xfId="0" applyNumberFormat="1" applyFont="1" applyFill="1" applyBorder="1" applyAlignment="1">
      <alignment horizontal="center" vertical="center" wrapText="1"/>
    </xf>
    <xf numFmtId="16" fontId="1" fillId="0" borderId="4" xfId="0" applyNumberFormat="1" applyFont="1" applyBorder="1" applyAlignment="1">
      <alignment horizontal="center" vertical="center" wrapText="1"/>
    </xf>
    <xf numFmtId="167" fontId="1" fillId="0" borderId="4" xfId="0" applyNumberFormat="1" applyFont="1" applyBorder="1" applyAlignment="1">
      <alignment horizontal="center" vertical="center" wrapText="1"/>
    </xf>
    <xf numFmtId="0" fontId="1" fillId="19" borderId="4" xfId="0" applyFont="1" applyFill="1" applyBorder="1" applyAlignment="1">
      <alignment horizontal="center" vertical="center" wrapText="1"/>
    </xf>
    <xf numFmtId="0" fontId="1" fillId="19" borderId="28" xfId="0" applyFont="1" applyFill="1" applyBorder="1" applyAlignment="1">
      <alignment horizontal="center" vertical="center" wrapText="1"/>
    </xf>
    <xf numFmtId="49" fontId="1" fillId="7" borderId="2" xfId="0" applyNumberFormat="1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vertical="center" wrapText="1"/>
    </xf>
    <xf numFmtId="0" fontId="1" fillId="7" borderId="2" xfId="0" applyFont="1" applyFill="1" applyBorder="1" applyAlignment="1">
      <alignment vertical="center" wrapText="1"/>
    </xf>
    <xf numFmtId="0" fontId="2" fillId="7" borderId="4" xfId="0" applyFont="1" applyFill="1" applyBorder="1" applyAlignment="1">
      <alignment vertical="center" wrapText="1"/>
    </xf>
    <xf numFmtId="0" fontId="0" fillId="0" borderId="21" xfId="0" applyBorder="1" applyAlignment="1">
      <alignment horizontal="center" vertical="center"/>
    </xf>
    <xf numFmtId="0" fontId="11" fillId="0" borderId="22" xfId="0" applyFont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11" fillId="0" borderId="34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2" fillId="13" borderId="35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0" fillId="0" borderId="36" xfId="0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15" fillId="3" borderId="38" xfId="0" applyFont="1" applyFill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15" fillId="5" borderId="33" xfId="0" applyFont="1" applyFill="1" applyBorder="1" applyAlignment="1">
      <alignment horizontal="center" vertical="center" wrapText="1"/>
    </xf>
    <xf numFmtId="0" fontId="15" fillId="5" borderId="38" xfId="0" applyFont="1" applyFill="1" applyBorder="1" applyAlignment="1">
      <alignment horizontal="center" vertical="center" wrapText="1"/>
    </xf>
    <xf numFmtId="0" fontId="0" fillId="0" borderId="41" xfId="0" applyBorder="1" applyAlignment="1">
      <alignment horizontal="center" vertical="center"/>
    </xf>
    <xf numFmtId="0" fontId="15" fillId="2" borderId="38" xfId="0" applyFont="1" applyFill="1" applyBorder="1" applyAlignment="1">
      <alignment horizontal="center" vertical="center" wrapText="1"/>
    </xf>
    <xf numFmtId="0" fontId="0" fillId="0" borderId="42" xfId="0" applyBorder="1" applyAlignment="1">
      <alignment horizontal="center" vertical="center"/>
    </xf>
    <xf numFmtId="0" fontId="15" fillId="2" borderId="20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15" fillId="3" borderId="20" xfId="0" applyFont="1" applyFill="1" applyBorder="1" applyAlignment="1">
      <alignment horizontal="center" vertical="center" wrapText="1"/>
    </xf>
    <xf numFmtId="16" fontId="0" fillId="0" borderId="21" xfId="0" applyNumberFormat="1" applyBorder="1" applyAlignment="1">
      <alignment horizontal="center" vertical="center"/>
    </xf>
    <xf numFmtId="14" fontId="15" fillId="3" borderId="20" xfId="0" applyNumberFormat="1" applyFont="1" applyFill="1" applyBorder="1" applyAlignment="1">
      <alignment horizontal="center" vertical="center" wrapText="1"/>
    </xf>
    <xf numFmtId="0" fontId="6" fillId="0" borderId="21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5" fillId="18" borderId="33" xfId="0" applyFont="1" applyFill="1" applyBorder="1" applyAlignment="1">
      <alignment horizontal="center" vertical="center" wrapText="1"/>
    </xf>
    <xf numFmtId="0" fontId="11" fillId="0" borderId="39" xfId="0" applyFont="1" applyBorder="1" applyAlignment="1">
      <alignment horizontal="center"/>
    </xf>
    <xf numFmtId="0" fontId="11" fillId="0" borderId="40" xfId="0" applyFont="1" applyBorder="1" applyAlignment="1">
      <alignment horizontal="center"/>
    </xf>
    <xf numFmtId="0" fontId="8" fillId="12" borderId="1" xfId="0" applyFont="1" applyFill="1" applyBorder="1" applyAlignment="1">
      <alignment horizontal="centerContinuous" vertical="center"/>
    </xf>
    <xf numFmtId="0" fontId="8" fillId="12" borderId="43" xfId="0" applyFont="1" applyFill="1" applyBorder="1" applyAlignment="1">
      <alignment horizontal="centerContinuous" vertical="center"/>
    </xf>
    <xf numFmtId="168" fontId="0" fillId="0" borderId="1" xfId="0" applyNumberFormat="1" applyBorder="1" applyAlignment="1">
      <alignment horizontal="center"/>
    </xf>
    <xf numFmtId="168" fontId="0" fillId="10" borderId="1" xfId="0" applyNumberFormat="1" applyFill="1" applyBorder="1" applyAlignment="1">
      <alignment horizontal="center"/>
    </xf>
    <xf numFmtId="169" fontId="9" fillId="10" borderId="1" xfId="1" applyNumberFormat="1" applyFont="1" applyFill="1" applyBorder="1" applyAlignment="1">
      <alignment horizontal="center"/>
    </xf>
    <xf numFmtId="168" fontId="9" fillId="0" borderId="1" xfId="0" applyNumberFormat="1" applyFont="1" applyBorder="1" applyAlignment="1">
      <alignment horizontal="center"/>
    </xf>
    <xf numFmtId="168" fontId="9" fillId="10" borderId="1" xfId="0" applyNumberFormat="1" applyFont="1" applyFill="1" applyBorder="1" applyAlignment="1">
      <alignment horizontal="center"/>
    </xf>
    <xf numFmtId="9" fontId="0" fillId="0" borderId="1" xfId="1" applyFont="1" applyFill="1" applyBorder="1" applyAlignment="1">
      <alignment horizontal="center"/>
    </xf>
    <xf numFmtId="9" fontId="9" fillId="0" borderId="1" xfId="1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Continuous" vertical="center"/>
    </xf>
    <xf numFmtId="0" fontId="12" fillId="2" borderId="1" xfId="0" applyFont="1" applyFill="1" applyBorder="1" applyAlignment="1">
      <alignment horizontal="centerContinuous" vertical="center"/>
    </xf>
    <xf numFmtId="9" fontId="14" fillId="2" borderId="1" xfId="1" applyFont="1" applyFill="1" applyBorder="1" applyAlignment="1">
      <alignment horizontal="center"/>
    </xf>
    <xf numFmtId="168" fontId="14" fillId="2" borderId="1" xfId="1" applyNumberFormat="1" applyFont="1" applyFill="1" applyBorder="1" applyAlignment="1">
      <alignment horizontal="center"/>
    </xf>
    <xf numFmtId="165" fontId="17" fillId="2" borderId="1" xfId="0" applyNumberFormat="1" applyFont="1" applyFill="1" applyBorder="1" applyAlignment="1">
      <alignment horizontal="center" vertical="center" wrapText="1"/>
    </xf>
    <xf numFmtId="165" fontId="1" fillId="0" borderId="4" xfId="0" applyNumberFormat="1" applyFont="1" applyBorder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/>
    </xf>
    <xf numFmtId="0" fontId="12" fillId="2" borderId="1" xfId="0" applyFont="1" applyFill="1" applyBorder="1" applyAlignment="1">
      <alignment horizontal="left" vertical="center" wrapText="1"/>
    </xf>
    <xf numFmtId="0" fontId="0" fillId="10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2" fontId="9" fillId="11" borderId="0" xfId="0" applyNumberFormat="1" applyFont="1" applyFill="1" applyAlignment="1">
      <alignment horizontal="center" vertical="center"/>
    </xf>
    <xf numFmtId="2" fontId="0" fillId="11" borderId="0" xfId="0" applyNumberFormat="1" applyFill="1" applyAlignment="1">
      <alignment horizontal="center"/>
    </xf>
    <xf numFmtId="14" fontId="18" fillId="0" borderId="2" xfId="0" applyNumberFormat="1" applyFont="1" applyBorder="1" applyAlignment="1">
      <alignment horizontal="center" vertical="center" wrapText="1"/>
    </xf>
    <xf numFmtId="49" fontId="0" fillId="11" borderId="0" xfId="0" applyNumberFormat="1" applyFill="1" applyAlignment="1">
      <alignment horizontal="center"/>
    </xf>
    <xf numFmtId="0" fontId="0" fillId="2" borderId="44" xfId="0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7" xfId="0" applyBorder="1" applyAlignment="1">
      <alignment horizont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Continuous" vertical="center"/>
    </xf>
    <xf numFmtId="9" fontId="14" fillId="0" borderId="1" xfId="1" applyFont="1" applyFill="1" applyBorder="1" applyAlignment="1">
      <alignment horizontal="center"/>
    </xf>
    <xf numFmtId="168" fontId="14" fillId="0" borderId="1" xfId="0" applyNumberFormat="1" applyFont="1" applyBorder="1" applyAlignment="1">
      <alignment horizontal="center"/>
    </xf>
    <xf numFmtId="0" fontId="8" fillId="14" borderId="1" xfId="0" applyFont="1" applyFill="1" applyBorder="1" applyAlignment="1">
      <alignment horizontal="centerContinuous"/>
    </xf>
    <xf numFmtId="0" fontId="8" fillId="12" borderId="1" xfId="0" applyFont="1" applyFill="1" applyBorder="1" applyAlignment="1">
      <alignment horizontal="centerContinuous"/>
    </xf>
    <xf numFmtId="0" fontId="8" fillId="16" borderId="1" xfId="0" applyFont="1" applyFill="1" applyBorder="1" applyAlignment="1">
      <alignment horizontal="centerContinuous"/>
    </xf>
    <xf numFmtId="0" fontId="8" fillId="16" borderId="1" xfId="0" applyFont="1" applyFill="1" applyBorder="1" applyAlignment="1">
      <alignment horizontal="center"/>
    </xf>
    <xf numFmtId="9" fontId="9" fillId="2" borderId="1" xfId="1" applyFont="1" applyFill="1" applyBorder="1" applyAlignment="1">
      <alignment horizontal="center"/>
    </xf>
    <xf numFmtId="9" fontId="9" fillId="2" borderId="1" xfId="0" applyNumberFormat="1" applyFont="1" applyFill="1" applyBorder="1" applyAlignment="1">
      <alignment horizontal="center"/>
    </xf>
    <xf numFmtId="0" fontId="10" fillId="22" borderId="0" xfId="0" applyFont="1" applyFill="1"/>
    <xf numFmtId="0" fontId="8" fillId="22" borderId="0" xfId="0" applyFont="1" applyFill="1"/>
    <xf numFmtId="0" fontId="0" fillId="22" borderId="0" xfId="0" applyFill="1"/>
    <xf numFmtId="49" fontId="17" fillId="8" borderId="1" xfId="0" applyNumberFormat="1" applyFont="1" applyFill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left" vertical="center" wrapText="1"/>
    </xf>
    <xf numFmtId="49" fontId="1" fillId="0" borderId="4" xfId="0" applyNumberFormat="1" applyFont="1" applyBorder="1" applyAlignment="1">
      <alignment horizontal="left" vertical="center" wrapText="1"/>
    </xf>
    <xf numFmtId="49" fontId="1" fillId="0" borderId="0" xfId="0" applyNumberFormat="1" applyFont="1" applyAlignment="1">
      <alignment horizontal="left" vertical="center"/>
    </xf>
    <xf numFmtId="0" fontId="17" fillId="5" borderId="1" xfId="0" applyFont="1" applyFill="1" applyBorder="1" applyAlignment="1">
      <alignment horizontal="center" vertical="center" wrapText="1"/>
    </xf>
    <xf numFmtId="0" fontId="0" fillId="0" borderId="48" xfId="0" applyBorder="1" applyAlignment="1">
      <alignment horizontal="center"/>
    </xf>
    <xf numFmtId="0" fontId="15" fillId="3" borderId="33" xfId="0" applyFont="1" applyFill="1" applyBorder="1" applyAlignment="1">
      <alignment horizontal="center" vertical="center" wrapText="1"/>
    </xf>
    <xf numFmtId="16" fontId="0" fillId="0" borderId="20" xfId="0" applyNumberFormat="1" applyBorder="1" applyAlignment="1">
      <alignment horizontal="center" vertical="center"/>
    </xf>
    <xf numFmtId="0" fontId="9" fillId="11" borderId="0" xfId="0" applyFont="1" applyFill="1" applyAlignment="1">
      <alignment horizontal="center" vertical="center" wrapText="1"/>
    </xf>
    <xf numFmtId="0" fontId="20" fillId="0" borderId="1" xfId="0" applyFont="1" applyBorder="1"/>
    <xf numFmtId="0" fontId="20" fillId="0" borderId="49" xfId="0" applyFont="1" applyBorder="1"/>
    <xf numFmtId="0" fontId="20" fillId="23" borderId="6" xfId="0" applyFont="1" applyFill="1" applyBorder="1"/>
    <xf numFmtId="0" fontId="20" fillId="0" borderId="50" xfId="0" applyFont="1" applyBorder="1"/>
    <xf numFmtId="0" fontId="8" fillId="12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" vertical="center" wrapText="1"/>
    </xf>
    <xf numFmtId="0" fontId="8" fillId="16" borderId="3" xfId="0" applyFont="1" applyFill="1" applyBorder="1" applyAlignment="1">
      <alignment horizontal="center" vertical="center"/>
    </xf>
    <xf numFmtId="0" fontId="8" fillId="16" borderId="6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8" fillId="12" borderId="3" xfId="0" applyFont="1" applyFill="1" applyBorder="1" applyAlignment="1">
      <alignment horizontal="center" vertical="center"/>
    </xf>
    <xf numFmtId="0" fontId="8" fillId="12" borderId="6" xfId="0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AA"/>
      </font>
      <fill>
        <patternFill>
          <bgColor rgb="FFFFCDFF"/>
        </patternFill>
      </fill>
    </dxf>
    <dxf>
      <font>
        <color rgb="FF0070C0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u val="double"/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5B9BD5"/>
      <color rgb="FFF54CBC"/>
      <color rgb="FFFFDDDD"/>
      <color rgb="FFFF00AA"/>
      <color rgb="FFFFCDFF"/>
      <color rgb="FFFFCCFF"/>
      <color rgb="FFFC72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Aceitou" id="{04A3BFD4-C82F-40A3-92BD-0B944DBD2058}">
    <nsvFilter filterId="{9931A248-8A11-4D8E-BACD-A0C0D59E4D18}" ref="A1:AU308" tableId="0">
      <columnFilter colId="16">
        <filter colId="16">
          <x:filters>
            <x:filter val="1. Aceitou o programa"/>
          </x:filters>
        </filter>
      </columnFilter>
      <columnFilter colId="35">
        <filter colId="35">
          <x:filters>
            <x:filter val="Pendente"/>
          </x:filters>
        </filter>
      </columnFilter>
    </nsvFilter>
  </namedSheetView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1A248-8A11-4D8E-BACD-A0C0D59E4D18}">
  <sheetPr filterMode="1">
    <tabColor rgb="FF00B0F0"/>
  </sheetPr>
  <dimension ref="A1:AU6866"/>
  <sheetViews>
    <sheetView showGridLines="0" tabSelected="1" zoomScale="90" zoomScaleNormal="90" workbookViewId="0">
      <pane xSplit="6" ySplit="1" topLeftCell="L78" activePane="bottomRight" state="frozen"/>
      <selection pane="bottomRight" activeCell="R78" sqref="R78:R305"/>
      <selection pane="bottomLeft"/>
      <selection pane="topRight"/>
    </sheetView>
  </sheetViews>
  <sheetFormatPr defaultColWidth="8.85546875" defaultRowHeight="12" customHeight="1"/>
  <cols>
    <col min="1" max="1" width="11" style="30" customWidth="1"/>
    <col min="2" max="2" width="11.5703125" style="27" customWidth="1"/>
    <col min="3" max="3" width="16.85546875" style="28" bestFit="1" customWidth="1"/>
    <col min="4" max="4" width="21.7109375" style="28" bestFit="1" customWidth="1"/>
    <col min="5" max="5" width="11.7109375" style="29" bestFit="1" customWidth="1"/>
    <col min="6" max="6" width="20.28515625" style="220" customWidth="1"/>
    <col min="7" max="7" width="11.7109375" style="29" bestFit="1" customWidth="1"/>
    <col min="8" max="8" width="13.28515625" style="27" customWidth="1"/>
    <col min="9" max="9" width="9.28515625" style="29" bestFit="1" customWidth="1"/>
    <col min="10" max="10" width="10.5703125" style="30" bestFit="1" customWidth="1"/>
    <col min="11" max="11" width="9.85546875" style="30" bestFit="1" customWidth="1"/>
    <col min="12" max="12" width="18.7109375" style="28" bestFit="1" customWidth="1"/>
    <col min="13" max="13" width="10.85546875" style="28" customWidth="1"/>
    <col min="14" max="14" width="14.7109375" style="30" bestFit="1" customWidth="1"/>
    <col min="15" max="15" width="11.85546875" style="28" customWidth="1"/>
    <col min="16" max="16" width="13.140625" style="31" bestFit="1" customWidth="1"/>
    <col min="17" max="17" width="28.7109375" style="30" bestFit="1" customWidth="1"/>
    <col min="18" max="18" width="13.28515625" style="27" customWidth="1"/>
    <col min="19" max="19" width="10.5703125" style="27" customWidth="1"/>
    <col min="20" max="20" width="17.28515625" style="27" bestFit="1" customWidth="1"/>
    <col min="21" max="21" width="13.7109375" style="27" customWidth="1"/>
    <col min="22" max="24" width="20.5703125" style="27" customWidth="1"/>
    <col min="25" max="25" width="25.5703125" style="32" customWidth="1"/>
    <col min="26" max="26" width="27.140625" style="30" customWidth="1"/>
    <col min="27" max="27" width="27.42578125" style="27" customWidth="1"/>
    <col min="28" max="28" width="28.28515625" style="28" customWidth="1"/>
    <col min="29" max="29" width="25.28515625" style="189" customWidth="1"/>
    <col min="30" max="30" width="15.140625" style="30" customWidth="1"/>
    <col min="31" max="31" width="18.28515625" style="30" customWidth="1"/>
    <col min="32" max="33" width="24.85546875" style="30" customWidth="1"/>
    <col min="34" max="34" width="16.140625" style="30" customWidth="1"/>
    <col min="35" max="35" width="23.7109375" style="30" customWidth="1"/>
    <col min="36" max="36" width="8.140625" style="30" customWidth="1"/>
    <col min="37" max="37" width="25.7109375" style="30" customWidth="1"/>
    <col min="38" max="38" width="10.28515625" style="44" customWidth="1"/>
    <col min="39" max="39" width="9.42578125" style="194" customWidth="1"/>
    <col min="40" max="42" width="12.5703125" style="44" customWidth="1"/>
    <col min="43" max="44" width="17.140625" style="44" customWidth="1"/>
    <col min="45" max="45" width="22.28515625" style="44" customWidth="1"/>
    <col min="46" max="46" width="16.85546875" style="44" bestFit="1" customWidth="1"/>
    <col min="47" max="47" width="15.140625" customWidth="1"/>
  </cols>
  <sheetData>
    <row r="1" spans="1:47" s="1" customFormat="1" ht="36">
      <c r="A1" s="100" t="s">
        <v>0</v>
      </c>
      <c r="B1" s="101" t="s">
        <v>1</v>
      </c>
      <c r="C1" s="102" t="s">
        <v>2</v>
      </c>
      <c r="D1" s="102" t="s">
        <v>3</v>
      </c>
      <c r="E1" s="104" t="s">
        <v>4</v>
      </c>
      <c r="F1" s="217" t="s">
        <v>5</v>
      </c>
      <c r="G1" s="104" t="s">
        <v>6</v>
      </c>
      <c r="H1" s="101" t="s">
        <v>7</v>
      </c>
      <c r="I1" s="104" t="s">
        <v>8</v>
      </c>
      <c r="J1" s="103" t="s">
        <v>9</v>
      </c>
      <c r="K1" s="105" t="s">
        <v>10</v>
      </c>
      <c r="L1" s="103" t="s">
        <v>11</v>
      </c>
      <c r="M1" s="103" t="s">
        <v>12</v>
      </c>
      <c r="N1" s="103" t="s">
        <v>13</v>
      </c>
      <c r="O1" s="103" t="s">
        <v>14</v>
      </c>
      <c r="P1" s="106" t="s">
        <v>15</v>
      </c>
      <c r="Q1" s="106" t="s">
        <v>16</v>
      </c>
      <c r="R1" s="106" t="s">
        <v>17</v>
      </c>
      <c r="S1" s="107" t="s">
        <v>18</v>
      </c>
      <c r="T1" s="107" t="s">
        <v>19</v>
      </c>
      <c r="U1" s="107" t="s">
        <v>20</v>
      </c>
      <c r="V1" s="108" t="s">
        <v>21</v>
      </c>
      <c r="W1" s="108" t="s">
        <v>22</v>
      </c>
      <c r="X1" s="108" t="s">
        <v>23</v>
      </c>
      <c r="Y1" s="109" t="s">
        <v>24</v>
      </c>
      <c r="Z1" s="110" t="s">
        <v>25</v>
      </c>
      <c r="AA1" s="106" t="s">
        <v>26</v>
      </c>
      <c r="AB1" s="110" t="s">
        <v>27</v>
      </c>
      <c r="AC1" s="187" t="s">
        <v>28</v>
      </c>
      <c r="AD1" s="110" t="s">
        <v>29</v>
      </c>
      <c r="AE1" s="110" t="s">
        <v>30</v>
      </c>
      <c r="AF1" s="107" t="s">
        <v>31</v>
      </c>
      <c r="AG1" s="107" t="s">
        <v>32</v>
      </c>
      <c r="AH1" s="107" t="s">
        <v>33</v>
      </c>
      <c r="AI1" s="221" t="s">
        <v>34</v>
      </c>
      <c r="AJ1" s="221" t="s">
        <v>35</v>
      </c>
      <c r="AK1" s="221" t="s">
        <v>36</v>
      </c>
      <c r="AL1" s="33" t="s">
        <v>37</v>
      </c>
      <c r="AM1" s="193" t="s">
        <v>38</v>
      </c>
      <c r="AN1" s="33" t="s">
        <v>39</v>
      </c>
      <c r="AO1" s="225" t="s">
        <v>40</v>
      </c>
      <c r="AP1" s="225" t="s">
        <v>41</v>
      </c>
      <c r="AQ1" s="33" t="s">
        <v>42</v>
      </c>
      <c r="AR1" s="33" t="s">
        <v>43</v>
      </c>
      <c r="AS1" s="33" t="s">
        <v>44</v>
      </c>
      <c r="AT1" s="33" t="s">
        <v>45</v>
      </c>
      <c r="AU1" s="33" t="s">
        <v>46</v>
      </c>
    </row>
    <row r="2" spans="1:47" ht="12" hidden="1" customHeight="1">
      <c r="A2" s="86" t="s">
        <v>47</v>
      </c>
      <c r="B2" s="87">
        <v>46147</v>
      </c>
      <c r="C2" s="88" t="s">
        <v>48</v>
      </c>
      <c r="D2" s="88" t="s">
        <v>49</v>
      </c>
      <c r="E2" s="89">
        <v>791129730</v>
      </c>
      <c r="F2" s="218" t="s">
        <v>50</v>
      </c>
      <c r="G2" s="91">
        <v>23204014827</v>
      </c>
      <c r="H2" s="92">
        <v>24989</v>
      </c>
      <c r="I2" s="88">
        <v>57</v>
      </c>
      <c r="J2" s="88" t="s">
        <v>51</v>
      </c>
      <c r="K2" s="88" t="s">
        <v>52</v>
      </c>
      <c r="L2" s="88" t="s">
        <v>53</v>
      </c>
      <c r="M2" s="88"/>
      <c r="N2" s="88" t="s">
        <v>54</v>
      </c>
      <c r="O2" s="93" t="s">
        <v>55</v>
      </c>
      <c r="P2" s="94" t="s">
        <v>56</v>
      </c>
      <c r="Q2" s="142" t="s">
        <v>57</v>
      </c>
      <c r="R2" s="95"/>
      <c r="S2" s="96">
        <v>46170</v>
      </c>
      <c r="T2" s="96" t="s">
        <v>58</v>
      </c>
      <c r="U2" s="96" t="s">
        <v>59</v>
      </c>
      <c r="V2" s="92">
        <v>46153</v>
      </c>
      <c r="W2" s="92">
        <v>46154</v>
      </c>
      <c r="X2" s="92">
        <v>46164</v>
      </c>
      <c r="Y2" s="97"/>
      <c r="Z2" s="88"/>
      <c r="AA2" s="96"/>
      <c r="AB2" s="88"/>
      <c r="AC2" s="119"/>
      <c r="AD2" s="88"/>
      <c r="AE2" s="88"/>
      <c r="AF2" s="98"/>
      <c r="AG2" s="98"/>
      <c r="AH2" s="98"/>
      <c r="AI2" s="99" t="s">
        <v>47</v>
      </c>
      <c r="AJ2" s="99" t="s">
        <v>60</v>
      </c>
      <c r="AK2" s="99" t="s">
        <v>61</v>
      </c>
      <c r="AL2" s="44" t="s">
        <v>62</v>
      </c>
      <c r="AM2" s="196" t="str">
        <f>MONTH(B2)&amp;"/"&amp;YEAR(B2)</f>
        <v>5/2026</v>
      </c>
      <c r="AN2" s="44">
        <f>WEEKNUM(B2)-WEEKNUM(EOMONTH(B2,-1)+1)+1</f>
        <v>2</v>
      </c>
      <c r="AO2" s="44" t="str">
        <f>MONTH(R2)&amp;"/"&amp;YEAR(R2)</f>
        <v>1/1900</v>
      </c>
      <c r="AP2" s="44" t="e">
        <f>WEEKNUM(R2)-WEEKNUM(EOMONTH(R2,-1)+1)+1</f>
        <v>#NUM!</v>
      </c>
      <c r="AQ2" s="44">
        <f>IF(AU2="S",IF(Q2="1. Aceitou o programa",R2-B2,0),0)</f>
        <v>0</v>
      </c>
      <c r="AR2" s="44">
        <f>IF(AU2="S",IF(AND(S2&lt;&gt;"",R2&lt;&gt;""),S2-R2,0),0)</f>
        <v>0</v>
      </c>
      <c r="AS2" s="44">
        <f>IF(AU2="S",IF(Q2="1. Aceitou o programa",IF(OR(X2="Não se Aplica",X2=""),IF(OR(W2="Não se Aplica",W2=""),0,W2-V2),AVERAGE(X2-W2,W2-V2)),0),0)</f>
        <v>0</v>
      </c>
      <c r="AT2" s="44">
        <f>IF(AU2="S",IF(AND(Q2="1. Aceitou o programa",AB2="Realizada"),IFERROR(IF(AA2="",0,AA2-R2),0),0),0)</f>
        <v>0</v>
      </c>
      <c r="AU2" s="44" t="str">
        <f>_xlfn.XLOOKUP(U2,'Lista Suspensa'!$AA$20:$AA$23,'Lista Suspensa'!$AB$20:$AB$23,"N/A")</f>
        <v>S</v>
      </c>
    </row>
    <row r="3" spans="1:47" ht="12" hidden="1" customHeight="1">
      <c r="A3" s="86" t="s">
        <v>47</v>
      </c>
      <c r="B3" s="87">
        <v>46147</v>
      </c>
      <c r="C3" s="88" t="s">
        <v>48</v>
      </c>
      <c r="D3" s="88" t="s">
        <v>49</v>
      </c>
      <c r="E3" s="89">
        <v>92974214</v>
      </c>
      <c r="F3" s="218" t="s">
        <v>63</v>
      </c>
      <c r="G3" s="91">
        <v>31703476832</v>
      </c>
      <c r="H3" s="92">
        <v>23201</v>
      </c>
      <c r="I3" s="88">
        <v>62</v>
      </c>
      <c r="J3" s="88" t="s">
        <v>64</v>
      </c>
      <c r="K3" s="88" t="s">
        <v>52</v>
      </c>
      <c r="L3" s="88" t="s">
        <v>65</v>
      </c>
      <c r="M3" s="88"/>
      <c r="N3" s="88" t="s">
        <v>66</v>
      </c>
      <c r="O3" s="93" t="s">
        <v>67</v>
      </c>
      <c r="P3" s="94" t="s">
        <v>56</v>
      </c>
      <c r="Q3" s="142" t="s">
        <v>68</v>
      </c>
      <c r="R3" s="95">
        <v>46153</v>
      </c>
      <c r="S3" s="96"/>
      <c r="T3" s="96" t="s">
        <v>69</v>
      </c>
      <c r="U3" s="96" t="s">
        <v>70</v>
      </c>
      <c r="V3" s="92">
        <v>46153</v>
      </c>
      <c r="W3" s="92" t="s">
        <v>71</v>
      </c>
      <c r="X3" s="92" t="s">
        <v>71</v>
      </c>
      <c r="Y3" s="97"/>
      <c r="Z3" s="88" t="s">
        <v>72</v>
      </c>
      <c r="AA3" s="96" t="s">
        <v>73</v>
      </c>
      <c r="AB3" s="88" t="s">
        <v>74</v>
      </c>
      <c r="AC3" s="119"/>
      <c r="AD3" s="88" t="s">
        <v>75</v>
      </c>
      <c r="AE3" s="88">
        <v>62</v>
      </c>
      <c r="AF3" s="98" t="s">
        <v>76</v>
      </c>
      <c r="AG3" s="98" t="s">
        <v>76</v>
      </c>
      <c r="AH3" s="98" t="s">
        <v>77</v>
      </c>
      <c r="AI3" s="99" t="s">
        <v>61</v>
      </c>
      <c r="AJ3" s="99" t="s">
        <v>78</v>
      </c>
      <c r="AK3" s="99" t="s">
        <v>61</v>
      </c>
      <c r="AL3" s="44" t="s">
        <v>62</v>
      </c>
      <c r="AM3" s="196" t="str">
        <f>MONTH(B3)&amp;"/"&amp;YEAR(B3)</f>
        <v>5/2026</v>
      </c>
      <c r="AN3" s="44">
        <f>WEEKNUM(B3)-WEEKNUM(EOMONTH(B3,-1)+1)+1</f>
        <v>2</v>
      </c>
      <c r="AO3" s="44" t="str">
        <f>MONTH(R3)&amp;"/"&amp;YEAR(R3)</f>
        <v>5/2026</v>
      </c>
      <c r="AP3" s="44">
        <f>WEEKNUM(R3)-WEEKNUM(EOMONTH(R3,-1)+1)+1</f>
        <v>3</v>
      </c>
      <c r="AQ3" s="44">
        <f>IF(AU3="S",IF(Q3="1. Aceitou o programa",R3-B3,0),0)</f>
        <v>6</v>
      </c>
      <c r="AR3" s="44">
        <f>IF(AU3="S",IF(AND(S3&lt;&gt;"",R3&lt;&gt;""),S3-R3,0),0)</f>
        <v>0</v>
      </c>
      <c r="AS3" s="44">
        <f>IF(AU3="S",IF(Q3="1. Aceitou o programa",IF(OR(X3="Não se Aplica",X3=""),IF(OR(W3="Não se Aplica",W3=""),0,W3-V3),AVERAGE(X3-W3,W3-V3)),0),0)</f>
        <v>0</v>
      </c>
      <c r="AT3" s="44">
        <f>IF(AU3="S",IF(AND(Q3="1. Aceitou o programa",AB3="Realizada"),IFERROR(IF(AA3="",0,AA3-R3),0),0),0)</f>
        <v>8.4444444444452529</v>
      </c>
      <c r="AU3" s="44" t="str">
        <f>_xlfn.XLOOKUP(U3,'Lista Suspensa'!$AA$20:$AA$23,'Lista Suspensa'!$AB$20:$AB$23,"N/A")</f>
        <v>S</v>
      </c>
    </row>
    <row r="4" spans="1:47" ht="12" hidden="1" customHeight="1">
      <c r="A4" s="86" t="s">
        <v>47</v>
      </c>
      <c r="B4" s="87">
        <v>46147</v>
      </c>
      <c r="C4" s="88" t="s">
        <v>48</v>
      </c>
      <c r="D4" s="88" t="s">
        <v>49</v>
      </c>
      <c r="E4" s="89">
        <v>93693947</v>
      </c>
      <c r="F4" s="218" t="s">
        <v>79</v>
      </c>
      <c r="G4" s="91">
        <v>8242509743</v>
      </c>
      <c r="H4" s="92">
        <v>28847</v>
      </c>
      <c r="I4" s="88">
        <v>47</v>
      </c>
      <c r="J4" s="88" t="s">
        <v>51</v>
      </c>
      <c r="K4" s="88" t="s">
        <v>80</v>
      </c>
      <c r="L4" s="88" t="s">
        <v>81</v>
      </c>
      <c r="M4" s="88"/>
      <c r="N4" s="88" t="s">
        <v>82</v>
      </c>
      <c r="O4" s="93" t="s">
        <v>83</v>
      </c>
      <c r="P4" s="94" t="s">
        <v>56</v>
      </c>
      <c r="Q4" s="142" t="s">
        <v>68</v>
      </c>
      <c r="R4" s="95">
        <v>46153</v>
      </c>
      <c r="S4" s="96"/>
      <c r="T4" s="96" t="s">
        <v>69</v>
      </c>
      <c r="U4" s="96" t="s">
        <v>70</v>
      </c>
      <c r="V4" s="92">
        <v>46153</v>
      </c>
      <c r="W4" s="92" t="s">
        <v>71</v>
      </c>
      <c r="X4" s="92" t="s">
        <v>71</v>
      </c>
      <c r="Y4" s="97"/>
      <c r="Z4" s="88" t="s">
        <v>72</v>
      </c>
      <c r="AA4" s="96" t="s">
        <v>84</v>
      </c>
      <c r="AB4" s="88" t="s">
        <v>74</v>
      </c>
      <c r="AC4" s="119"/>
      <c r="AD4" s="88" t="s">
        <v>75</v>
      </c>
      <c r="AE4" s="88">
        <v>67</v>
      </c>
      <c r="AF4" s="98" t="s">
        <v>85</v>
      </c>
      <c r="AG4" s="98" t="s">
        <v>85</v>
      </c>
      <c r="AH4" s="98" t="s">
        <v>77</v>
      </c>
      <c r="AI4" s="99" t="s">
        <v>61</v>
      </c>
      <c r="AJ4" s="99" t="s">
        <v>78</v>
      </c>
      <c r="AK4" s="99" t="s">
        <v>61</v>
      </c>
      <c r="AL4" s="44" t="s">
        <v>62</v>
      </c>
      <c r="AM4" s="196" t="str">
        <f>MONTH(B4)&amp;"/"&amp;YEAR(B4)</f>
        <v>5/2026</v>
      </c>
      <c r="AN4" s="44">
        <f>WEEKNUM(B4)-WEEKNUM(EOMONTH(B4,-1)+1)+1</f>
        <v>2</v>
      </c>
      <c r="AO4" s="44" t="str">
        <f>MONTH(R4)&amp;"/"&amp;YEAR(R4)</f>
        <v>5/2026</v>
      </c>
      <c r="AP4" s="44">
        <f>WEEKNUM(R4)-WEEKNUM(EOMONTH(R4,-1)+1)+1</f>
        <v>3</v>
      </c>
      <c r="AQ4" s="44">
        <f>IF(AU4="S",IF(Q4="1. Aceitou o programa",R4-B4,0),0)</f>
        <v>6</v>
      </c>
      <c r="AR4" s="44">
        <f>IF(AU4="S",IF(AND(S4&lt;&gt;"",R4&lt;&gt;""),S4-R4,0),0)</f>
        <v>0</v>
      </c>
      <c r="AS4" s="44">
        <f>IF(AU4="S",IF(Q4="1. Aceitou o programa",IF(OR(X4="Não se Aplica",X4=""),IF(OR(W4="Não se Aplica",W4=""),0,W4-V4),AVERAGE(X4-W4,W4-V4)),0),0)</f>
        <v>0</v>
      </c>
      <c r="AT4" s="44">
        <f>IF(AU4="S",IF(AND(Q4="1. Aceitou o programa",AB4="Realizada"),IFERROR(IF(AA4="",0,AA4-R4),0),0),0)</f>
        <v>10.416666666664241</v>
      </c>
      <c r="AU4" s="44" t="str">
        <f>_xlfn.XLOOKUP(U4,'Lista Suspensa'!$AA$20:$AA$23,'Lista Suspensa'!$AB$20:$AB$23,"N/A")</f>
        <v>S</v>
      </c>
    </row>
    <row r="5" spans="1:47" ht="12" hidden="1" customHeight="1">
      <c r="A5" s="86" t="s">
        <v>47</v>
      </c>
      <c r="B5" s="87">
        <v>46147</v>
      </c>
      <c r="C5" s="88" t="s">
        <v>48</v>
      </c>
      <c r="D5" s="88" t="s">
        <v>49</v>
      </c>
      <c r="E5" s="89">
        <v>95214582</v>
      </c>
      <c r="F5" s="218" t="s">
        <v>86</v>
      </c>
      <c r="G5" s="91">
        <v>10234582766</v>
      </c>
      <c r="H5" s="92">
        <v>30966</v>
      </c>
      <c r="I5" s="88">
        <v>41</v>
      </c>
      <c r="J5" s="88" t="s">
        <v>64</v>
      </c>
      <c r="K5" s="88" t="s">
        <v>80</v>
      </c>
      <c r="L5" s="88" t="s">
        <v>87</v>
      </c>
      <c r="M5" s="88"/>
      <c r="N5" s="88" t="s">
        <v>88</v>
      </c>
      <c r="O5" s="93" t="s">
        <v>89</v>
      </c>
      <c r="P5" s="94" t="s">
        <v>56</v>
      </c>
      <c r="Q5" s="142" t="s">
        <v>68</v>
      </c>
      <c r="R5" s="95">
        <v>46154</v>
      </c>
      <c r="S5" s="96"/>
      <c r="T5" s="96" t="s">
        <v>69</v>
      </c>
      <c r="U5" s="96" t="s">
        <v>70</v>
      </c>
      <c r="V5" s="92">
        <v>46153</v>
      </c>
      <c r="W5" s="92">
        <v>46154</v>
      </c>
      <c r="X5" s="92" t="s">
        <v>71</v>
      </c>
      <c r="Y5" s="97"/>
      <c r="Z5" s="88" t="s">
        <v>72</v>
      </c>
      <c r="AA5" s="96">
        <v>46163.680555555555</v>
      </c>
      <c r="AB5" s="88"/>
      <c r="AC5" s="119"/>
      <c r="AD5" s="88"/>
      <c r="AE5" s="88"/>
      <c r="AF5" s="98"/>
      <c r="AG5" s="98"/>
      <c r="AH5" s="98"/>
      <c r="AI5" s="99" t="s">
        <v>61</v>
      </c>
      <c r="AJ5" s="99" t="s">
        <v>78</v>
      </c>
      <c r="AK5" s="99" t="s">
        <v>61</v>
      </c>
      <c r="AL5" s="44" t="s">
        <v>62</v>
      </c>
      <c r="AM5" s="196" t="str">
        <f>MONTH(B5)&amp;"/"&amp;YEAR(B5)</f>
        <v>5/2026</v>
      </c>
      <c r="AN5" s="44">
        <f>WEEKNUM(B5)-WEEKNUM(EOMONTH(B5,-1)+1)+1</f>
        <v>2</v>
      </c>
      <c r="AO5" s="44" t="str">
        <f>MONTH(R5)&amp;"/"&amp;YEAR(R5)</f>
        <v>5/2026</v>
      </c>
      <c r="AP5" s="44">
        <f>WEEKNUM(R5)-WEEKNUM(EOMONTH(R5,-1)+1)+1</f>
        <v>3</v>
      </c>
      <c r="AQ5" s="44">
        <f>IF(AU5="S",IF(Q5="1. Aceitou o programa",R5-B5,0),0)</f>
        <v>7</v>
      </c>
      <c r="AR5" s="44">
        <f>IF(AU5="S",IF(AND(S5&lt;&gt;"",R5&lt;&gt;""),S5-R5,0),0)</f>
        <v>0</v>
      </c>
      <c r="AS5" s="44">
        <f>IF(AU5="S",IF(Q5="1. Aceitou o programa",IF(OR(X5="Não se Aplica",X5=""),IF(OR(W5="Não se Aplica",W5=""),0,W5-V5),AVERAGE(X5-W5,W5-V5)),0),0)</f>
        <v>1</v>
      </c>
      <c r="AT5" s="44">
        <f>IF(AU5="S",IF(AND(Q5="1. Aceitou o programa",AB5="Realizada"),IFERROR(IF(AA5="",0,AA5-R5),0),0),0)</f>
        <v>0</v>
      </c>
      <c r="AU5" s="44" t="str">
        <f>_xlfn.XLOOKUP(U5,'Lista Suspensa'!$AA$20:$AA$23,'Lista Suspensa'!$AB$20:$AB$23,"N/A")</f>
        <v>S</v>
      </c>
    </row>
    <row r="6" spans="1:47" ht="12" hidden="1" customHeight="1">
      <c r="A6" s="86" t="s">
        <v>47</v>
      </c>
      <c r="B6" s="87">
        <v>46147</v>
      </c>
      <c r="C6" s="88" t="s">
        <v>48</v>
      </c>
      <c r="D6" s="88" t="s">
        <v>49</v>
      </c>
      <c r="E6" s="89">
        <v>84634498</v>
      </c>
      <c r="F6" s="218" t="s">
        <v>90</v>
      </c>
      <c r="G6" s="91">
        <v>95161996820</v>
      </c>
      <c r="H6" s="92">
        <v>21849</v>
      </c>
      <c r="I6" s="88">
        <v>66</v>
      </c>
      <c r="J6" s="88" t="s">
        <v>64</v>
      </c>
      <c r="K6" s="88" t="s">
        <v>52</v>
      </c>
      <c r="L6" s="88" t="s">
        <v>53</v>
      </c>
      <c r="M6" s="88"/>
      <c r="N6" s="88" t="s">
        <v>91</v>
      </c>
      <c r="O6" s="93" t="s">
        <v>92</v>
      </c>
      <c r="P6" s="94" t="s">
        <v>56</v>
      </c>
      <c r="Q6" s="142" t="s">
        <v>57</v>
      </c>
      <c r="R6" s="95"/>
      <c r="S6" s="96">
        <v>46170</v>
      </c>
      <c r="T6" s="96" t="s">
        <v>58</v>
      </c>
      <c r="U6" s="96" t="s">
        <v>59</v>
      </c>
      <c r="V6" s="92">
        <v>46153</v>
      </c>
      <c r="W6" s="92">
        <v>46154</v>
      </c>
      <c r="X6" s="92">
        <v>46164</v>
      </c>
      <c r="Y6" s="97"/>
      <c r="Z6" s="88" t="s">
        <v>72</v>
      </c>
      <c r="AA6" s="96">
        <v>46157.416666666664</v>
      </c>
      <c r="AB6" s="88"/>
      <c r="AC6" s="119"/>
      <c r="AD6" s="88"/>
      <c r="AE6" s="88"/>
      <c r="AF6" s="98"/>
      <c r="AG6" s="98"/>
      <c r="AH6" s="98"/>
      <c r="AI6" s="99" t="s">
        <v>47</v>
      </c>
      <c r="AJ6" s="99" t="s">
        <v>60</v>
      </c>
      <c r="AK6" s="99"/>
      <c r="AL6" s="44" t="s">
        <v>62</v>
      </c>
      <c r="AM6" s="196" t="str">
        <f>MONTH(B6)&amp;"/"&amp;YEAR(B6)</f>
        <v>5/2026</v>
      </c>
      <c r="AN6" s="44">
        <f>WEEKNUM(B6)-WEEKNUM(EOMONTH(B6,-1)+1)+1</f>
        <v>2</v>
      </c>
      <c r="AO6" s="44" t="str">
        <f>MONTH(R6)&amp;"/"&amp;YEAR(R6)</f>
        <v>1/1900</v>
      </c>
      <c r="AP6" s="44" t="e">
        <f>WEEKNUM(R6)-WEEKNUM(EOMONTH(R6,-1)+1)+1</f>
        <v>#NUM!</v>
      </c>
      <c r="AQ6" s="44">
        <f>IF(AU6="S",IF(Q6="1. Aceitou o programa",R6-B6,0),0)</f>
        <v>0</v>
      </c>
      <c r="AR6" s="44">
        <f>IF(AU6="S",IF(AND(S6&lt;&gt;"",R6&lt;&gt;""),S6-R6,0),0)</f>
        <v>0</v>
      </c>
      <c r="AS6" s="44">
        <f>IF(AU6="S",IF(Q6="1. Aceitou o programa",IF(OR(X6="Não se Aplica",X6=""),IF(OR(W6="Não se Aplica",W6=""),0,W6-V6),AVERAGE(X6-W6,W6-V6)),0),0)</f>
        <v>0</v>
      </c>
      <c r="AT6" s="44">
        <f>IF(AU6="S",IF(AND(Q6="1. Aceitou o programa",AB6="Realizada"),IFERROR(IF(AA6="",0,AA6-R6),0),0),0)</f>
        <v>0</v>
      </c>
      <c r="AU6" s="44" t="str">
        <f>_xlfn.XLOOKUP(U6,'Lista Suspensa'!$AA$20:$AA$23,'Lista Suspensa'!$AB$20:$AB$23,"N/A")</f>
        <v>S</v>
      </c>
    </row>
    <row r="7" spans="1:47" ht="12" hidden="1" customHeight="1">
      <c r="A7" s="86" t="s">
        <v>47</v>
      </c>
      <c r="B7" s="87">
        <v>46147</v>
      </c>
      <c r="C7" s="88" t="s">
        <v>48</v>
      </c>
      <c r="D7" s="88" t="s">
        <v>49</v>
      </c>
      <c r="E7" s="89">
        <v>93791156</v>
      </c>
      <c r="F7" s="218" t="s">
        <v>93</v>
      </c>
      <c r="G7" s="91">
        <v>3369328712</v>
      </c>
      <c r="H7" s="92">
        <v>26628</v>
      </c>
      <c r="I7" s="88">
        <v>53</v>
      </c>
      <c r="J7" s="88" t="s">
        <v>51</v>
      </c>
      <c r="K7" s="88" t="s">
        <v>80</v>
      </c>
      <c r="L7" s="88" t="s">
        <v>87</v>
      </c>
      <c r="M7" s="88"/>
      <c r="N7" s="88" t="s">
        <v>94</v>
      </c>
      <c r="O7" s="93" t="s">
        <v>95</v>
      </c>
      <c r="P7" s="94" t="s">
        <v>56</v>
      </c>
      <c r="Q7" s="142" t="s">
        <v>68</v>
      </c>
      <c r="R7" s="95">
        <v>46153</v>
      </c>
      <c r="S7" s="96"/>
      <c r="T7" s="96" t="s">
        <v>69</v>
      </c>
      <c r="U7" s="96" t="s">
        <v>70</v>
      </c>
      <c r="V7" s="92">
        <v>46153</v>
      </c>
      <c r="W7" s="92" t="s">
        <v>71</v>
      </c>
      <c r="X7" s="92" t="s">
        <v>71</v>
      </c>
      <c r="Y7" s="97"/>
      <c r="Z7" s="88" t="s">
        <v>72</v>
      </c>
      <c r="AA7" s="96" t="s">
        <v>96</v>
      </c>
      <c r="AB7" s="88" t="s">
        <v>74</v>
      </c>
      <c r="AC7" s="119"/>
      <c r="AD7" s="88" t="s">
        <v>97</v>
      </c>
      <c r="AE7" s="88">
        <v>50</v>
      </c>
      <c r="AF7" s="98" t="s">
        <v>85</v>
      </c>
      <c r="AG7" s="98" t="s">
        <v>85</v>
      </c>
      <c r="AH7" s="98" t="s">
        <v>77</v>
      </c>
      <c r="AI7" s="99" t="s">
        <v>61</v>
      </c>
      <c r="AJ7" s="99" t="s">
        <v>78</v>
      </c>
      <c r="AK7" s="99" t="s">
        <v>61</v>
      </c>
      <c r="AL7" s="44" t="s">
        <v>62</v>
      </c>
      <c r="AM7" s="196" t="str">
        <f>MONTH(B7)&amp;"/"&amp;YEAR(B7)</f>
        <v>5/2026</v>
      </c>
      <c r="AN7" s="44">
        <f>WEEKNUM(B7)-WEEKNUM(EOMONTH(B7,-1)+1)+1</f>
        <v>2</v>
      </c>
      <c r="AO7" s="44" t="str">
        <f>MONTH(R7)&amp;"/"&amp;YEAR(R7)</f>
        <v>5/2026</v>
      </c>
      <c r="AP7" s="44">
        <f>WEEKNUM(R7)-WEEKNUM(EOMONTH(R7,-1)+1)+1</f>
        <v>3</v>
      </c>
      <c r="AQ7" s="44">
        <f>IF(AU7="S",IF(Q7="1. Aceitou o programa",R7-B7,0),0)</f>
        <v>6</v>
      </c>
      <c r="AR7" s="44">
        <f>IF(AU7="S",IF(AND(S7&lt;&gt;"",R7&lt;&gt;""),S7-R7,0),0)</f>
        <v>0</v>
      </c>
      <c r="AS7" s="44">
        <f>IF(AU7="S",IF(Q7="1. Aceitou o programa",IF(OR(X7="Não se Aplica",X7=""),IF(OR(W7="Não se Aplica",W7=""),0,W7-V7),AVERAGE(X7-W7,W7-V7)),0),0)</f>
        <v>0</v>
      </c>
      <c r="AT7" s="44">
        <f>IF(AU7="S",IF(AND(Q7="1. Aceitou o programa",AB7="Realizada"),IFERROR(IF(AA7="",0,AA7-R7),0),0),0)</f>
        <v>7.5277777777810115</v>
      </c>
      <c r="AU7" s="44" t="str">
        <f>_xlfn.XLOOKUP(U7,'Lista Suspensa'!$AA$20:$AA$23,'Lista Suspensa'!$AB$20:$AB$23,"N/A")</f>
        <v>S</v>
      </c>
    </row>
    <row r="8" spans="1:47" ht="12" hidden="1" customHeight="1">
      <c r="A8" s="86" t="s">
        <v>47</v>
      </c>
      <c r="B8" s="87">
        <v>46147</v>
      </c>
      <c r="C8" s="88" t="s">
        <v>48</v>
      </c>
      <c r="D8" s="88" t="s">
        <v>49</v>
      </c>
      <c r="E8" s="89">
        <v>451652649</v>
      </c>
      <c r="F8" s="218" t="s">
        <v>98</v>
      </c>
      <c r="G8" s="91">
        <v>6461085815</v>
      </c>
      <c r="H8" s="92">
        <v>15553</v>
      </c>
      <c r="I8" s="88">
        <v>83</v>
      </c>
      <c r="J8" s="88" t="s">
        <v>64</v>
      </c>
      <c r="K8" s="88" t="s">
        <v>52</v>
      </c>
      <c r="L8" s="88" t="s">
        <v>53</v>
      </c>
      <c r="M8" s="88"/>
      <c r="N8" s="88" t="s">
        <v>99</v>
      </c>
      <c r="O8" s="93" t="s">
        <v>100</v>
      </c>
      <c r="P8" s="94" t="s">
        <v>56</v>
      </c>
      <c r="Q8" s="142" t="s">
        <v>68</v>
      </c>
      <c r="R8" s="95">
        <v>46153</v>
      </c>
      <c r="S8" s="96"/>
      <c r="T8" s="96" t="s">
        <v>69</v>
      </c>
      <c r="U8" s="96" t="s">
        <v>70</v>
      </c>
      <c r="V8" s="92">
        <v>46153</v>
      </c>
      <c r="W8" s="92" t="s">
        <v>71</v>
      </c>
      <c r="X8" s="92" t="s">
        <v>71</v>
      </c>
      <c r="Y8" s="97"/>
      <c r="Z8" s="88" t="s">
        <v>72</v>
      </c>
      <c r="AA8" s="96" t="s">
        <v>101</v>
      </c>
      <c r="AB8" s="88" t="s">
        <v>74</v>
      </c>
      <c r="AC8" s="119"/>
      <c r="AD8" s="88" t="s">
        <v>75</v>
      </c>
      <c r="AE8" s="88">
        <v>63</v>
      </c>
      <c r="AF8" s="98" t="s">
        <v>102</v>
      </c>
      <c r="AG8" s="98" t="s">
        <v>102</v>
      </c>
      <c r="AH8" s="98" t="s">
        <v>77</v>
      </c>
      <c r="AI8" s="99" t="s">
        <v>61</v>
      </c>
      <c r="AJ8" s="99" t="s">
        <v>78</v>
      </c>
      <c r="AK8" s="99" t="s">
        <v>61</v>
      </c>
      <c r="AL8" s="44" t="s">
        <v>62</v>
      </c>
      <c r="AM8" s="196" t="str">
        <f>MONTH(B8)&amp;"/"&amp;YEAR(B8)</f>
        <v>5/2026</v>
      </c>
      <c r="AN8" s="44">
        <f>WEEKNUM(B8)-WEEKNUM(EOMONTH(B8,-1)+1)+1</f>
        <v>2</v>
      </c>
      <c r="AO8" s="44" t="str">
        <f>MONTH(R8)&amp;"/"&amp;YEAR(R8)</f>
        <v>5/2026</v>
      </c>
      <c r="AP8" s="44">
        <f>WEEKNUM(R8)-WEEKNUM(EOMONTH(R8,-1)+1)+1</f>
        <v>3</v>
      </c>
      <c r="AQ8" s="44">
        <f>IF(AU8="S",IF(Q8="1. Aceitou o programa",R8-B8,0),0)</f>
        <v>6</v>
      </c>
      <c r="AR8" s="44">
        <f>IF(AU8="S",IF(AND(S8&lt;&gt;"",R8&lt;&gt;""),S8-R8,0),0)</f>
        <v>0</v>
      </c>
      <c r="AS8" s="44">
        <f>IF(AU8="S",IF(Q8="1. Aceitou o programa",IF(OR(X8="Não se Aplica",X8=""),IF(OR(W8="Não se Aplica",W8=""),0,W8-V8),AVERAGE(X8-W8,W8-V8)),0),0)</f>
        <v>0</v>
      </c>
      <c r="AT8" s="44">
        <f>IF(AU8="S",IF(AND(Q8="1. Aceitou o programa",AB8="Realizada"),IFERROR(IF(AA8="",0,AA8-R8),0),0),0)</f>
        <v>16.472222222218988</v>
      </c>
      <c r="AU8" s="44" t="str">
        <f>_xlfn.XLOOKUP(U8,'Lista Suspensa'!$AA$20:$AA$23,'Lista Suspensa'!$AB$20:$AB$23,"N/A")</f>
        <v>S</v>
      </c>
    </row>
    <row r="9" spans="1:47" ht="12" hidden="1" customHeight="1">
      <c r="A9" s="86" t="s">
        <v>47</v>
      </c>
      <c r="B9" s="87">
        <v>46147</v>
      </c>
      <c r="C9" s="88" t="s">
        <v>48</v>
      </c>
      <c r="D9" s="88" t="s">
        <v>49</v>
      </c>
      <c r="E9" s="89">
        <v>803087950</v>
      </c>
      <c r="F9" s="218" t="s">
        <v>103</v>
      </c>
      <c r="G9" s="91">
        <v>3982320836</v>
      </c>
      <c r="H9" s="92">
        <v>25051</v>
      </c>
      <c r="I9" s="88">
        <v>57</v>
      </c>
      <c r="J9" s="88" t="s">
        <v>64</v>
      </c>
      <c r="K9" s="88" t="s">
        <v>52</v>
      </c>
      <c r="L9" s="88" t="s">
        <v>53</v>
      </c>
      <c r="M9" s="88"/>
      <c r="N9" s="88" t="s">
        <v>54</v>
      </c>
      <c r="O9" s="93" t="s">
        <v>104</v>
      </c>
      <c r="P9" s="94" t="s">
        <v>56</v>
      </c>
      <c r="Q9" s="142" t="s">
        <v>68</v>
      </c>
      <c r="R9" s="95">
        <v>46171</v>
      </c>
      <c r="S9" s="96"/>
      <c r="T9" s="96" t="s">
        <v>69</v>
      </c>
      <c r="U9" s="96" t="s">
        <v>70</v>
      </c>
      <c r="V9" s="92">
        <v>46153</v>
      </c>
      <c r="W9" s="92">
        <v>46154</v>
      </c>
      <c r="X9" s="92">
        <v>46164</v>
      </c>
      <c r="Y9" s="97"/>
      <c r="Z9" s="88" t="s">
        <v>72</v>
      </c>
      <c r="AA9" s="96">
        <v>46178</v>
      </c>
      <c r="AB9" s="88" t="s">
        <v>105</v>
      </c>
      <c r="AC9" s="119"/>
      <c r="AD9" s="88"/>
      <c r="AE9" s="88"/>
      <c r="AF9" s="98"/>
      <c r="AG9" s="98"/>
      <c r="AH9" s="98"/>
      <c r="AI9" s="99" t="s">
        <v>47</v>
      </c>
      <c r="AJ9" s="99" t="s">
        <v>78</v>
      </c>
      <c r="AK9" s="99" t="s">
        <v>78</v>
      </c>
      <c r="AL9" s="44" t="s">
        <v>62</v>
      </c>
      <c r="AM9" s="196" t="str">
        <f>MONTH(B9)&amp;"/"&amp;YEAR(B9)</f>
        <v>5/2026</v>
      </c>
      <c r="AN9" s="44">
        <f>WEEKNUM(B9)-WEEKNUM(EOMONTH(B9,-1)+1)+1</f>
        <v>2</v>
      </c>
      <c r="AO9" s="44" t="str">
        <f>MONTH(R9)&amp;"/"&amp;YEAR(R9)</f>
        <v>5/2026</v>
      </c>
      <c r="AP9" s="44">
        <f>WEEKNUM(R9)-WEEKNUM(EOMONTH(R9,-1)+1)+1</f>
        <v>5</v>
      </c>
      <c r="AQ9" s="44">
        <f>IF(AU9="S",IF(Q9="1. Aceitou o programa",R9-B9,0),0)</f>
        <v>24</v>
      </c>
      <c r="AR9" s="44">
        <f>IF(AU9="S",IF(AND(S9&lt;&gt;"",R9&lt;&gt;""),S9-R9,0),0)</f>
        <v>0</v>
      </c>
      <c r="AS9" s="44">
        <f>IF(AU9="S",IF(Q9="1. Aceitou o programa",IF(OR(X9="Não se Aplica",X9=""),IF(OR(W9="Não se Aplica",W9=""),0,W9-V9),AVERAGE(X9-W9,W9-V9)),0),0)</f>
        <v>5.5</v>
      </c>
      <c r="AT9" s="44">
        <f>IF(AU9="S",IF(AND(Q9="1. Aceitou o programa",AB9="Realizada"),IFERROR(IF(AA9="",0,AA9-R9),0),0),0)</f>
        <v>0</v>
      </c>
      <c r="AU9" s="44" t="str">
        <f>_xlfn.XLOOKUP(U9,'Lista Suspensa'!$AA$20:$AA$23,'Lista Suspensa'!$AB$20:$AB$23,"N/A")</f>
        <v>S</v>
      </c>
    </row>
    <row r="10" spans="1:47" ht="12" hidden="1" customHeight="1">
      <c r="A10" s="86" t="s">
        <v>47</v>
      </c>
      <c r="B10" s="87">
        <v>46147</v>
      </c>
      <c r="C10" s="88" t="s">
        <v>48</v>
      </c>
      <c r="D10" s="88" t="s">
        <v>49</v>
      </c>
      <c r="E10" s="89">
        <v>881951552</v>
      </c>
      <c r="F10" s="218" t="s">
        <v>106</v>
      </c>
      <c r="G10" s="91">
        <v>14905123739</v>
      </c>
      <c r="H10" s="92">
        <v>34403</v>
      </c>
      <c r="I10" s="88">
        <v>32</v>
      </c>
      <c r="J10" s="88" t="s">
        <v>51</v>
      </c>
      <c r="K10" s="88" t="s">
        <v>80</v>
      </c>
      <c r="L10" s="88" t="s">
        <v>87</v>
      </c>
      <c r="M10" s="88"/>
      <c r="N10" s="88" t="s">
        <v>107</v>
      </c>
      <c r="O10" s="93" t="s">
        <v>108</v>
      </c>
      <c r="P10" s="94" t="s">
        <v>56</v>
      </c>
      <c r="Q10" s="142" t="s">
        <v>68</v>
      </c>
      <c r="R10" s="95">
        <v>46163</v>
      </c>
      <c r="S10" s="96"/>
      <c r="T10" s="96" t="s">
        <v>69</v>
      </c>
      <c r="U10" s="96" t="s">
        <v>70</v>
      </c>
      <c r="V10" s="92">
        <v>46153</v>
      </c>
      <c r="W10" s="92">
        <v>46154</v>
      </c>
      <c r="X10" s="92">
        <v>46160</v>
      </c>
      <c r="Y10" s="97"/>
      <c r="Z10" s="88" t="s">
        <v>72</v>
      </c>
      <c r="AA10" s="96">
        <v>46171.666666666664</v>
      </c>
      <c r="AB10" s="88"/>
      <c r="AC10" s="119"/>
      <c r="AD10" s="88"/>
      <c r="AE10" s="88"/>
      <c r="AF10" s="98"/>
      <c r="AG10" s="98"/>
      <c r="AH10" s="98"/>
      <c r="AI10" s="99"/>
      <c r="AJ10" s="99" t="s">
        <v>78</v>
      </c>
      <c r="AK10" s="99" t="s">
        <v>61</v>
      </c>
      <c r="AL10" s="44" t="s">
        <v>62</v>
      </c>
      <c r="AM10" s="196" t="str">
        <f>MONTH(B10)&amp;"/"&amp;YEAR(B10)</f>
        <v>5/2026</v>
      </c>
      <c r="AN10" s="44">
        <f>WEEKNUM(B10)-WEEKNUM(EOMONTH(B10,-1)+1)+1</f>
        <v>2</v>
      </c>
      <c r="AO10" s="44" t="str">
        <f>MONTH(R10)&amp;"/"&amp;YEAR(R10)</f>
        <v>5/2026</v>
      </c>
      <c r="AP10" s="44">
        <f>WEEKNUM(R10)-WEEKNUM(EOMONTH(R10,-1)+1)+1</f>
        <v>4</v>
      </c>
      <c r="AQ10" s="44">
        <f>IF(AU10="S",IF(Q10="1. Aceitou o programa",R10-B10,0),0)</f>
        <v>16</v>
      </c>
      <c r="AR10" s="44">
        <f>IF(AU10="S",IF(AND(S10&lt;&gt;"",R10&lt;&gt;""),S10-R10,0),0)</f>
        <v>0</v>
      </c>
      <c r="AS10" s="44">
        <f>IF(AU10="S",IF(Q10="1. Aceitou o programa",IF(OR(X10="Não se Aplica",X10=""),IF(OR(W10="Não se Aplica",W10=""),0,W10-V10),AVERAGE(X10-W10,W10-V10)),0),0)</f>
        <v>3.5</v>
      </c>
      <c r="AT10" s="44">
        <f>IF(AU10="S",IF(AND(Q10="1. Aceitou o programa",AB10="Realizada"),IFERROR(IF(AA10="",0,AA10-R10),0),0),0)</f>
        <v>0</v>
      </c>
      <c r="AU10" s="44" t="str">
        <f>_xlfn.XLOOKUP(U10,'Lista Suspensa'!$AA$20:$AA$23,'Lista Suspensa'!$AB$20:$AB$23,"N/A")</f>
        <v>S</v>
      </c>
    </row>
    <row r="11" spans="1:47" ht="12" hidden="1" customHeight="1">
      <c r="A11" s="86" t="s">
        <v>47</v>
      </c>
      <c r="B11" s="87">
        <v>46147</v>
      </c>
      <c r="C11" s="88" t="s">
        <v>48</v>
      </c>
      <c r="D11" s="88" t="s">
        <v>49</v>
      </c>
      <c r="E11" s="89">
        <v>72509964</v>
      </c>
      <c r="F11" s="218" t="s">
        <v>109</v>
      </c>
      <c r="G11" s="91">
        <v>53423135891</v>
      </c>
      <c r="H11" s="92">
        <v>18743</v>
      </c>
      <c r="I11" s="88">
        <v>75</v>
      </c>
      <c r="J11" s="88" t="s">
        <v>51</v>
      </c>
      <c r="K11" s="88" t="s">
        <v>52</v>
      </c>
      <c r="L11" s="88" t="s">
        <v>53</v>
      </c>
      <c r="M11" s="88"/>
      <c r="N11" s="88" t="s">
        <v>110</v>
      </c>
      <c r="O11" s="93" t="s">
        <v>111</v>
      </c>
      <c r="P11" s="94" t="s">
        <v>56</v>
      </c>
      <c r="Q11" s="142" t="s">
        <v>68</v>
      </c>
      <c r="R11" s="95">
        <v>46153</v>
      </c>
      <c r="S11" s="96"/>
      <c r="T11" s="96" t="s">
        <v>69</v>
      </c>
      <c r="U11" s="96" t="s">
        <v>70</v>
      </c>
      <c r="V11" s="92">
        <v>46153</v>
      </c>
      <c r="W11" s="92" t="s">
        <v>71</v>
      </c>
      <c r="X11" s="92" t="s">
        <v>71</v>
      </c>
      <c r="Y11" s="97"/>
      <c r="Z11" s="88" t="s">
        <v>72</v>
      </c>
      <c r="AA11" s="96" t="s">
        <v>112</v>
      </c>
      <c r="AB11" s="88" t="s">
        <v>74</v>
      </c>
      <c r="AC11" s="119"/>
      <c r="AD11" s="88" t="s">
        <v>113</v>
      </c>
      <c r="AE11" s="88">
        <v>51</v>
      </c>
      <c r="AF11" s="98" t="s">
        <v>114</v>
      </c>
      <c r="AG11" s="98" t="s">
        <v>114</v>
      </c>
      <c r="AH11" s="98" t="s">
        <v>77</v>
      </c>
      <c r="AI11" s="99" t="s">
        <v>61</v>
      </c>
      <c r="AJ11" s="99" t="s">
        <v>78</v>
      </c>
      <c r="AK11" s="99" t="s">
        <v>61</v>
      </c>
      <c r="AL11" s="44" t="s">
        <v>62</v>
      </c>
      <c r="AM11" s="196" t="str">
        <f>MONTH(B11)&amp;"/"&amp;YEAR(B11)</f>
        <v>5/2026</v>
      </c>
      <c r="AN11" s="44">
        <f>WEEKNUM(B11)-WEEKNUM(EOMONTH(B11,-1)+1)+1</f>
        <v>2</v>
      </c>
      <c r="AO11" s="44" t="str">
        <f>MONTH(R11)&amp;"/"&amp;YEAR(R11)</f>
        <v>5/2026</v>
      </c>
      <c r="AP11" s="44">
        <f>WEEKNUM(R11)-WEEKNUM(EOMONTH(R11,-1)+1)+1</f>
        <v>3</v>
      </c>
      <c r="AQ11" s="44">
        <f>IF(AU11="S",IF(Q11="1. Aceitou o programa",R11-B11,0),0)</f>
        <v>6</v>
      </c>
      <c r="AR11" s="44">
        <f>IF(AU11="S",IF(AND(S11&lt;&gt;"",R11&lt;&gt;""),S11-R11,0),0)</f>
        <v>0</v>
      </c>
      <c r="AS11" s="44">
        <f>IF(AU11="S",IF(Q11="1. Aceitou o programa",IF(OR(X11="Não se Aplica",X11=""),IF(OR(W11="Não se Aplica",W11=""),0,W11-V11),AVERAGE(X11-W11,W11-V11)),0),0)</f>
        <v>0</v>
      </c>
      <c r="AT11" s="44">
        <f>IF(AU11="S",IF(AND(Q11="1. Aceitou o programa",AB11="Realizada"),IFERROR(IF(AA11="",0,AA11-R11),0),0),0)</f>
        <v>10.694444444445253</v>
      </c>
      <c r="AU11" s="44" t="str">
        <f>_xlfn.XLOOKUP(U11,'Lista Suspensa'!$AA$20:$AA$23,'Lista Suspensa'!$AB$20:$AB$23,"N/A")</f>
        <v>S</v>
      </c>
    </row>
    <row r="12" spans="1:47" ht="12" hidden="1" customHeight="1">
      <c r="A12" s="86" t="s">
        <v>47</v>
      </c>
      <c r="B12" s="87">
        <v>46147</v>
      </c>
      <c r="C12" s="88" t="s">
        <v>48</v>
      </c>
      <c r="D12" s="88" t="s">
        <v>49</v>
      </c>
      <c r="E12" s="89">
        <v>78120111</v>
      </c>
      <c r="F12" s="218" t="s">
        <v>115</v>
      </c>
      <c r="G12" s="91">
        <v>31489658840</v>
      </c>
      <c r="H12" s="92">
        <v>31091</v>
      </c>
      <c r="I12" s="88">
        <v>41</v>
      </c>
      <c r="J12" s="88" t="s">
        <v>51</v>
      </c>
      <c r="K12" s="88" t="s">
        <v>52</v>
      </c>
      <c r="L12" s="88" t="s">
        <v>53</v>
      </c>
      <c r="M12" s="88"/>
      <c r="N12" s="88" t="s">
        <v>91</v>
      </c>
      <c r="O12" s="93" t="s">
        <v>116</v>
      </c>
      <c r="P12" s="94" t="s">
        <v>56</v>
      </c>
      <c r="Q12" s="142" t="s">
        <v>57</v>
      </c>
      <c r="R12" s="95"/>
      <c r="S12" s="96">
        <v>46170</v>
      </c>
      <c r="T12" s="96" t="s">
        <v>58</v>
      </c>
      <c r="U12" s="96" t="s">
        <v>59</v>
      </c>
      <c r="V12" s="92">
        <v>46153</v>
      </c>
      <c r="W12" s="92">
        <v>46154</v>
      </c>
      <c r="X12" s="92">
        <v>46164</v>
      </c>
      <c r="Y12" s="97"/>
      <c r="Z12" s="88"/>
      <c r="AA12" s="96"/>
      <c r="AB12" s="88"/>
      <c r="AC12" s="119"/>
      <c r="AD12" s="88"/>
      <c r="AE12" s="88"/>
      <c r="AF12" s="98"/>
      <c r="AG12" s="98"/>
      <c r="AH12" s="98"/>
      <c r="AI12" s="99" t="s">
        <v>47</v>
      </c>
      <c r="AJ12" s="99" t="s">
        <v>60</v>
      </c>
      <c r="AK12" s="99"/>
      <c r="AL12" s="44" t="s">
        <v>62</v>
      </c>
      <c r="AM12" s="196" t="str">
        <f>MONTH(B12)&amp;"/"&amp;YEAR(B12)</f>
        <v>5/2026</v>
      </c>
      <c r="AN12" s="44">
        <f>WEEKNUM(B12)-WEEKNUM(EOMONTH(B12,-1)+1)+1</f>
        <v>2</v>
      </c>
      <c r="AO12" s="44" t="str">
        <f>MONTH(R12)&amp;"/"&amp;YEAR(R12)</f>
        <v>1/1900</v>
      </c>
      <c r="AP12" s="44" t="e">
        <f>WEEKNUM(R12)-WEEKNUM(EOMONTH(R12,-1)+1)+1</f>
        <v>#NUM!</v>
      </c>
      <c r="AQ12" s="44">
        <f>IF(AU12="S",IF(Q12="1. Aceitou o programa",R12-B12,0),0)</f>
        <v>0</v>
      </c>
      <c r="AR12" s="44">
        <f>IF(AU12="S",IF(AND(S12&lt;&gt;"",R12&lt;&gt;""),S12-R12,0),0)</f>
        <v>0</v>
      </c>
      <c r="AS12" s="44">
        <f>IF(AU12="S",IF(Q12="1. Aceitou o programa",IF(OR(X12="Não se Aplica",X12=""),IF(OR(W12="Não se Aplica",W12=""),0,W12-V12),AVERAGE(X12-W12,W12-V12)),0),0)</f>
        <v>0</v>
      </c>
      <c r="AT12" s="44">
        <f>IF(AU12="S",IF(AND(Q12="1. Aceitou o programa",AB12="Realizada"),IFERROR(IF(AA12="",0,AA12-R12),0),0),0)</f>
        <v>0</v>
      </c>
      <c r="AU12" s="44" t="str">
        <f>_xlfn.XLOOKUP(U12,'Lista Suspensa'!$AA$20:$AA$23,'Lista Suspensa'!$AB$20:$AB$23,"N/A")</f>
        <v>S</v>
      </c>
    </row>
    <row r="13" spans="1:47" ht="12" hidden="1" customHeight="1">
      <c r="A13" s="86" t="s">
        <v>47</v>
      </c>
      <c r="B13" s="87">
        <v>46147</v>
      </c>
      <c r="C13" s="88" t="s">
        <v>48</v>
      </c>
      <c r="D13" s="88" t="s">
        <v>49</v>
      </c>
      <c r="E13" s="89">
        <v>83028469</v>
      </c>
      <c r="F13" s="218" t="s">
        <v>117</v>
      </c>
      <c r="G13" s="91">
        <v>27847915804</v>
      </c>
      <c r="H13" s="92">
        <v>28735</v>
      </c>
      <c r="I13" s="88">
        <v>47</v>
      </c>
      <c r="J13" s="88" t="s">
        <v>51</v>
      </c>
      <c r="K13" s="88" t="s">
        <v>52</v>
      </c>
      <c r="L13" s="88" t="s">
        <v>53</v>
      </c>
      <c r="M13" s="88"/>
      <c r="N13" s="88" t="s">
        <v>118</v>
      </c>
      <c r="O13" s="93" t="s">
        <v>119</v>
      </c>
      <c r="P13" s="94" t="s">
        <v>56</v>
      </c>
      <c r="Q13" s="142" t="s">
        <v>68</v>
      </c>
      <c r="R13" s="95">
        <v>46153</v>
      </c>
      <c r="S13" s="96"/>
      <c r="T13" s="96" t="s">
        <v>69</v>
      </c>
      <c r="U13" s="96" t="s">
        <v>70</v>
      </c>
      <c r="V13" s="92">
        <v>46153</v>
      </c>
      <c r="W13" s="92" t="s">
        <v>71</v>
      </c>
      <c r="X13" s="92" t="s">
        <v>71</v>
      </c>
      <c r="Y13" s="97"/>
      <c r="Z13" s="88" t="s">
        <v>72</v>
      </c>
      <c r="AA13" s="96" t="s">
        <v>120</v>
      </c>
      <c r="AB13" s="88" t="s">
        <v>74</v>
      </c>
      <c r="AC13" s="119"/>
      <c r="AD13" s="88" t="s">
        <v>113</v>
      </c>
      <c r="AE13" s="88">
        <v>46</v>
      </c>
      <c r="AF13" s="98" t="s">
        <v>114</v>
      </c>
      <c r="AG13" s="98" t="s">
        <v>114</v>
      </c>
      <c r="AH13" s="98" t="s">
        <v>77</v>
      </c>
      <c r="AI13" s="99" t="s">
        <v>61</v>
      </c>
      <c r="AJ13" s="99" t="s">
        <v>78</v>
      </c>
      <c r="AK13" s="99" t="s">
        <v>61</v>
      </c>
      <c r="AL13" s="44" t="s">
        <v>62</v>
      </c>
      <c r="AM13" s="196" t="str">
        <f>MONTH(B13)&amp;"/"&amp;YEAR(B13)</f>
        <v>5/2026</v>
      </c>
      <c r="AN13" s="44">
        <f>WEEKNUM(B13)-WEEKNUM(EOMONTH(B13,-1)+1)+1</f>
        <v>2</v>
      </c>
      <c r="AO13" s="44" t="str">
        <f>MONTH(R13)&amp;"/"&amp;YEAR(R13)</f>
        <v>5/2026</v>
      </c>
      <c r="AP13" s="44">
        <f>WEEKNUM(R13)-WEEKNUM(EOMONTH(R13,-1)+1)+1</f>
        <v>3</v>
      </c>
      <c r="AQ13" s="44">
        <f>IF(AU13="S",IF(Q13="1. Aceitou o programa",R13-B13,0),0)</f>
        <v>6</v>
      </c>
      <c r="AR13" s="44">
        <f>IF(AU13="S",IF(AND(S13&lt;&gt;"",R13&lt;&gt;""),S13-R13,0),0)</f>
        <v>0</v>
      </c>
      <c r="AS13" s="44">
        <f>IF(AU13="S",IF(Q13="1. Aceitou o programa",IF(OR(X13="Não se Aplica",X13=""),IF(OR(W13="Não se Aplica",W13=""),0,W13-V13),AVERAGE(X13-W13,W13-V13)),0),0)</f>
        <v>0</v>
      </c>
      <c r="AT13" s="44">
        <f>IF(AU13="S",IF(AND(Q13="1. Aceitou o programa",AB13="Realizada"),IFERROR(IF(AA13="",0,AA13-R13),0),0),0)</f>
        <v>14.486111111109494</v>
      </c>
      <c r="AU13" s="44" t="str">
        <f>_xlfn.XLOOKUP(U13,'Lista Suspensa'!$AA$20:$AA$23,'Lista Suspensa'!$AB$20:$AB$23,"N/A")</f>
        <v>S</v>
      </c>
    </row>
    <row r="14" spans="1:47" ht="12" hidden="1" customHeight="1">
      <c r="A14" s="86" t="s">
        <v>47</v>
      </c>
      <c r="B14" s="87">
        <v>46147</v>
      </c>
      <c r="C14" s="88" t="s">
        <v>48</v>
      </c>
      <c r="D14" s="88" t="s">
        <v>49</v>
      </c>
      <c r="E14" s="89">
        <v>89386945</v>
      </c>
      <c r="F14" s="218" t="s">
        <v>121</v>
      </c>
      <c r="G14" s="91">
        <v>13310639819</v>
      </c>
      <c r="H14" s="92">
        <v>24889</v>
      </c>
      <c r="I14" s="88">
        <v>58</v>
      </c>
      <c r="J14" s="88" t="s">
        <v>51</v>
      </c>
      <c r="K14" s="88" t="s">
        <v>52</v>
      </c>
      <c r="L14" s="88" t="s">
        <v>53</v>
      </c>
      <c r="M14" s="88"/>
      <c r="N14" s="88" t="s">
        <v>122</v>
      </c>
      <c r="O14" s="93" t="s">
        <v>123</v>
      </c>
      <c r="P14" s="94" t="s">
        <v>56</v>
      </c>
      <c r="Q14" s="142" t="s">
        <v>68</v>
      </c>
      <c r="R14" s="95">
        <v>46153</v>
      </c>
      <c r="S14" s="96"/>
      <c r="T14" s="96" t="s">
        <v>69</v>
      </c>
      <c r="U14" s="96" t="s">
        <v>70</v>
      </c>
      <c r="V14" s="92">
        <v>46153</v>
      </c>
      <c r="W14" s="92" t="s">
        <v>71</v>
      </c>
      <c r="X14" s="92" t="s">
        <v>71</v>
      </c>
      <c r="Y14" s="97"/>
      <c r="Z14" s="88" t="s">
        <v>72</v>
      </c>
      <c r="AA14" s="96" t="s">
        <v>124</v>
      </c>
      <c r="AB14" s="88" t="s">
        <v>105</v>
      </c>
      <c r="AC14" s="119">
        <v>46189</v>
      </c>
      <c r="AD14" s="88"/>
      <c r="AE14" s="88"/>
      <c r="AF14" s="98"/>
      <c r="AG14" s="98"/>
      <c r="AH14" s="98"/>
      <c r="AI14" s="99" t="s">
        <v>61</v>
      </c>
      <c r="AJ14" s="99" t="s">
        <v>78</v>
      </c>
      <c r="AK14" s="99" t="s">
        <v>61</v>
      </c>
      <c r="AL14" s="44" t="s">
        <v>62</v>
      </c>
      <c r="AM14" s="196" t="str">
        <f>MONTH(B14)&amp;"/"&amp;YEAR(B14)</f>
        <v>5/2026</v>
      </c>
      <c r="AN14" s="44">
        <f>WEEKNUM(B14)-WEEKNUM(EOMONTH(B14,-1)+1)+1</f>
        <v>2</v>
      </c>
      <c r="AO14" s="44" t="str">
        <f>MONTH(R14)&amp;"/"&amp;YEAR(R14)</f>
        <v>5/2026</v>
      </c>
      <c r="AP14" s="44">
        <f>WEEKNUM(R14)-WEEKNUM(EOMONTH(R14,-1)+1)+1</f>
        <v>3</v>
      </c>
      <c r="AQ14" s="44">
        <f>IF(AU14="S",IF(Q14="1. Aceitou o programa",R14-B14,0),0)</f>
        <v>6</v>
      </c>
      <c r="AR14" s="44">
        <f>IF(AU14="S",IF(AND(S14&lt;&gt;"",R14&lt;&gt;""),S14-R14,0),0)</f>
        <v>0</v>
      </c>
      <c r="AS14" s="44">
        <f>IF(AU14="S",IF(Q14="1. Aceitou o programa",IF(OR(X14="Não se Aplica",X14=""),IF(OR(W14="Não se Aplica",W14=""),0,W14-V14),AVERAGE(X14-W14,W14-V14)),0),0)</f>
        <v>0</v>
      </c>
      <c r="AT14" s="44">
        <f>IF(AU14="S",IF(AND(Q14="1. Aceitou o programa",AB14="Realizada"),IFERROR(IF(AA14="",0,AA14-R14),0),0),0)</f>
        <v>0</v>
      </c>
      <c r="AU14" s="44" t="str">
        <f>_xlfn.XLOOKUP(U14,'Lista Suspensa'!$AA$20:$AA$23,'Lista Suspensa'!$AB$20:$AB$23,"N/A")</f>
        <v>S</v>
      </c>
    </row>
    <row r="15" spans="1:47" ht="12" hidden="1" customHeight="1">
      <c r="A15" s="86" t="s">
        <v>47</v>
      </c>
      <c r="B15" s="87">
        <v>46147</v>
      </c>
      <c r="C15" s="88" t="s">
        <v>48</v>
      </c>
      <c r="D15" s="88" t="s">
        <v>49</v>
      </c>
      <c r="E15" s="89">
        <v>803803826</v>
      </c>
      <c r="F15" s="218" t="s">
        <v>125</v>
      </c>
      <c r="G15" s="91">
        <v>13276714841</v>
      </c>
      <c r="H15" s="92">
        <v>25721</v>
      </c>
      <c r="I15" s="88">
        <v>55</v>
      </c>
      <c r="J15" s="88" t="s">
        <v>51</v>
      </c>
      <c r="K15" s="88" t="s">
        <v>52</v>
      </c>
      <c r="L15" s="88" t="s">
        <v>53</v>
      </c>
      <c r="M15" s="88"/>
      <c r="N15" s="88" t="s">
        <v>54</v>
      </c>
      <c r="O15" s="93" t="s">
        <v>126</v>
      </c>
      <c r="P15" s="94" t="s">
        <v>56</v>
      </c>
      <c r="Q15" s="142" t="s">
        <v>57</v>
      </c>
      <c r="R15" s="95"/>
      <c r="S15" s="96">
        <v>46170</v>
      </c>
      <c r="T15" s="96" t="s">
        <v>58</v>
      </c>
      <c r="U15" s="96" t="s">
        <v>59</v>
      </c>
      <c r="V15" s="92">
        <v>46153</v>
      </c>
      <c r="W15" s="92">
        <v>46154</v>
      </c>
      <c r="X15" s="92">
        <v>46164</v>
      </c>
      <c r="Y15" s="97"/>
      <c r="Z15" s="88"/>
      <c r="AA15" s="96"/>
      <c r="AB15" s="88"/>
      <c r="AC15" s="119"/>
      <c r="AD15" s="88"/>
      <c r="AE15" s="88"/>
      <c r="AF15" s="98"/>
      <c r="AG15" s="98"/>
      <c r="AH15" s="98"/>
      <c r="AI15" s="99" t="s">
        <v>47</v>
      </c>
      <c r="AJ15" s="99" t="s">
        <v>60</v>
      </c>
      <c r="AK15" s="99"/>
      <c r="AL15" s="44" t="s">
        <v>62</v>
      </c>
      <c r="AM15" s="196" t="str">
        <f>MONTH(B15)&amp;"/"&amp;YEAR(B15)</f>
        <v>5/2026</v>
      </c>
      <c r="AN15" s="44">
        <f>WEEKNUM(B15)-WEEKNUM(EOMONTH(B15,-1)+1)+1</f>
        <v>2</v>
      </c>
      <c r="AO15" s="44" t="str">
        <f>MONTH(R15)&amp;"/"&amp;YEAR(R15)</f>
        <v>1/1900</v>
      </c>
      <c r="AP15" s="44" t="e">
        <f>WEEKNUM(R15)-WEEKNUM(EOMONTH(R15,-1)+1)+1</f>
        <v>#NUM!</v>
      </c>
      <c r="AQ15" s="44">
        <f>IF(AU15="S",IF(Q15="1. Aceitou o programa",R15-B15,0),0)</f>
        <v>0</v>
      </c>
      <c r="AR15" s="44">
        <f>IF(AU15="S",IF(AND(S15&lt;&gt;"",R15&lt;&gt;""),S15-R15,0),0)</f>
        <v>0</v>
      </c>
      <c r="AS15" s="44">
        <f>IF(AU15="S",IF(Q15="1. Aceitou o programa",IF(OR(X15="Não se Aplica",X15=""),IF(OR(W15="Não se Aplica",W15=""),0,W15-V15),AVERAGE(X15-W15,W15-V15)),0),0)</f>
        <v>0</v>
      </c>
      <c r="AT15" s="44">
        <f>IF(AU15="S",IF(AND(Q15="1. Aceitou o programa",AB15="Realizada"),IFERROR(IF(AA15="",0,AA15-R15),0),0),0)</f>
        <v>0</v>
      </c>
      <c r="AU15" s="44" t="str">
        <f>_xlfn.XLOOKUP(U15,'Lista Suspensa'!$AA$20:$AA$23,'Lista Suspensa'!$AB$20:$AB$23,"N/A")</f>
        <v>S</v>
      </c>
    </row>
    <row r="16" spans="1:47" ht="12" hidden="1" customHeight="1">
      <c r="A16" s="86" t="s">
        <v>47</v>
      </c>
      <c r="B16" s="87">
        <v>46147</v>
      </c>
      <c r="C16" s="88" t="s">
        <v>48</v>
      </c>
      <c r="D16" s="88" t="s">
        <v>49</v>
      </c>
      <c r="E16" s="89">
        <v>86077632</v>
      </c>
      <c r="F16" s="218" t="s">
        <v>127</v>
      </c>
      <c r="G16" s="91">
        <v>3411911751</v>
      </c>
      <c r="H16" s="92">
        <v>22192</v>
      </c>
      <c r="I16" s="88">
        <v>65</v>
      </c>
      <c r="J16" s="88" t="s">
        <v>64</v>
      </c>
      <c r="K16" s="88" t="s">
        <v>80</v>
      </c>
      <c r="L16" s="88" t="s">
        <v>53</v>
      </c>
      <c r="M16" s="88"/>
      <c r="N16" s="88" t="s">
        <v>118</v>
      </c>
      <c r="O16" s="93" t="s">
        <v>128</v>
      </c>
      <c r="P16" s="94" t="s">
        <v>56</v>
      </c>
      <c r="Q16" s="142" t="s">
        <v>57</v>
      </c>
      <c r="R16" s="95"/>
      <c r="S16" s="96">
        <v>46170</v>
      </c>
      <c r="T16" s="96" t="s">
        <v>58</v>
      </c>
      <c r="U16" s="96" t="s">
        <v>59</v>
      </c>
      <c r="V16" s="92">
        <v>46153</v>
      </c>
      <c r="W16" s="92">
        <v>46154</v>
      </c>
      <c r="X16" s="92">
        <v>46164</v>
      </c>
      <c r="Y16" s="97"/>
      <c r="Z16" s="88"/>
      <c r="AA16" s="96"/>
      <c r="AB16" s="88"/>
      <c r="AC16" s="119"/>
      <c r="AD16" s="88"/>
      <c r="AE16" s="88"/>
      <c r="AF16" s="98"/>
      <c r="AG16" s="98"/>
      <c r="AH16" s="98"/>
      <c r="AI16" s="99" t="s">
        <v>47</v>
      </c>
      <c r="AJ16" s="99" t="s">
        <v>60</v>
      </c>
      <c r="AK16" s="99"/>
      <c r="AL16" s="44" t="s">
        <v>62</v>
      </c>
      <c r="AM16" s="196" t="str">
        <f>MONTH(B16)&amp;"/"&amp;YEAR(B16)</f>
        <v>5/2026</v>
      </c>
      <c r="AN16" s="44">
        <f>WEEKNUM(B16)-WEEKNUM(EOMONTH(B16,-1)+1)+1</f>
        <v>2</v>
      </c>
      <c r="AO16" s="44" t="str">
        <f>MONTH(R16)&amp;"/"&amp;YEAR(R16)</f>
        <v>1/1900</v>
      </c>
      <c r="AP16" s="44" t="e">
        <f>WEEKNUM(R16)-WEEKNUM(EOMONTH(R16,-1)+1)+1</f>
        <v>#NUM!</v>
      </c>
      <c r="AQ16" s="44">
        <f>IF(AU16="S",IF(Q16="1. Aceitou o programa",R16-B16,0),0)</f>
        <v>0</v>
      </c>
      <c r="AR16" s="44">
        <f>IF(AU16="S",IF(AND(S16&lt;&gt;"",R16&lt;&gt;""),S16-R16,0),0)</f>
        <v>0</v>
      </c>
      <c r="AS16" s="44">
        <f>IF(AU16="S",IF(Q16="1. Aceitou o programa",IF(OR(X16="Não se Aplica",X16=""),IF(OR(W16="Não se Aplica",W16=""),0,W16-V16),AVERAGE(X16-W16,W16-V16)),0),0)</f>
        <v>0</v>
      </c>
      <c r="AT16" s="44">
        <f>IF(AU16="S",IF(AND(Q16="1. Aceitou o programa",AB16="Realizada"),IFERROR(IF(AA16="",0,AA16-R16),0),0),0)</f>
        <v>0</v>
      </c>
      <c r="AU16" s="44" t="str">
        <f>_xlfn.XLOOKUP(U16,'Lista Suspensa'!$AA$20:$AA$23,'Lista Suspensa'!$AB$20:$AB$23,"N/A")</f>
        <v>S</v>
      </c>
    </row>
    <row r="17" spans="1:47" ht="12" hidden="1" customHeight="1">
      <c r="A17" s="86" t="s">
        <v>47</v>
      </c>
      <c r="B17" s="87">
        <v>46147</v>
      </c>
      <c r="C17" s="88" t="s">
        <v>48</v>
      </c>
      <c r="D17" s="88" t="s">
        <v>49</v>
      </c>
      <c r="E17" s="89">
        <v>89910235</v>
      </c>
      <c r="F17" s="218" t="s">
        <v>129</v>
      </c>
      <c r="G17" s="91">
        <v>3269091842</v>
      </c>
      <c r="H17" s="92">
        <v>23296</v>
      </c>
      <c r="I17" s="88">
        <v>62</v>
      </c>
      <c r="J17" s="88" t="s">
        <v>51</v>
      </c>
      <c r="K17" s="88" t="s">
        <v>52</v>
      </c>
      <c r="L17" s="88" t="s">
        <v>130</v>
      </c>
      <c r="M17" s="88"/>
      <c r="N17" s="88" t="s">
        <v>91</v>
      </c>
      <c r="O17" s="93" t="s">
        <v>131</v>
      </c>
      <c r="P17" s="94" t="s">
        <v>56</v>
      </c>
      <c r="Q17" s="142" t="s">
        <v>68</v>
      </c>
      <c r="R17" s="95">
        <v>46164</v>
      </c>
      <c r="S17" s="96"/>
      <c r="T17" s="96" t="s">
        <v>69</v>
      </c>
      <c r="U17" s="96" t="s">
        <v>70</v>
      </c>
      <c r="V17" s="92">
        <v>46153</v>
      </c>
      <c r="W17" s="92">
        <v>46154</v>
      </c>
      <c r="X17" s="92">
        <v>46164</v>
      </c>
      <c r="Y17" s="97"/>
      <c r="Z17" s="88" t="s">
        <v>72</v>
      </c>
      <c r="AA17" s="96">
        <v>46174.611111111109</v>
      </c>
      <c r="AB17" s="88" t="s">
        <v>105</v>
      </c>
      <c r="AC17" s="119">
        <v>46188</v>
      </c>
      <c r="AD17" s="88"/>
      <c r="AE17" s="88"/>
      <c r="AF17" s="98"/>
      <c r="AG17" s="98"/>
      <c r="AH17" s="98"/>
      <c r="AI17" s="99" t="s">
        <v>47</v>
      </c>
      <c r="AJ17" s="99" t="s">
        <v>78</v>
      </c>
      <c r="AK17" s="99" t="s">
        <v>61</v>
      </c>
      <c r="AL17" s="44" t="s">
        <v>62</v>
      </c>
      <c r="AM17" s="196" t="str">
        <f>MONTH(B17)&amp;"/"&amp;YEAR(B17)</f>
        <v>5/2026</v>
      </c>
      <c r="AN17" s="44">
        <f>WEEKNUM(B17)-WEEKNUM(EOMONTH(B17,-1)+1)+1</f>
        <v>2</v>
      </c>
      <c r="AO17" s="44" t="str">
        <f>MONTH(R17)&amp;"/"&amp;YEAR(R17)</f>
        <v>5/2026</v>
      </c>
      <c r="AP17" s="44">
        <f>WEEKNUM(R17)-WEEKNUM(EOMONTH(R17,-1)+1)+1</f>
        <v>4</v>
      </c>
      <c r="AQ17" s="44">
        <f>IF(AU17="S",IF(Q17="1. Aceitou o programa",R17-B17,0),0)</f>
        <v>17</v>
      </c>
      <c r="AR17" s="44">
        <f>IF(AU17="S",IF(AND(S17&lt;&gt;"",R17&lt;&gt;""),S17-R17,0),0)</f>
        <v>0</v>
      </c>
      <c r="AS17" s="44">
        <f>IF(AU17="S",IF(Q17="1. Aceitou o programa",IF(OR(X17="Não se Aplica",X17=""),IF(OR(W17="Não se Aplica",W17=""),0,W17-V17),AVERAGE(X17-W17,W17-V17)),0),0)</f>
        <v>5.5</v>
      </c>
      <c r="AT17" s="44">
        <f>IF(AU17="S",IF(AND(Q17="1. Aceitou o programa",AB17="Realizada"),IFERROR(IF(AA17="",0,AA17-R17),0),0),0)</f>
        <v>0</v>
      </c>
      <c r="AU17" s="44" t="str">
        <f>_xlfn.XLOOKUP(U17,'Lista Suspensa'!$AA$20:$AA$23,'Lista Suspensa'!$AB$20:$AB$23,"N/A")</f>
        <v>S</v>
      </c>
    </row>
    <row r="18" spans="1:47" ht="12" hidden="1" customHeight="1">
      <c r="A18" s="86" t="s">
        <v>47</v>
      </c>
      <c r="B18" s="87">
        <v>46147</v>
      </c>
      <c r="C18" s="88" t="s">
        <v>48</v>
      </c>
      <c r="D18" s="88" t="s">
        <v>49</v>
      </c>
      <c r="E18" s="89">
        <v>93576426</v>
      </c>
      <c r="F18" s="218" t="s">
        <v>132</v>
      </c>
      <c r="G18" s="91">
        <v>18758099883</v>
      </c>
      <c r="H18" s="92">
        <v>25934</v>
      </c>
      <c r="I18" s="88">
        <v>55</v>
      </c>
      <c r="J18" s="88" t="s">
        <v>64</v>
      </c>
      <c r="K18" s="88" t="s">
        <v>52</v>
      </c>
      <c r="L18" s="88" t="s">
        <v>133</v>
      </c>
      <c r="M18" s="88"/>
      <c r="N18" s="88" t="s">
        <v>66</v>
      </c>
      <c r="O18" s="93" t="s">
        <v>134</v>
      </c>
      <c r="P18" s="94" t="s">
        <v>56</v>
      </c>
      <c r="Q18" s="142" t="s">
        <v>68</v>
      </c>
      <c r="R18" s="95">
        <v>46154</v>
      </c>
      <c r="S18" s="96"/>
      <c r="T18" s="96" t="s">
        <v>69</v>
      </c>
      <c r="U18" s="96" t="s">
        <v>70</v>
      </c>
      <c r="V18" s="92">
        <v>46153</v>
      </c>
      <c r="W18" s="92">
        <v>46154</v>
      </c>
      <c r="X18" s="92" t="s">
        <v>71</v>
      </c>
      <c r="Y18" s="97"/>
      <c r="Z18" s="88" t="s">
        <v>72</v>
      </c>
      <c r="AA18" s="96">
        <v>46148.416666666664</v>
      </c>
      <c r="AB18" s="88" t="s">
        <v>74</v>
      </c>
      <c r="AC18" s="119"/>
      <c r="AD18" s="88"/>
      <c r="AE18" s="88"/>
      <c r="AF18" s="98"/>
      <c r="AG18" s="98"/>
      <c r="AH18" s="98"/>
      <c r="AI18" s="99" t="s">
        <v>61</v>
      </c>
      <c r="AJ18" s="99" t="s">
        <v>78</v>
      </c>
      <c r="AK18" s="99" t="s">
        <v>61</v>
      </c>
      <c r="AL18" s="44" t="s">
        <v>62</v>
      </c>
      <c r="AM18" s="196" t="str">
        <f>MONTH(B18)&amp;"/"&amp;YEAR(B18)</f>
        <v>5/2026</v>
      </c>
      <c r="AN18" s="44">
        <f>WEEKNUM(B18)-WEEKNUM(EOMONTH(B18,-1)+1)+1</f>
        <v>2</v>
      </c>
      <c r="AO18" s="44" t="str">
        <f>MONTH(R18)&amp;"/"&amp;YEAR(R18)</f>
        <v>5/2026</v>
      </c>
      <c r="AP18" s="44">
        <f>WEEKNUM(R18)-WEEKNUM(EOMONTH(R18,-1)+1)+1</f>
        <v>3</v>
      </c>
      <c r="AQ18" s="44">
        <f>IF(AU18="S",IF(Q18="1. Aceitou o programa",R18-B18,0),0)</f>
        <v>7</v>
      </c>
      <c r="AR18" s="44">
        <f>IF(AU18="S",IF(AND(S18&lt;&gt;"",R18&lt;&gt;""),S18-R18,0),0)</f>
        <v>0</v>
      </c>
      <c r="AS18" s="44">
        <f>IF(AU18="S",IF(Q18="1. Aceitou o programa",IF(OR(X18="Não se Aplica",X18=""),IF(OR(W18="Não se Aplica",W18=""),0,W18-V18),AVERAGE(X18-W18,W18-V18)),0),0)</f>
        <v>1</v>
      </c>
      <c r="AT18" s="44">
        <f>IF(AU18="S",IF(AND(Q18="1. Aceitou o programa",AB18="Realizada"),IFERROR(IF(AA18="",0,AA18-R18),0),0),0)</f>
        <v>-5.5833333333357587</v>
      </c>
      <c r="AU18" s="44" t="str">
        <f>_xlfn.XLOOKUP(U18,'Lista Suspensa'!$AA$20:$AA$23,'Lista Suspensa'!$AB$20:$AB$23,"N/A")</f>
        <v>S</v>
      </c>
    </row>
    <row r="19" spans="1:47" ht="12" hidden="1" customHeight="1">
      <c r="A19" s="86" t="s">
        <v>47</v>
      </c>
      <c r="B19" s="87">
        <v>46147</v>
      </c>
      <c r="C19" s="88" t="s">
        <v>48</v>
      </c>
      <c r="D19" s="88" t="s">
        <v>49</v>
      </c>
      <c r="E19" s="89">
        <v>89040491</v>
      </c>
      <c r="F19" s="218" t="s">
        <v>135</v>
      </c>
      <c r="G19" s="91">
        <v>6076294876</v>
      </c>
      <c r="H19" s="92">
        <v>23887</v>
      </c>
      <c r="I19" s="88">
        <v>60</v>
      </c>
      <c r="J19" s="88" t="s">
        <v>51</v>
      </c>
      <c r="K19" s="88" t="s">
        <v>52</v>
      </c>
      <c r="L19" s="88" t="s">
        <v>53</v>
      </c>
      <c r="M19" s="88"/>
      <c r="N19" s="88" t="s">
        <v>122</v>
      </c>
      <c r="O19" s="93" t="s">
        <v>136</v>
      </c>
      <c r="P19" s="94" t="s">
        <v>56</v>
      </c>
      <c r="Q19" s="142" t="s">
        <v>57</v>
      </c>
      <c r="R19" s="95"/>
      <c r="S19" s="96">
        <v>46170</v>
      </c>
      <c r="T19" s="96" t="s">
        <v>58</v>
      </c>
      <c r="U19" s="96" t="s">
        <v>59</v>
      </c>
      <c r="V19" s="92">
        <v>46153</v>
      </c>
      <c r="W19" s="92">
        <v>46154</v>
      </c>
      <c r="X19" s="92">
        <v>46164</v>
      </c>
      <c r="Y19" s="97"/>
      <c r="Z19" s="88"/>
      <c r="AA19" s="96"/>
      <c r="AB19" s="88"/>
      <c r="AC19" s="119"/>
      <c r="AD19" s="88"/>
      <c r="AE19" s="88"/>
      <c r="AF19" s="98"/>
      <c r="AG19" s="98"/>
      <c r="AH19" s="98"/>
      <c r="AI19" s="99" t="s">
        <v>47</v>
      </c>
      <c r="AJ19" s="99" t="s">
        <v>60</v>
      </c>
      <c r="AK19" s="99"/>
      <c r="AL19" s="44" t="s">
        <v>62</v>
      </c>
      <c r="AM19" s="196" t="str">
        <f>MONTH(B19)&amp;"/"&amp;YEAR(B19)</f>
        <v>5/2026</v>
      </c>
      <c r="AN19" s="44">
        <f>WEEKNUM(B19)-WEEKNUM(EOMONTH(B19,-1)+1)+1</f>
        <v>2</v>
      </c>
      <c r="AO19" s="44" t="str">
        <f>MONTH(R19)&amp;"/"&amp;YEAR(R19)</f>
        <v>1/1900</v>
      </c>
      <c r="AP19" s="44" t="e">
        <f>WEEKNUM(R19)-WEEKNUM(EOMONTH(R19,-1)+1)+1</f>
        <v>#NUM!</v>
      </c>
      <c r="AQ19" s="44">
        <f>IF(AU19="S",IF(Q19="1. Aceitou o programa",R19-B19,0),0)</f>
        <v>0</v>
      </c>
      <c r="AR19" s="44">
        <f>IF(AU19="S",IF(AND(S19&lt;&gt;"",R19&lt;&gt;""),S19-R19,0),0)</f>
        <v>0</v>
      </c>
      <c r="AS19" s="44">
        <f>IF(AU19="S",IF(Q19="1. Aceitou o programa",IF(OR(X19="Não se Aplica",X19=""),IF(OR(W19="Não se Aplica",W19=""),0,W19-V19),AVERAGE(X19-W19,W19-V19)),0),0)</f>
        <v>0</v>
      </c>
      <c r="AT19" s="44">
        <f>IF(AU19="S",IF(AND(Q19="1. Aceitou o programa",AB19="Realizada"),IFERROR(IF(AA19="",0,AA19-R19),0),0),0)</f>
        <v>0</v>
      </c>
      <c r="AU19" s="44" t="str">
        <f>_xlfn.XLOOKUP(U19,'Lista Suspensa'!$AA$20:$AA$23,'Lista Suspensa'!$AB$20:$AB$23,"N/A")</f>
        <v>S</v>
      </c>
    </row>
    <row r="20" spans="1:47" ht="12" hidden="1" customHeight="1">
      <c r="A20" s="86" t="s">
        <v>47</v>
      </c>
      <c r="B20" s="87">
        <v>46147</v>
      </c>
      <c r="C20" s="88" t="s">
        <v>48</v>
      </c>
      <c r="D20" s="88" t="s">
        <v>49</v>
      </c>
      <c r="E20" s="89">
        <v>751481920</v>
      </c>
      <c r="F20" s="218" t="s">
        <v>137</v>
      </c>
      <c r="G20" s="91">
        <v>80179290720</v>
      </c>
      <c r="H20" s="92">
        <v>14352</v>
      </c>
      <c r="I20" s="88">
        <v>87</v>
      </c>
      <c r="J20" s="88" t="s">
        <v>64</v>
      </c>
      <c r="K20" s="88" t="s">
        <v>80</v>
      </c>
      <c r="L20" s="88" t="s">
        <v>87</v>
      </c>
      <c r="M20" s="88"/>
      <c r="N20" s="88" t="s">
        <v>138</v>
      </c>
      <c r="O20" s="93" t="s">
        <v>139</v>
      </c>
      <c r="P20" s="94" t="s">
        <v>56</v>
      </c>
      <c r="Q20" s="142" t="s">
        <v>68</v>
      </c>
      <c r="R20" s="95">
        <v>46153</v>
      </c>
      <c r="S20" s="96"/>
      <c r="T20" s="96" t="s">
        <v>69</v>
      </c>
      <c r="U20" s="96" t="s">
        <v>70</v>
      </c>
      <c r="V20" s="92">
        <v>46153</v>
      </c>
      <c r="W20" s="92" t="s">
        <v>71</v>
      </c>
      <c r="X20" s="92" t="s">
        <v>71</v>
      </c>
      <c r="Y20" s="97"/>
      <c r="Z20" s="88" t="s">
        <v>72</v>
      </c>
      <c r="AA20" s="96" t="s">
        <v>140</v>
      </c>
      <c r="AB20" s="88" t="s">
        <v>74</v>
      </c>
      <c r="AC20" s="119"/>
      <c r="AD20" s="88" t="s">
        <v>75</v>
      </c>
      <c r="AE20" s="88">
        <v>61</v>
      </c>
      <c r="AF20" s="98" t="s">
        <v>85</v>
      </c>
      <c r="AG20" s="98" t="s">
        <v>85</v>
      </c>
      <c r="AH20" s="98" t="s">
        <v>77</v>
      </c>
      <c r="AI20" s="99" t="s">
        <v>61</v>
      </c>
      <c r="AJ20" s="99" t="s">
        <v>78</v>
      </c>
      <c r="AK20" s="99" t="s">
        <v>61</v>
      </c>
      <c r="AL20" s="44" t="s">
        <v>62</v>
      </c>
      <c r="AM20" s="196" t="str">
        <f>MONTH(B20)&amp;"/"&amp;YEAR(B20)</f>
        <v>5/2026</v>
      </c>
      <c r="AN20" s="44">
        <f>WEEKNUM(B20)-WEEKNUM(EOMONTH(B20,-1)+1)+1</f>
        <v>2</v>
      </c>
      <c r="AO20" s="44" t="str">
        <f>MONTH(R20)&amp;"/"&amp;YEAR(R20)</f>
        <v>5/2026</v>
      </c>
      <c r="AP20" s="44">
        <f>WEEKNUM(R20)-WEEKNUM(EOMONTH(R20,-1)+1)+1</f>
        <v>3</v>
      </c>
      <c r="AQ20" s="44">
        <f>IF(AU20="S",IF(Q20="1. Aceitou o programa",R20-B20,0),0)</f>
        <v>6</v>
      </c>
      <c r="AR20" s="44">
        <f>IF(AU20="S",IF(AND(S20&lt;&gt;"",R20&lt;&gt;""),S20-R20,0),0)</f>
        <v>0</v>
      </c>
      <c r="AS20" s="44">
        <f>IF(AU20="S",IF(Q20="1. Aceitou o programa",IF(OR(X20="Não se Aplica",X20=""),IF(OR(W20="Não se Aplica",W20=""),0,W20-V20),AVERAGE(X20-W20,W20-V20)),0),0)</f>
        <v>0</v>
      </c>
      <c r="AT20" s="44">
        <f>IF(AU20="S",IF(AND(Q20="1. Aceitou o programa",AB20="Realizada"),IFERROR(IF(AA20="",0,AA20-R20),0),0),0)</f>
        <v>9.6527777777810115</v>
      </c>
      <c r="AU20" s="44" t="str">
        <f>_xlfn.XLOOKUP(U20,'Lista Suspensa'!$AA$20:$AA$23,'Lista Suspensa'!$AB$20:$AB$23,"N/A")</f>
        <v>S</v>
      </c>
    </row>
    <row r="21" spans="1:47" ht="12" hidden="1" customHeight="1">
      <c r="A21" s="86" t="s">
        <v>47</v>
      </c>
      <c r="B21" s="87">
        <v>46147</v>
      </c>
      <c r="C21" s="88" t="s">
        <v>48</v>
      </c>
      <c r="D21" s="88" t="s">
        <v>49</v>
      </c>
      <c r="E21" s="89">
        <v>95569905</v>
      </c>
      <c r="F21" s="218" t="s">
        <v>141</v>
      </c>
      <c r="G21" s="91">
        <v>1231109718</v>
      </c>
      <c r="H21" s="92">
        <v>25549</v>
      </c>
      <c r="I21" s="88">
        <v>56</v>
      </c>
      <c r="J21" s="88" t="s">
        <v>51</v>
      </c>
      <c r="K21" s="88" t="s">
        <v>80</v>
      </c>
      <c r="L21" s="88" t="s">
        <v>142</v>
      </c>
      <c r="M21" s="88"/>
      <c r="N21" s="88" t="s">
        <v>143</v>
      </c>
      <c r="O21" s="93" t="s">
        <v>144</v>
      </c>
      <c r="P21" s="94" t="s">
        <v>56</v>
      </c>
      <c r="Q21" s="142" t="s">
        <v>57</v>
      </c>
      <c r="R21" s="95"/>
      <c r="S21" s="96">
        <v>46170</v>
      </c>
      <c r="T21" s="96" t="s">
        <v>58</v>
      </c>
      <c r="U21" s="96" t="s">
        <v>59</v>
      </c>
      <c r="V21" s="92">
        <v>46153</v>
      </c>
      <c r="W21" s="92">
        <v>46154</v>
      </c>
      <c r="X21" s="92">
        <v>46164</v>
      </c>
      <c r="Y21" s="97"/>
      <c r="Z21" s="88"/>
      <c r="AA21" s="96"/>
      <c r="AB21" s="88"/>
      <c r="AC21" s="119"/>
      <c r="AD21" s="88"/>
      <c r="AE21" s="88"/>
      <c r="AF21" s="98"/>
      <c r="AG21" s="98"/>
      <c r="AH21" s="98"/>
      <c r="AI21" s="99" t="s">
        <v>47</v>
      </c>
      <c r="AJ21" s="99"/>
      <c r="AK21" s="99"/>
      <c r="AL21" s="44" t="s">
        <v>62</v>
      </c>
      <c r="AM21" s="196" t="str">
        <f>MONTH(B21)&amp;"/"&amp;YEAR(B21)</f>
        <v>5/2026</v>
      </c>
      <c r="AN21" s="44">
        <f>WEEKNUM(B21)-WEEKNUM(EOMONTH(B21,-1)+1)+1</f>
        <v>2</v>
      </c>
      <c r="AO21" s="44" t="str">
        <f>MONTH(R21)&amp;"/"&amp;YEAR(R21)</f>
        <v>1/1900</v>
      </c>
      <c r="AP21" s="44" t="e">
        <f>WEEKNUM(R21)-WEEKNUM(EOMONTH(R21,-1)+1)+1</f>
        <v>#NUM!</v>
      </c>
      <c r="AQ21" s="44">
        <f>IF(AU21="S",IF(Q21="1. Aceitou o programa",R21-B21,0),0)</f>
        <v>0</v>
      </c>
      <c r="AR21" s="44">
        <f>IF(AU21="S",IF(AND(S21&lt;&gt;"",R21&lt;&gt;""),S21-R21,0),0)</f>
        <v>0</v>
      </c>
      <c r="AS21" s="44">
        <f>IF(AU21="S",IF(Q21="1. Aceitou o programa",IF(OR(X21="Não se Aplica",X21=""),IF(OR(W21="Não se Aplica",W21=""),0,W21-V21),AVERAGE(X21-W21,W21-V21)),0),0)</f>
        <v>0</v>
      </c>
      <c r="AT21" s="44">
        <f>IF(AU21="S",IF(AND(Q21="1. Aceitou o programa",AB21="Realizada"),IFERROR(IF(AA21="",0,AA21-R21),0),0),0)</f>
        <v>0</v>
      </c>
      <c r="AU21" s="44" t="str">
        <f>_xlfn.XLOOKUP(U21,'Lista Suspensa'!$AA$20:$AA$23,'Lista Suspensa'!$AB$20:$AB$23,"N/A")</f>
        <v>S</v>
      </c>
    </row>
    <row r="22" spans="1:47" ht="12" hidden="1" customHeight="1">
      <c r="A22" s="86" t="s">
        <v>47</v>
      </c>
      <c r="B22" s="87">
        <v>46147</v>
      </c>
      <c r="C22" s="88" t="s">
        <v>48</v>
      </c>
      <c r="D22" s="88" t="s">
        <v>49</v>
      </c>
      <c r="E22" s="111">
        <v>95182978</v>
      </c>
      <c r="F22" s="218" t="s">
        <v>145</v>
      </c>
      <c r="G22" s="91">
        <v>32936630797</v>
      </c>
      <c r="H22" s="92">
        <v>19429</v>
      </c>
      <c r="I22" s="88">
        <v>73</v>
      </c>
      <c r="J22" s="88" t="s">
        <v>51</v>
      </c>
      <c r="K22" s="88" t="s">
        <v>80</v>
      </c>
      <c r="L22" s="88" t="s">
        <v>87</v>
      </c>
      <c r="M22" s="88"/>
      <c r="N22" s="88" t="s">
        <v>122</v>
      </c>
      <c r="O22" s="93" t="s">
        <v>146</v>
      </c>
      <c r="P22" s="94" t="s">
        <v>56</v>
      </c>
      <c r="Q22" s="142" t="s">
        <v>68</v>
      </c>
      <c r="R22" s="95">
        <v>46163</v>
      </c>
      <c r="S22" s="96"/>
      <c r="T22" s="96" t="s">
        <v>69</v>
      </c>
      <c r="U22" s="96" t="s">
        <v>70</v>
      </c>
      <c r="V22" s="92">
        <v>46153</v>
      </c>
      <c r="W22" s="92">
        <v>46154</v>
      </c>
      <c r="X22" s="92">
        <v>46160</v>
      </c>
      <c r="Y22" s="97"/>
      <c r="Z22" s="88" t="s">
        <v>72</v>
      </c>
      <c r="AA22" s="96">
        <v>46170.416666666664</v>
      </c>
      <c r="AB22" s="88"/>
      <c r="AC22" s="119"/>
      <c r="AD22" s="88"/>
      <c r="AE22" s="88"/>
      <c r="AF22" s="98"/>
      <c r="AG22" s="98"/>
      <c r="AH22" s="98"/>
      <c r="AI22" s="99"/>
      <c r="AJ22" s="99" t="s">
        <v>61</v>
      </c>
      <c r="AK22" s="99" t="s">
        <v>61</v>
      </c>
      <c r="AL22" s="44" t="s">
        <v>62</v>
      </c>
      <c r="AM22" s="196" t="str">
        <f>MONTH(B22)&amp;"/"&amp;YEAR(B22)</f>
        <v>5/2026</v>
      </c>
      <c r="AN22" s="44">
        <f>WEEKNUM(B22)-WEEKNUM(EOMONTH(B22,-1)+1)+1</f>
        <v>2</v>
      </c>
      <c r="AO22" s="44" t="str">
        <f>MONTH(R22)&amp;"/"&amp;YEAR(R22)</f>
        <v>5/2026</v>
      </c>
      <c r="AP22" s="44">
        <f>WEEKNUM(R22)-WEEKNUM(EOMONTH(R22,-1)+1)+1</f>
        <v>4</v>
      </c>
      <c r="AQ22" s="44">
        <f>IF(AU22="S",IF(Q22="1. Aceitou o programa",R22-B22,0),0)</f>
        <v>16</v>
      </c>
      <c r="AR22" s="44">
        <f>IF(AU22="S",IF(AND(S22&lt;&gt;"",R22&lt;&gt;""),S22-R22,0),0)</f>
        <v>0</v>
      </c>
      <c r="AS22" s="44">
        <f>IF(AU22="S",IF(Q22="1. Aceitou o programa",IF(OR(X22="Não se Aplica",X22=""),IF(OR(W22="Não se Aplica",W22=""),0,W22-V22),AVERAGE(X22-W22,W22-V22)),0),0)</f>
        <v>3.5</v>
      </c>
      <c r="AT22" s="44">
        <f>IF(AU22="S",IF(AND(Q22="1. Aceitou o programa",AB22="Realizada"),IFERROR(IF(AA22="",0,AA22-R22),0),0),0)</f>
        <v>0</v>
      </c>
      <c r="AU22" s="44" t="str">
        <f>_xlfn.XLOOKUP(U22,'Lista Suspensa'!$AA$20:$AA$23,'Lista Suspensa'!$AB$20:$AB$23,"N/A")</f>
        <v>S</v>
      </c>
    </row>
    <row r="23" spans="1:47" ht="12" hidden="1" customHeight="1">
      <c r="A23" s="86" t="s">
        <v>47</v>
      </c>
      <c r="B23" s="87">
        <v>46147</v>
      </c>
      <c r="C23" s="88" t="s">
        <v>48</v>
      </c>
      <c r="D23" s="88" t="s">
        <v>49</v>
      </c>
      <c r="E23" s="89">
        <v>82076445</v>
      </c>
      <c r="F23" s="218" t="s">
        <v>147</v>
      </c>
      <c r="G23" s="91">
        <v>25531611749</v>
      </c>
      <c r="H23" s="92">
        <v>13967</v>
      </c>
      <c r="I23" s="88">
        <v>88</v>
      </c>
      <c r="J23" s="88" t="s">
        <v>51</v>
      </c>
      <c r="K23" s="88" t="s">
        <v>80</v>
      </c>
      <c r="L23" s="88" t="s">
        <v>148</v>
      </c>
      <c r="M23" s="88"/>
      <c r="N23" s="88" t="s">
        <v>122</v>
      </c>
      <c r="O23" s="93" t="s">
        <v>149</v>
      </c>
      <c r="P23" s="94" t="s">
        <v>56</v>
      </c>
      <c r="Q23" s="142" t="s">
        <v>68</v>
      </c>
      <c r="R23" s="95">
        <v>46154</v>
      </c>
      <c r="S23" s="96"/>
      <c r="T23" s="96" t="s">
        <v>69</v>
      </c>
      <c r="U23" s="96" t="s">
        <v>70</v>
      </c>
      <c r="V23" s="92">
        <v>46153</v>
      </c>
      <c r="W23" s="92">
        <v>46154</v>
      </c>
      <c r="X23" s="92" t="s">
        <v>71</v>
      </c>
      <c r="Y23" s="97"/>
      <c r="Z23" s="88" t="s">
        <v>72</v>
      </c>
      <c r="AA23" s="96" t="s">
        <v>150</v>
      </c>
      <c r="AB23" s="88" t="s">
        <v>74</v>
      </c>
      <c r="AC23" s="119"/>
      <c r="AD23" s="88" t="s">
        <v>75</v>
      </c>
      <c r="AE23" s="88">
        <v>65</v>
      </c>
      <c r="AF23" s="98" t="s">
        <v>151</v>
      </c>
      <c r="AG23" s="98" t="s">
        <v>151</v>
      </c>
      <c r="AH23" s="98" t="s">
        <v>152</v>
      </c>
      <c r="AI23" s="99" t="s">
        <v>61</v>
      </c>
      <c r="AJ23" s="99" t="s">
        <v>61</v>
      </c>
      <c r="AK23" s="99" t="s">
        <v>61</v>
      </c>
      <c r="AL23" s="44" t="s">
        <v>62</v>
      </c>
      <c r="AM23" s="196" t="str">
        <f>MONTH(B23)&amp;"/"&amp;YEAR(B23)</f>
        <v>5/2026</v>
      </c>
      <c r="AN23" s="44">
        <f>WEEKNUM(B23)-WEEKNUM(EOMONTH(B23,-1)+1)+1</f>
        <v>2</v>
      </c>
      <c r="AO23" s="44" t="str">
        <f>MONTH(R23)&amp;"/"&amp;YEAR(R23)</f>
        <v>5/2026</v>
      </c>
      <c r="AP23" s="44">
        <f>WEEKNUM(R23)-WEEKNUM(EOMONTH(R23,-1)+1)+1</f>
        <v>3</v>
      </c>
      <c r="AQ23" s="44">
        <f>IF(AU23="S",IF(Q23="1. Aceitou o programa",R23-B23,0),0)</f>
        <v>7</v>
      </c>
      <c r="AR23" s="44">
        <f>IF(AU23="S",IF(AND(S23&lt;&gt;"",R23&lt;&gt;""),S23-R23,0),0)</f>
        <v>0</v>
      </c>
      <c r="AS23" s="44">
        <f>IF(AU23="S",IF(Q23="1. Aceitou o programa",IF(OR(X23="Não se Aplica",X23=""),IF(OR(W23="Não se Aplica",W23=""),0,W23-V23),AVERAGE(X23-W23,W23-V23)),0),0)</f>
        <v>1</v>
      </c>
      <c r="AT23" s="44">
        <f>IF(AU23="S",IF(AND(Q23="1. Aceitou o programa",AB23="Realizada"),IFERROR(IF(AA23="",0,AA23-R23),0),0),0)</f>
        <v>15.583333333335759</v>
      </c>
      <c r="AU23" s="44" t="str">
        <f>_xlfn.XLOOKUP(U23,'Lista Suspensa'!$AA$20:$AA$23,'Lista Suspensa'!$AB$20:$AB$23,"N/A")</f>
        <v>S</v>
      </c>
    </row>
    <row r="24" spans="1:47" ht="12" hidden="1" customHeight="1">
      <c r="A24" s="86" t="s">
        <v>47</v>
      </c>
      <c r="B24" s="87">
        <v>46147</v>
      </c>
      <c r="C24" s="88" t="s">
        <v>48</v>
      </c>
      <c r="D24" s="88" t="s">
        <v>49</v>
      </c>
      <c r="E24" s="89">
        <v>752386557</v>
      </c>
      <c r="F24" s="218" t="s">
        <v>153</v>
      </c>
      <c r="G24" s="91">
        <v>26935856787</v>
      </c>
      <c r="H24" s="92">
        <v>15402</v>
      </c>
      <c r="I24" s="88">
        <v>84</v>
      </c>
      <c r="J24" s="88" t="s">
        <v>51</v>
      </c>
      <c r="K24" s="88" t="s">
        <v>80</v>
      </c>
      <c r="L24" s="88" t="s">
        <v>87</v>
      </c>
      <c r="M24" s="88"/>
      <c r="N24" s="88" t="s">
        <v>54</v>
      </c>
      <c r="O24" s="93" t="s">
        <v>154</v>
      </c>
      <c r="P24" s="94" t="s">
        <v>56</v>
      </c>
      <c r="Q24" s="142" t="s">
        <v>68</v>
      </c>
      <c r="R24" s="95">
        <v>46154</v>
      </c>
      <c r="S24" s="96"/>
      <c r="T24" s="96" t="s">
        <v>69</v>
      </c>
      <c r="U24" s="96" t="s">
        <v>70</v>
      </c>
      <c r="V24" s="92">
        <v>46153</v>
      </c>
      <c r="W24" s="92">
        <v>46154</v>
      </c>
      <c r="X24" s="92" t="s">
        <v>71</v>
      </c>
      <c r="Y24" s="97"/>
      <c r="Z24" s="88" t="s">
        <v>72</v>
      </c>
      <c r="AA24" s="96" t="s">
        <v>155</v>
      </c>
      <c r="AB24" s="88" t="s">
        <v>74</v>
      </c>
      <c r="AC24" s="119">
        <v>46178</v>
      </c>
      <c r="AD24" s="88"/>
      <c r="AE24" s="88"/>
      <c r="AF24" s="98"/>
      <c r="AG24" s="98"/>
      <c r="AH24" s="98"/>
      <c r="AI24" s="99" t="s">
        <v>61</v>
      </c>
      <c r="AJ24" s="99" t="s">
        <v>61</v>
      </c>
      <c r="AK24" s="99" t="s">
        <v>61</v>
      </c>
      <c r="AL24" s="44" t="s">
        <v>62</v>
      </c>
      <c r="AM24" s="196" t="str">
        <f>MONTH(B24)&amp;"/"&amp;YEAR(B24)</f>
        <v>5/2026</v>
      </c>
      <c r="AN24" s="44">
        <f>WEEKNUM(B24)-WEEKNUM(EOMONTH(B24,-1)+1)+1</f>
        <v>2</v>
      </c>
      <c r="AO24" s="44" t="str">
        <f>MONTH(R24)&amp;"/"&amp;YEAR(R24)</f>
        <v>5/2026</v>
      </c>
      <c r="AP24" s="44">
        <f>WEEKNUM(R24)-WEEKNUM(EOMONTH(R24,-1)+1)+1</f>
        <v>3</v>
      </c>
      <c r="AQ24" s="44">
        <f>IF(AU24="S",IF(Q24="1. Aceitou o programa",R24-B24,0),0)</f>
        <v>7</v>
      </c>
      <c r="AR24" s="44">
        <f>IF(AU24="S",IF(AND(S24&lt;&gt;"",R24&lt;&gt;""),S24-R24,0),0)</f>
        <v>0</v>
      </c>
      <c r="AS24" s="44">
        <f>IF(AU24="S",IF(Q24="1. Aceitou o programa",IF(OR(X24="Não se Aplica",X24=""),IF(OR(W24="Não se Aplica",W24=""),0,W24-V24),AVERAGE(X24-W24,W24-V24)),0),0)</f>
        <v>1</v>
      </c>
      <c r="AT24" s="44">
        <f>IF(AU24="S",IF(AND(Q24="1. Aceitou o programa",AB24="Realizada"),IFERROR(IF(AA24="",0,AA24-R24),0),0),0)</f>
        <v>15.513888888890506</v>
      </c>
      <c r="AU24" s="44" t="str">
        <f>_xlfn.XLOOKUP(U24,'Lista Suspensa'!$AA$20:$AA$23,'Lista Suspensa'!$AB$20:$AB$23,"N/A")</f>
        <v>S</v>
      </c>
    </row>
    <row r="25" spans="1:47" ht="12" hidden="1" customHeight="1">
      <c r="A25" s="86" t="s">
        <v>47</v>
      </c>
      <c r="B25" s="87">
        <v>46147</v>
      </c>
      <c r="C25" s="88" t="s">
        <v>48</v>
      </c>
      <c r="D25" s="88" t="s">
        <v>49</v>
      </c>
      <c r="E25" s="89">
        <v>77579509</v>
      </c>
      <c r="F25" s="218" t="s">
        <v>156</v>
      </c>
      <c r="G25" s="91">
        <v>407425551</v>
      </c>
      <c r="H25" s="92">
        <v>29273</v>
      </c>
      <c r="I25" s="88">
        <v>46</v>
      </c>
      <c r="J25" s="88" t="s">
        <v>64</v>
      </c>
      <c r="K25" s="88" t="s">
        <v>52</v>
      </c>
      <c r="L25" s="88" t="s">
        <v>53</v>
      </c>
      <c r="M25" s="88"/>
      <c r="N25" s="88" t="s">
        <v>91</v>
      </c>
      <c r="O25" s="93" t="s">
        <v>157</v>
      </c>
      <c r="P25" s="94" t="s">
        <v>56</v>
      </c>
      <c r="Q25" s="142" t="s">
        <v>68</v>
      </c>
      <c r="R25" s="95">
        <v>46154</v>
      </c>
      <c r="S25" s="96"/>
      <c r="T25" s="96" t="s">
        <v>69</v>
      </c>
      <c r="U25" s="96" t="s">
        <v>70</v>
      </c>
      <c r="V25" s="92">
        <v>46153</v>
      </c>
      <c r="W25" s="92">
        <v>46154</v>
      </c>
      <c r="X25" s="92" t="s">
        <v>71</v>
      </c>
      <c r="Y25" s="97"/>
      <c r="Z25" s="88" t="s">
        <v>72</v>
      </c>
      <c r="AA25" s="96" t="s">
        <v>158</v>
      </c>
      <c r="AB25" s="88" t="s">
        <v>105</v>
      </c>
      <c r="AC25" s="119">
        <v>46176</v>
      </c>
      <c r="AD25" s="88"/>
      <c r="AE25" s="88"/>
      <c r="AF25" s="98"/>
      <c r="AG25" s="98"/>
      <c r="AH25" s="98"/>
      <c r="AI25" s="99" t="s">
        <v>61</v>
      </c>
      <c r="AJ25" s="99" t="s">
        <v>61</v>
      </c>
      <c r="AK25" s="99" t="s">
        <v>61</v>
      </c>
      <c r="AL25" s="44" t="s">
        <v>62</v>
      </c>
      <c r="AM25" s="196" t="str">
        <f>MONTH(B25)&amp;"/"&amp;YEAR(B25)</f>
        <v>5/2026</v>
      </c>
      <c r="AN25" s="44">
        <f>WEEKNUM(B25)-WEEKNUM(EOMONTH(B25,-1)+1)+1</f>
        <v>2</v>
      </c>
      <c r="AO25" s="44" t="str">
        <f>MONTH(R25)&amp;"/"&amp;YEAR(R25)</f>
        <v>5/2026</v>
      </c>
      <c r="AP25" s="44">
        <f>WEEKNUM(R25)-WEEKNUM(EOMONTH(R25,-1)+1)+1</f>
        <v>3</v>
      </c>
      <c r="AQ25" s="44">
        <f>IF(AU25="S",IF(Q25="1. Aceitou o programa",R25-B25,0),0)</f>
        <v>7</v>
      </c>
      <c r="AR25" s="44">
        <f>IF(AU25="S",IF(AND(S25&lt;&gt;"",R25&lt;&gt;""),S25-R25,0),0)</f>
        <v>0</v>
      </c>
      <c r="AS25" s="44">
        <f>IF(AU25="S",IF(Q25="1. Aceitou o programa",IF(OR(X25="Não se Aplica",X25=""),IF(OR(W25="Não se Aplica",W25=""),0,W25-V25),AVERAGE(X25-W25,W25-V25)),0),0)</f>
        <v>1</v>
      </c>
      <c r="AT25" s="44">
        <f>IF(AU25="S",IF(AND(Q25="1. Aceitou o programa",AB25="Realizada"),IFERROR(IF(AA25="",0,AA25-R25),0),0),0)</f>
        <v>0</v>
      </c>
      <c r="AU25" s="44" t="str">
        <f>_xlfn.XLOOKUP(U25,'Lista Suspensa'!$AA$20:$AA$23,'Lista Suspensa'!$AB$20:$AB$23,"N/A")</f>
        <v>S</v>
      </c>
    </row>
    <row r="26" spans="1:47" ht="12" hidden="1" customHeight="1">
      <c r="A26" s="86" t="s">
        <v>47</v>
      </c>
      <c r="B26" s="87">
        <v>46147</v>
      </c>
      <c r="C26" s="88" t="s">
        <v>48</v>
      </c>
      <c r="D26" s="88" t="s">
        <v>49</v>
      </c>
      <c r="E26" s="89">
        <v>74741620</v>
      </c>
      <c r="F26" s="218" t="s">
        <v>159</v>
      </c>
      <c r="G26" s="91">
        <v>26131407800</v>
      </c>
      <c r="H26" s="92">
        <v>28514</v>
      </c>
      <c r="I26" s="88">
        <v>48</v>
      </c>
      <c r="J26" s="88" t="s">
        <v>51</v>
      </c>
      <c r="K26" s="88" t="s">
        <v>52</v>
      </c>
      <c r="L26" s="88" t="s">
        <v>53</v>
      </c>
      <c r="M26" s="88"/>
      <c r="N26" s="88" t="s">
        <v>110</v>
      </c>
      <c r="O26" s="93" t="s">
        <v>160</v>
      </c>
      <c r="P26" s="94" t="s">
        <v>56</v>
      </c>
      <c r="Q26" s="142" t="s">
        <v>68</v>
      </c>
      <c r="R26" s="95">
        <v>46154</v>
      </c>
      <c r="S26" s="96"/>
      <c r="T26" s="96" t="s">
        <v>69</v>
      </c>
      <c r="U26" s="96" t="s">
        <v>70</v>
      </c>
      <c r="V26" s="92">
        <v>46153</v>
      </c>
      <c r="W26" s="92">
        <v>46154</v>
      </c>
      <c r="X26" s="92" t="s">
        <v>71</v>
      </c>
      <c r="Y26" s="97"/>
      <c r="Z26" s="88" t="s">
        <v>72</v>
      </c>
      <c r="AA26" s="96">
        <v>46162.472222222219</v>
      </c>
      <c r="AB26" s="88"/>
      <c r="AC26" s="119"/>
      <c r="AD26" s="88"/>
      <c r="AE26" s="88"/>
      <c r="AF26" s="98"/>
      <c r="AG26" s="98"/>
      <c r="AH26" s="98"/>
      <c r="AI26" s="99" t="s">
        <v>61</v>
      </c>
      <c r="AJ26" s="99" t="s">
        <v>61</v>
      </c>
      <c r="AK26" s="99" t="s">
        <v>61</v>
      </c>
      <c r="AL26" s="44" t="s">
        <v>62</v>
      </c>
      <c r="AM26" s="196" t="str">
        <f>MONTH(B26)&amp;"/"&amp;YEAR(B26)</f>
        <v>5/2026</v>
      </c>
      <c r="AN26" s="44">
        <f>WEEKNUM(B26)-WEEKNUM(EOMONTH(B26,-1)+1)+1</f>
        <v>2</v>
      </c>
      <c r="AO26" s="44" t="str">
        <f>MONTH(R26)&amp;"/"&amp;YEAR(R26)</f>
        <v>5/2026</v>
      </c>
      <c r="AP26" s="44">
        <f>WEEKNUM(R26)-WEEKNUM(EOMONTH(R26,-1)+1)+1</f>
        <v>3</v>
      </c>
      <c r="AQ26" s="44">
        <f>IF(AU26="S",IF(Q26="1. Aceitou o programa",R26-B26,0),0)</f>
        <v>7</v>
      </c>
      <c r="AR26" s="44">
        <f>IF(AU26="S",IF(AND(S26&lt;&gt;"",R26&lt;&gt;""),S26-R26,0),0)</f>
        <v>0</v>
      </c>
      <c r="AS26" s="44">
        <f>IF(AU26="S",IF(Q26="1. Aceitou o programa",IF(OR(X26="Não se Aplica",X26=""),IF(OR(W26="Não se Aplica",W26=""),0,W26-V26),AVERAGE(X26-W26,W26-V26)),0),0)</f>
        <v>1</v>
      </c>
      <c r="AT26" s="44">
        <f>IF(AU26="S",IF(AND(Q26="1. Aceitou o programa",AB26="Realizada"),IFERROR(IF(AA26="",0,AA26-R26),0),0),0)</f>
        <v>0</v>
      </c>
      <c r="AU26" s="44" t="str">
        <f>_xlfn.XLOOKUP(U26,'Lista Suspensa'!$AA$20:$AA$23,'Lista Suspensa'!$AB$20:$AB$23,"N/A")</f>
        <v>S</v>
      </c>
    </row>
    <row r="27" spans="1:47" ht="12" hidden="1" customHeight="1">
      <c r="A27" s="86" t="s">
        <v>47</v>
      </c>
      <c r="B27" s="87">
        <v>46147</v>
      </c>
      <c r="C27" s="88" t="s">
        <v>48</v>
      </c>
      <c r="D27" s="88" t="s">
        <v>49</v>
      </c>
      <c r="E27" s="89">
        <v>93148764</v>
      </c>
      <c r="F27" s="218" t="s">
        <v>161</v>
      </c>
      <c r="G27" s="91">
        <v>5361950726</v>
      </c>
      <c r="H27" s="92">
        <v>28913</v>
      </c>
      <c r="I27" s="88">
        <v>47</v>
      </c>
      <c r="J27" s="88" t="s">
        <v>51</v>
      </c>
      <c r="K27" s="88" t="s">
        <v>80</v>
      </c>
      <c r="L27" s="88" t="s">
        <v>142</v>
      </c>
      <c r="M27" s="88"/>
      <c r="N27" s="88" t="s">
        <v>162</v>
      </c>
      <c r="O27" s="93" t="s">
        <v>163</v>
      </c>
      <c r="P27" s="94" t="s">
        <v>56</v>
      </c>
      <c r="Q27" s="142" t="s">
        <v>68</v>
      </c>
      <c r="R27" s="95">
        <v>46153</v>
      </c>
      <c r="S27" s="96"/>
      <c r="T27" s="96" t="s">
        <v>69</v>
      </c>
      <c r="U27" s="96" t="s">
        <v>70</v>
      </c>
      <c r="V27" s="92">
        <v>46153</v>
      </c>
      <c r="W27" s="92" t="s">
        <v>71</v>
      </c>
      <c r="X27" s="92" t="s">
        <v>71</v>
      </c>
      <c r="Y27" s="97"/>
      <c r="Z27" s="88" t="s">
        <v>72</v>
      </c>
      <c r="AA27" s="96" t="s">
        <v>164</v>
      </c>
      <c r="AB27" s="88" t="s">
        <v>74</v>
      </c>
      <c r="AC27" s="119"/>
      <c r="AD27" s="88" t="s">
        <v>75</v>
      </c>
      <c r="AE27" s="88">
        <v>61</v>
      </c>
      <c r="AF27" s="98" t="s">
        <v>85</v>
      </c>
      <c r="AG27" s="98" t="s">
        <v>85</v>
      </c>
      <c r="AH27" s="98" t="s">
        <v>77</v>
      </c>
      <c r="AI27" s="99" t="s">
        <v>61</v>
      </c>
      <c r="AJ27" s="99" t="s">
        <v>61</v>
      </c>
      <c r="AK27" s="99" t="s">
        <v>61</v>
      </c>
      <c r="AL27" s="44" t="s">
        <v>62</v>
      </c>
      <c r="AM27" s="196" t="str">
        <f>MONTH(B27)&amp;"/"&amp;YEAR(B27)</f>
        <v>5/2026</v>
      </c>
      <c r="AN27" s="44">
        <f>WEEKNUM(B27)-WEEKNUM(EOMONTH(B27,-1)+1)+1</f>
        <v>2</v>
      </c>
      <c r="AO27" s="44" t="str">
        <f>MONTH(R27)&amp;"/"&amp;YEAR(R27)</f>
        <v>5/2026</v>
      </c>
      <c r="AP27" s="44">
        <f>WEEKNUM(R27)-WEEKNUM(EOMONTH(R27,-1)+1)+1</f>
        <v>3</v>
      </c>
      <c r="AQ27" s="44">
        <f>IF(AU27="S",IF(Q27="1. Aceitou o programa",R27-B27,0),0)</f>
        <v>6</v>
      </c>
      <c r="AR27" s="44">
        <f>IF(AU27="S",IF(AND(S27&lt;&gt;"",R27&lt;&gt;""),S27-R27,0),0)</f>
        <v>0</v>
      </c>
      <c r="AS27" s="44">
        <f>IF(AU27="S",IF(Q27="1. Aceitou o programa",IF(OR(X27="Não se Aplica",X27=""),IF(OR(W27="Não se Aplica",W27=""),0,W27-V27),AVERAGE(X27-W27,W27-V27)),0),0)</f>
        <v>0</v>
      </c>
      <c r="AT27" s="44">
        <f>IF(AU27="S",IF(AND(Q27="1. Aceitou o programa",AB27="Realizada"),IFERROR(IF(AA27="",0,AA27-R27),0),0),0)</f>
        <v>15.625</v>
      </c>
      <c r="AU27" s="44" t="str">
        <f>_xlfn.XLOOKUP(U27,'Lista Suspensa'!$AA$20:$AA$23,'Lista Suspensa'!$AB$20:$AB$23,"N/A")</f>
        <v>S</v>
      </c>
    </row>
    <row r="28" spans="1:47" ht="12" hidden="1" customHeight="1">
      <c r="A28" s="86" t="s">
        <v>47</v>
      </c>
      <c r="B28" s="87">
        <v>46147</v>
      </c>
      <c r="C28" s="88" t="s">
        <v>48</v>
      </c>
      <c r="D28" s="88" t="s">
        <v>49</v>
      </c>
      <c r="E28" s="91">
        <v>93842723</v>
      </c>
      <c r="F28" s="218" t="s">
        <v>165</v>
      </c>
      <c r="G28" s="91">
        <v>8007911774</v>
      </c>
      <c r="H28" s="92">
        <v>28577</v>
      </c>
      <c r="I28" s="88">
        <v>48</v>
      </c>
      <c r="J28" s="88" t="s">
        <v>51</v>
      </c>
      <c r="K28" s="88" t="s">
        <v>80</v>
      </c>
      <c r="L28" s="88" t="s">
        <v>87</v>
      </c>
      <c r="M28" s="88"/>
      <c r="N28" s="88" t="s">
        <v>94</v>
      </c>
      <c r="O28" s="93" t="s">
        <v>166</v>
      </c>
      <c r="P28" s="94" t="s">
        <v>56</v>
      </c>
      <c r="Q28" s="142" t="s">
        <v>68</v>
      </c>
      <c r="R28" s="95">
        <v>46164</v>
      </c>
      <c r="S28" s="96"/>
      <c r="T28" s="96" t="s">
        <v>69</v>
      </c>
      <c r="U28" s="96" t="s">
        <v>70</v>
      </c>
      <c r="V28" s="92">
        <v>46153</v>
      </c>
      <c r="W28" s="92">
        <v>46154</v>
      </c>
      <c r="X28" s="92">
        <v>46164</v>
      </c>
      <c r="Y28" s="97"/>
      <c r="Z28" s="88" t="s">
        <v>72</v>
      </c>
      <c r="AA28" s="96">
        <v>46176</v>
      </c>
      <c r="AB28" s="88"/>
      <c r="AC28" s="119"/>
      <c r="AD28" s="88"/>
      <c r="AE28" s="88"/>
      <c r="AF28" s="98"/>
      <c r="AG28" s="98"/>
      <c r="AH28" s="98"/>
      <c r="AI28" s="99" t="s">
        <v>47</v>
      </c>
      <c r="AJ28" s="99" t="s">
        <v>61</v>
      </c>
      <c r="AK28" s="99" t="s">
        <v>61</v>
      </c>
      <c r="AL28" s="44" t="s">
        <v>62</v>
      </c>
      <c r="AM28" s="196" t="str">
        <f>MONTH(B28)&amp;"/"&amp;YEAR(B28)</f>
        <v>5/2026</v>
      </c>
      <c r="AN28" s="44">
        <f>WEEKNUM(B28)-WEEKNUM(EOMONTH(B28,-1)+1)+1</f>
        <v>2</v>
      </c>
      <c r="AO28" s="44" t="str">
        <f>MONTH(R28)&amp;"/"&amp;YEAR(R28)</f>
        <v>5/2026</v>
      </c>
      <c r="AP28" s="44">
        <f>WEEKNUM(R28)-WEEKNUM(EOMONTH(R28,-1)+1)+1</f>
        <v>4</v>
      </c>
      <c r="AQ28" s="44">
        <f>IF(AU28="S",IF(Q28="1. Aceitou o programa",R28-B28,0),0)</f>
        <v>17</v>
      </c>
      <c r="AR28" s="44">
        <f>IF(AU28="S",IF(AND(S28&lt;&gt;"",R28&lt;&gt;""),S28-R28,0),0)</f>
        <v>0</v>
      </c>
      <c r="AS28" s="44">
        <f>IF(AU28="S",IF(Q28="1. Aceitou o programa",IF(OR(X28="Não se Aplica",X28=""),IF(OR(W28="Não se Aplica",W28=""),0,W28-V28),AVERAGE(X28-W28,W28-V28)),0),0)</f>
        <v>5.5</v>
      </c>
      <c r="AT28" s="44">
        <f>IF(AU28="S",IF(AND(Q28="1. Aceitou o programa",AB28="Realizada"),IFERROR(IF(AA28="",0,AA28-R28),0),0),0)</f>
        <v>0</v>
      </c>
      <c r="AU28" s="44" t="str">
        <f>_xlfn.XLOOKUP(U28,'Lista Suspensa'!$AA$20:$AA$23,'Lista Suspensa'!$AB$20:$AB$23,"N/A")</f>
        <v>S</v>
      </c>
    </row>
    <row r="29" spans="1:47" ht="12" hidden="1" customHeight="1">
      <c r="A29" s="86" t="s">
        <v>47</v>
      </c>
      <c r="B29" s="87">
        <v>46147</v>
      </c>
      <c r="C29" s="88" t="s">
        <v>48</v>
      </c>
      <c r="D29" s="88" t="s">
        <v>49</v>
      </c>
      <c r="E29" s="89">
        <v>84870507</v>
      </c>
      <c r="F29" s="218" t="s">
        <v>167</v>
      </c>
      <c r="G29" s="91">
        <v>83833790300</v>
      </c>
      <c r="H29" s="92">
        <v>29326</v>
      </c>
      <c r="I29" s="88">
        <v>46</v>
      </c>
      <c r="J29" s="88" t="s">
        <v>64</v>
      </c>
      <c r="K29" s="88" t="s">
        <v>52</v>
      </c>
      <c r="L29" s="88" t="s">
        <v>53</v>
      </c>
      <c r="M29" s="88"/>
      <c r="N29" s="88" t="s">
        <v>110</v>
      </c>
      <c r="O29" s="93" t="s">
        <v>168</v>
      </c>
      <c r="P29" s="94" t="s">
        <v>56</v>
      </c>
      <c r="Q29" s="142" t="s">
        <v>68</v>
      </c>
      <c r="R29" s="95">
        <v>46154</v>
      </c>
      <c r="S29" s="96"/>
      <c r="T29" s="96" t="s">
        <v>69</v>
      </c>
      <c r="U29" s="96" t="s">
        <v>70</v>
      </c>
      <c r="V29" s="92">
        <v>46153</v>
      </c>
      <c r="W29" s="92">
        <v>46154</v>
      </c>
      <c r="X29" s="92" t="s">
        <v>71</v>
      </c>
      <c r="Y29" s="97"/>
      <c r="Z29" s="88" t="s">
        <v>72</v>
      </c>
      <c r="AA29" s="96" t="s">
        <v>169</v>
      </c>
      <c r="AB29" s="88" t="s">
        <v>74</v>
      </c>
      <c r="AC29" s="119"/>
      <c r="AD29" s="88" t="s">
        <v>97</v>
      </c>
      <c r="AE29" s="88">
        <v>56</v>
      </c>
      <c r="AF29" s="98" t="s">
        <v>170</v>
      </c>
      <c r="AG29" s="98" t="s">
        <v>170</v>
      </c>
      <c r="AH29" s="98" t="s">
        <v>77</v>
      </c>
      <c r="AI29" s="99" t="s">
        <v>61</v>
      </c>
      <c r="AJ29" s="99" t="s">
        <v>61</v>
      </c>
      <c r="AK29" s="99" t="s">
        <v>61</v>
      </c>
      <c r="AL29" s="44" t="s">
        <v>62</v>
      </c>
      <c r="AM29" s="196" t="str">
        <f>MONTH(B29)&amp;"/"&amp;YEAR(B29)</f>
        <v>5/2026</v>
      </c>
      <c r="AN29" s="44">
        <f>WEEKNUM(B29)-WEEKNUM(EOMONTH(B29,-1)+1)+1</f>
        <v>2</v>
      </c>
      <c r="AO29" s="44" t="str">
        <f>MONTH(R29)&amp;"/"&amp;YEAR(R29)</f>
        <v>5/2026</v>
      </c>
      <c r="AP29" s="44">
        <f>WEEKNUM(R29)-WEEKNUM(EOMONTH(R29,-1)+1)+1</f>
        <v>3</v>
      </c>
      <c r="AQ29" s="44">
        <f>IF(AU29="S",IF(Q29="1. Aceitou o programa",R29-B29,0),0)</f>
        <v>7</v>
      </c>
      <c r="AR29" s="44">
        <f>IF(AU29="S",IF(AND(S29&lt;&gt;"",R29&lt;&gt;""),S29-R29,0),0)</f>
        <v>0</v>
      </c>
      <c r="AS29" s="44">
        <f>IF(AU29="S",IF(Q29="1. Aceitou o programa",IF(OR(X29="Não se Aplica",X29=""),IF(OR(W29="Não se Aplica",W29=""),0,W29-V29),AVERAGE(X29-W29,W29-V29)),0),0)</f>
        <v>1</v>
      </c>
      <c r="AT29" s="44">
        <f>IF(AU29="S",IF(AND(Q29="1. Aceitou o programa",AB29="Realizada"),IFERROR(IF(AA29="",0,AA29-R29),0),0),0)</f>
        <v>14.611111111109494</v>
      </c>
      <c r="AU29" s="44" t="str">
        <f>_xlfn.XLOOKUP(U29,'Lista Suspensa'!$AA$20:$AA$23,'Lista Suspensa'!$AB$20:$AB$23,"N/A")</f>
        <v>S</v>
      </c>
    </row>
    <row r="30" spans="1:47" ht="12" hidden="1" customHeight="1">
      <c r="A30" s="86" t="s">
        <v>47</v>
      </c>
      <c r="B30" s="87">
        <v>46147</v>
      </c>
      <c r="C30" s="88" t="s">
        <v>48</v>
      </c>
      <c r="D30" s="88" t="s">
        <v>49</v>
      </c>
      <c r="E30" s="89">
        <v>93955304</v>
      </c>
      <c r="F30" s="218" t="s">
        <v>171</v>
      </c>
      <c r="G30" s="91">
        <v>39140350800</v>
      </c>
      <c r="H30" s="92">
        <v>15531</v>
      </c>
      <c r="I30" s="88">
        <v>83</v>
      </c>
      <c r="J30" s="88" t="s">
        <v>51</v>
      </c>
      <c r="K30" s="88" t="s">
        <v>52</v>
      </c>
      <c r="L30" s="88" t="s">
        <v>172</v>
      </c>
      <c r="M30" s="88"/>
      <c r="N30" s="88" t="s">
        <v>91</v>
      </c>
      <c r="O30" s="93" t="s">
        <v>173</v>
      </c>
      <c r="P30" s="94" t="s">
        <v>56</v>
      </c>
      <c r="Q30" s="142" t="s">
        <v>57</v>
      </c>
      <c r="R30" s="95"/>
      <c r="S30" s="96">
        <v>46170</v>
      </c>
      <c r="T30" s="96" t="s">
        <v>58</v>
      </c>
      <c r="U30" s="96" t="s">
        <v>59</v>
      </c>
      <c r="V30" s="92">
        <v>46153</v>
      </c>
      <c r="W30" s="92">
        <v>46154</v>
      </c>
      <c r="X30" s="92">
        <v>46164</v>
      </c>
      <c r="Y30" s="97"/>
      <c r="Z30" s="88"/>
      <c r="AA30" s="96"/>
      <c r="AB30" s="88"/>
      <c r="AC30" s="119"/>
      <c r="AD30" s="88"/>
      <c r="AE30" s="88"/>
      <c r="AF30" s="98"/>
      <c r="AG30" s="98"/>
      <c r="AH30" s="98"/>
      <c r="AI30" s="99" t="s">
        <v>47</v>
      </c>
      <c r="AJ30" s="99"/>
      <c r="AK30" s="99"/>
      <c r="AL30" s="44" t="s">
        <v>62</v>
      </c>
      <c r="AM30" s="196" t="str">
        <f>MONTH(B30)&amp;"/"&amp;YEAR(B30)</f>
        <v>5/2026</v>
      </c>
      <c r="AN30" s="44">
        <f>WEEKNUM(B30)-WEEKNUM(EOMONTH(B30,-1)+1)+1</f>
        <v>2</v>
      </c>
      <c r="AO30" s="44" t="str">
        <f>MONTH(R30)&amp;"/"&amp;YEAR(R30)</f>
        <v>1/1900</v>
      </c>
      <c r="AP30" s="44" t="e">
        <f>WEEKNUM(R30)-WEEKNUM(EOMONTH(R30,-1)+1)+1</f>
        <v>#NUM!</v>
      </c>
      <c r="AQ30" s="44">
        <f>IF(AU30="S",IF(Q30="1. Aceitou o programa",R30-B30,0),0)</f>
        <v>0</v>
      </c>
      <c r="AR30" s="44">
        <f>IF(AU30="S",IF(AND(S30&lt;&gt;"",R30&lt;&gt;""),S30-R30,0),0)</f>
        <v>0</v>
      </c>
      <c r="AS30" s="44">
        <f>IF(AU30="S",IF(Q30="1. Aceitou o programa",IF(OR(X30="Não se Aplica",X30=""),IF(OR(W30="Não se Aplica",W30=""),0,W30-V30),AVERAGE(X30-W30,W30-V30)),0),0)</f>
        <v>0</v>
      </c>
      <c r="AT30" s="44">
        <f>IF(AU30="S",IF(AND(Q30="1. Aceitou o programa",AB30="Realizada"),IFERROR(IF(AA30="",0,AA30-R30),0),0),0)</f>
        <v>0</v>
      </c>
      <c r="AU30" s="44" t="str">
        <f>_xlfn.XLOOKUP(U30,'Lista Suspensa'!$AA$20:$AA$23,'Lista Suspensa'!$AB$20:$AB$23,"N/A")</f>
        <v>S</v>
      </c>
    </row>
    <row r="31" spans="1:47" ht="12" hidden="1" customHeight="1">
      <c r="A31" s="86" t="s">
        <v>47</v>
      </c>
      <c r="B31" s="87">
        <v>46147</v>
      </c>
      <c r="C31" s="88" t="s">
        <v>48</v>
      </c>
      <c r="D31" s="88" t="s">
        <v>49</v>
      </c>
      <c r="E31" s="89">
        <v>79002987</v>
      </c>
      <c r="F31" s="218" t="s">
        <v>174</v>
      </c>
      <c r="G31" s="91">
        <v>49539655749</v>
      </c>
      <c r="H31" s="92">
        <v>21090</v>
      </c>
      <c r="I31" s="88">
        <v>68</v>
      </c>
      <c r="J31" s="88" t="s">
        <v>64</v>
      </c>
      <c r="K31" s="88" t="s">
        <v>80</v>
      </c>
      <c r="L31" s="88" t="s">
        <v>87</v>
      </c>
      <c r="M31" s="88"/>
      <c r="N31" s="88" t="s">
        <v>91</v>
      </c>
      <c r="O31" s="93" t="s">
        <v>175</v>
      </c>
      <c r="P31" s="94" t="s">
        <v>56</v>
      </c>
      <c r="Q31" s="142" t="s">
        <v>68</v>
      </c>
      <c r="R31" s="95">
        <v>46154</v>
      </c>
      <c r="S31" s="96"/>
      <c r="T31" s="96" t="s">
        <v>69</v>
      </c>
      <c r="U31" s="96" t="s">
        <v>70</v>
      </c>
      <c r="V31" s="92">
        <v>46153</v>
      </c>
      <c r="W31" s="92">
        <v>46154</v>
      </c>
      <c r="X31" s="92" t="s">
        <v>71</v>
      </c>
      <c r="Y31" s="97"/>
      <c r="Z31" s="88" t="s">
        <v>72</v>
      </c>
      <c r="AA31" s="96">
        <v>46115.458333333336</v>
      </c>
      <c r="AB31" s="88" t="s">
        <v>74</v>
      </c>
      <c r="AC31" s="119"/>
      <c r="AD31" s="88"/>
      <c r="AE31" s="88"/>
      <c r="AF31" s="98"/>
      <c r="AG31" s="98"/>
      <c r="AH31" s="98"/>
      <c r="AI31" s="99" t="s">
        <v>61</v>
      </c>
      <c r="AJ31" s="99" t="s">
        <v>61</v>
      </c>
      <c r="AK31" s="99" t="s">
        <v>61</v>
      </c>
      <c r="AL31" s="44" t="s">
        <v>62</v>
      </c>
      <c r="AM31" s="196" t="str">
        <f>MONTH(B31)&amp;"/"&amp;YEAR(B31)</f>
        <v>5/2026</v>
      </c>
      <c r="AN31" s="44">
        <f>WEEKNUM(B31)-WEEKNUM(EOMONTH(B31,-1)+1)+1</f>
        <v>2</v>
      </c>
      <c r="AO31" s="44" t="str">
        <f>MONTH(R31)&amp;"/"&amp;YEAR(R31)</f>
        <v>5/2026</v>
      </c>
      <c r="AP31" s="44">
        <f>WEEKNUM(R31)-WEEKNUM(EOMONTH(R31,-1)+1)+1</f>
        <v>3</v>
      </c>
      <c r="AQ31" s="44">
        <f>IF(AU31="S",IF(Q31="1. Aceitou o programa",R31-B31,0),0)</f>
        <v>7</v>
      </c>
      <c r="AR31" s="44">
        <f>IF(AU31="S",IF(AND(S31&lt;&gt;"",R31&lt;&gt;""),S31-R31,0),0)</f>
        <v>0</v>
      </c>
      <c r="AS31" s="44">
        <f>IF(AU31="S",IF(Q31="1. Aceitou o programa",IF(OR(X31="Não se Aplica",X31=""),IF(OR(W31="Não se Aplica",W31=""),0,W31-V31),AVERAGE(X31-W31,W31-V31)),0),0)</f>
        <v>1</v>
      </c>
      <c r="AT31" s="44">
        <f>IF(AU31="S",IF(AND(Q31="1. Aceitou o programa",AB31="Realizada"),IFERROR(IF(AA31="",0,AA31-R31),0),0),0)</f>
        <v>-38.541666666664241</v>
      </c>
      <c r="AU31" s="44" t="str">
        <f>_xlfn.XLOOKUP(U31,'Lista Suspensa'!$AA$20:$AA$23,'Lista Suspensa'!$AB$20:$AB$23,"N/A")</f>
        <v>S</v>
      </c>
    </row>
    <row r="32" spans="1:47" ht="12" hidden="1" customHeight="1">
      <c r="A32" s="86" t="s">
        <v>47</v>
      </c>
      <c r="B32" s="87">
        <v>46147</v>
      </c>
      <c r="C32" s="88" t="s">
        <v>48</v>
      </c>
      <c r="D32" s="88" t="s">
        <v>49</v>
      </c>
      <c r="E32" s="89">
        <v>85502107</v>
      </c>
      <c r="F32" s="218" t="s">
        <v>176</v>
      </c>
      <c r="G32" s="91">
        <v>40952657791</v>
      </c>
      <c r="H32" s="92">
        <v>21130</v>
      </c>
      <c r="I32" s="88">
        <v>68</v>
      </c>
      <c r="J32" s="88" t="s">
        <v>64</v>
      </c>
      <c r="K32" s="88" t="s">
        <v>80</v>
      </c>
      <c r="L32" s="88" t="s">
        <v>87</v>
      </c>
      <c r="M32" s="88"/>
      <c r="N32" s="88" t="s">
        <v>94</v>
      </c>
      <c r="O32" s="93" t="s">
        <v>177</v>
      </c>
      <c r="P32" s="94" t="s">
        <v>56</v>
      </c>
      <c r="Q32" s="142" t="s">
        <v>68</v>
      </c>
      <c r="R32" s="95">
        <v>46153</v>
      </c>
      <c r="S32" s="96"/>
      <c r="T32" s="96" t="s">
        <v>69</v>
      </c>
      <c r="U32" s="96" t="s">
        <v>70</v>
      </c>
      <c r="V32" s="92">
        <v>46153</v>
      </c>
      <c r="W32" s="92" t="s">
        <v>71</v>
      </c>
      <c r="X32" s="92" t="s">
        <v>71</v>
      </c>
      <c r="Y32" s="97"/>
      <c r="Z32" s="88" t="s">
        <v>72</v>
      </c>
      <c r="AA32" s="96" t="s">
        <v>178</v>
      </c>
      <c r="AB32" s="88" t="s">
        <v>74</v>
      </c>
      <c r="AC32" s="119"/>
      <c r="AD32" s="88" t="s">
        <v>75</v>
      </c>
      <c r="AE32" s="88"/>
      <c r="AF32" s="98" t="s">
        <v>151</v>
      </c>
      <c r="AG32" s="98" t="s">
        <v>151</v>
      </c>
      <c r="AH32" s="98" t="s">
        <v>77</v>
      </c>
      <c r="AI32" s="99" t="s">
        <v>61</v>
      </c>
      <c r="AJ32" s="99" t="s">
        <v>61</v>
      </c>
      <c r="AK32" s="99" t="s">
        <v>61</v>
      </c>
      <c r="AL32" s="44" t="s">
        <v>62</v>
      </c>
      <c r="AM32" s="196" t="str">
        <f>MONTH(B32)&amp;"/"&amp;YEAR(B32)</f>
        <v>5/2026</v>
      </c>
      <c r="AN32" s="44">
        <f>WEEKNUM(B32)-WEEKNUM(EOMONTH(B32,-1)+1)+1</f>
        <v>2</v>
      </c>
      <c r="AO32" s="44" t="str">
        <f>MONTH(R32)&amp;"/"&amp;YEAR(R32)</f>
        <v>5/2026</v>
      </c>
      <c r="AP32" s="44">
        <f>WEEKNUM(R32)-WEEKNUM(EOMONTH(R32,-1)+1)+1</f>
        <v>3</v>
      </c>
      <c r="AQ32" s="44">
        <f>IF(AU32="S",IF(Q32="1. Aceitou o programa",R32-B32,0),0)</f>
        <v>6</v>
      </c>
      <c r="AR32" s="44">
        <f>IF(AU32="S",IF(AND(S32&lt;&gt;"",R32&lt;&gt;""),S32-R32,0),0)</f>
        <v>0</v>
      </c>
      <c r="AS32" s="44">
        <f>IF(AU32="S",IF(Q32="1. Aceitou o programa",IF(OR(X32="Não se Aplica",X32=""),IF(OR(W32="Não se Aplica",W32=""),0,W32-V32),AVERAGE(X32-W32,W32-V32)),0),0)</f>
        <v>0</v>
      </c>
      <c r="AT32" s="44">
        <f>IF(AU32="S",IF(AND(Q32="1. Aceitou o programa",AB32="Realizada"),IFERROR(IF(AA32="",0,AA32-R32),0),0),0)</f>
        <v>10.444444444445253</v>
      </c>
      <c r="AU32" s="44" t="str">
        <f>_xlfn.XLOOKUP(U32,'Lista Suspensa'!$AA$20:$AA$23,'Lista Suspensa'!$AB$20:$AB$23,"N/A")</f>
        <v>S</v>
      </c>
    </row>
    <row r="33" spans="1:47" ht="12" hidden="1" customHeight="1">
      <c r="A33" s="86" t="s">
        <v>47</v>
      </c>
      <c r="B33" s="87">
        <v>46147</v>
      </c>
      <c r="C33" s="88" t="s">
        <v>48</v>
      </c>
      <c r="D33" s="88" t="s">
        <v>49</v>
      </c>
      <c r="E33" s="89">
        <v>82135346</v>
      </c>
      <c r="F33" s="218" t="s">
        <v>179</v>
      </c>
      <c r="G33" s="91">
        <v>10131725742</v>
      </c>
      <c r="H33" s="92">
        <v>29486</v>
      </c>
      <c r="I33" s="88">
        <v>45</v>
      </c>
      <c r="J33" s="88" t="s">
        <v>64</v>
      </c>
      <c r="K33" s="88" t="s">
        <v>80</v>
      </c>
      <c r="L33" s="88" t="s">
        <v>87</v>
      </c>
      <c r="M33" s="88"/>
      <c r="N33" s="88" t="s">
        <v>91</v>
      </c>
      <c r="O33" s="93" t="s">
        <v>180</v>
      </c>
      <c r="P33" s="94" t="s">
        <v>56</v>
      </c>
      <c r="Q33" s="142" t="s">
        <v>68</v>
      </c>
      <c r="R33" s="95">
        <v>46170</v>
      </c>
      <c r="S33" s="96"/>
      <c r="T33" s="96" t="s">
        <v>69</v>
      </c>
      <c r="U33" s="96" t="s">
        <v>70</v>
      </c>
      <c r="V33" s="92">
        <v>46153</v>
      </c>
      <c r="W33" s="92">
        <v>46154</v>
      </c>
      <c r="X33" s="92">
        <v>46164</v>
      </c>
      <c r="Y33" s="97"/>
      <c r="Z33" s="88" t="s">
        <v>72</v>
      </c>
      <c r="AA33" s="96">
        <v>46174.472222222219</v>
      </c>
      <c r="AB33" s="88" t="s">
        <v>105</v>
      </c>
      <c r="AC33" s="119">
        <v>46188</v>
      </c>
      <c r="AD33" s="88"/>
      <c r="AE33" s="88"/>
      <c r="AF33" s="98"/>
      <c r="AG33" s="98"/>
      <c r="AH33" s="98"/>
      <c r="AI33" s="99" t="s">
        <v>47</v>
      </c>
      <c r="AJ33" s="99" t="s">
        <v>61</v>
      </c>
      <c r="AK33" s="99" t="s">
        <v>78</v>
      </c>
      <c r="AL33" s="44" t="s">
        <v>62</v>
      </c>
      <c r="AM33" s="196" t="str">
        <f>MONTH(B33)&amp;"/"&amp;YEAR(B33)</f>
        <v>5/2026</v>
      </c>
      <c r="AN33" s="44">
        <f>WEEKNUM(B33)-WEEKNUM(EOMONTH(B33,-1)+1)+1</f>
        <v>2</v>
      </c>
      <c r="AO33" s="44" t="str">
        <f>MONTH(R33)&amp;"/"&amp;YEAR(R33)</f>
        <v>5/2026</v>
      </c>
      <c r="AP33" s="44">
        <f>WEEKNUM(R33)-WEEKNUM(EOMONTH(R33,-1)+1)+1</f>
        <v>5</v>
      </c>
      <c r="AQ33" s="44">
        <f>IF(AU33="S",IF(Q33="1. Aceitou o programa",R33-B33,0),0)</f>
        <v>23</v>
      </c>
      <c r="AR33" s="44">
        <f>IF(AU33="S",IF(AND(S33&lt;&gt;"",R33&lt;&gt;""),S33-R33,0),0)</f>
        <v>0</v>
      </c>
      <c r="AS33" s="44">
        <f>IF(AU33="S",IF(Q33="1. Aceitou o programa",IF(OR(X33="Não se Aplica",X33=""),IF(OR(W33="Não se Aplica",W33=""),0,W33-V33),AVERAGE(X33-W33,W33-V33)),0),0)</f>
        <v>5.5</v>
      </c>
      <c r="AT33" s="44">
        <f>IF(AU33="S",IF(AND(Q33="1. Aceitou o programa",AB33="Realizada"),IFERROR(IF(AA33="",0,AA33-R33),0),0),0)</f>
        <v>0</v>
      </c>
      <c r="AU33" s="44" t="str">
        <f>_xlfn.XLOOKUP(U33,'Lista Suspensa'!$AA$20:$AA$23,'Lista Suspensa'!$AB$20:$AB$23,"N/A")</f>
        <v>S</v>
      </c>
    </row>
    <row r="34" spans="1:47" ht="12" hidden="1" customHeight="1">
      <c r="A34" s="86" t="s">
        <v>47</v>
      </c>
      <c r="B34" s="87">
        <v>46147</v>
      </c>
      <c r="C34" s="88" t="s">
        <v>48</v>
      </c>
      <c r="D34" s="88" t="s">
        <v>49</v>
      </c>
      <c r="E34" s="89">
        <v>74921544</v>
      </c>
      <c r="F34" s="218" t="s">
        <v>181</v>
      </c>
      <c r="G34" s="91">
        <v>9361492721</v>
      </c>
      <c r="H34" s="92">
        <v>30185</v>
      </c>
      <c r="I34" s="88">
        <v>43</v>
      </c>
      <c r="J34" s="88" t="s">
        <v>51</v>
      </c>
      <c r="K34" s="88" t="s">
        <v>80</v>
      </c>
      <c r="L34" s="88" t="s">
        <v>87</v>
      </c>
      <c r="M34" s="88"/>
      <c r="N34" s="88" t="s">
        <v>110</v>
      </c>
      <c r="O34" s="93" t="s">
        <v>182</v>
      </c>
      <c r="P34" s="94" t="s">
        <v>56</v>
      </c>
      <c r="Q34" s="142" t="s">
        <v>57</v>
      </c>
      <c r="R34" s="95"/>
      <c r="S34" s="96">
        <v>46170</v>
      </c>
      <c r="T34" s="96" t="s">
        <v>58</v>
      </c>
      <c r="U34" s="96" t="s">
        <v>59</v>
      </c>
      <c r="V34" s="92">
        <v>46153</v>
      </c>
      <c r="W34" s="92">
        <v>46154</v>
      </c>
      <c r="X34" s="92">
        <v>46164</v>
      </c>
      <c r="Y34" s="97"/>
      <c r="Z34" s="88"/>
      <c r="AA34" s="96"/>
      <c r="AB34" s="88"/>
      <c r="AC34" s="119"/>
      <c r="AD34" s="88"/>
      <c r="AE34" s="88"/>
      <c r="AF34" s="98"/>
      <c r="AG34" s="98"/>
      <c r="AH34" s="98"/>
      <c r="AI34" s="99" t="s">
        <v>47</v>
      </c>
      <c r="AJ34" s="99"/>
      <c r="AK34" s="99"/>
      <c r="AL34" s="44" t="s">
        <v>62</v>
      </c>
      <c r="AM34" s="196" t="str">
        <f>MONTH(B34)&amp;"/"&amp;YEAR(B34)</f>
        <v>5/2026</v>
      </c>
      <c r="AN34" s="44">
        <f>WEEKNUM(B34)-WEEKNUM(EOMONTH(B34,-1)+1)+1</f>
        <v>2</v>
      </c>
      <c r="AO34" s="44" t="str">
        <f>MONTH(R34)&amp;"/"&amp;YEAR(R34)</f>
        <v>1/1900</v>
      </c>
      <c r="AP34" s="44" t="e">
        <f>WEEKNUM(R34)-WEEKNUM(EOMONTH(R34,-1)+1)+1</f>
        <v>#NUM!</v>
      </c>
      <c r="AQ34" s="44">
        <f>IF(AU34="S",IF(Q34="1. Aceitou o programa",R34-B34,0),0)</f>
        <v>0</v>
      </c>
      <c r="AR34" s="44">
        <f>IF(AU34="S",IF(AND(S34&lt;&gt;"",R34&lt;&gt;""),S34-R34,0),0)</f>
        <v>0</v>
      </c>
      <c r="AS34" s="44">
        <f>IF(AU34="S",IF(Q34="1. Aceitou o programa",IF(OR(X34="Não se Aplica",X34=""),IF(OR(W34="Não se Aplica",W34=""),0,W34-V34),AVERAGE(X34-W34,W34-V34)),0),0)</f>
        <v>0</v>
      </c>
      <c r="AT34" s="44">
        <f>IF(AU34="S",IF(AND(Q34="1. Aceitou o programa",AB34="Realizada"),IFERROR(IF(AA34="",0,AA34-R34),0),0),0)</f>
        <v>0</v>
      </c>
      <c r="AU34" s="44" t="str">
        <f>_xlfn.XLOOKUP(U34,'Lista Suspensa'!$AA$20:$AA$23,'Lista Suspensa'!$AB$20:$AB$23,"N/A")</f>
        <v>S</v>
      </c>
    </row>
    <row r="35" spans="1:47" ht="12" hidden="1" customHeight="1">
      <c r="A35" s="86" t="s">
        <v>47</v>
      </c>
      <c r="B35" s="87">
        <v>46147</v>
      </c>
      <c r="C35" s="88" t="s">
        <v>48</v>
      </c>
      <c r="D35" s="88" t="s">
        <v>49</v>
      </c>
      <c r="E35" s="89">
        <v>87555261</v>
      </c>
      <c r="F35" s="218" t="s">
        <v>183</v>
      </c>
      <c r="G35" s="91">
        <v>83713476772</v>
      </c>
      <c r="H35" s="92">
        <v>23771</v>
      </c>
      <c r="I35" s="88">
        <v>61</v>
      </c>
      <c r="J35" s="88" t="s">
        <v>51</v>
      </c>
      <c r="K35" s="88" t="s">
        <v>80</v>
      </c>
      <c r="L35" s="88" t="s">
        <v>87</v>
      </c>
      <c r="M35" s="88"/>
      <c r="N35" s="88" t="s">
        <v>122</v>
      </c>
      <c r="O35" s="93" t="s">
        <v>184</v>
      </c>
      <c r="P35" s="94" t="s">
        <v>56</v>
      </c>
      <c r="Q35" s="142" t="s">
        <v>68</v>
      </c>
      <c r="R35" s="95">
        <v>46154</v>
      </c>
      <c r="S35" s="96"/>
      <c r="T35" s="96" t="s">
        <v>69</v>
      </c>
      <c r="U35" s="96" t="s">
        <v>70</v>
      </c>
      <c r="V35" s="92">
        <v>46153</v>
      </c>
      <c r="W35" s="92">
        <v>46154</v>
      </c>
      <c r="X35" s="92" t="s">
        <v>71</v>
      </c>
      <c r="Y35" s="97"/>
      <c r="Z35" s="88" t="s">
        <v>72</v>
      </c>
      <c r="AA35" s="96">
        <v>46115.402777777781</v>
      </c>
      <c r="AB35" s="88"/>
      <c r="AC35" s="119"/>
      <c r="AD35" s="88"/>
      <c r="AE35" s="88"/>
      <c r="AF35" s="98"/>
      <c r="AG35" s="98"/>
      <c r="AH35" s="98"/>
      <c r="AI35" s="99" t="s">
        <v>61</v>
      </c>
      <c r="AJ35" s="99" t="s">
        <v>61</v>
      </c>
      <c r="AK35" s="99" t="s">
        <v>61</v>
      </c>
      <c r="AL35" s="44" t="s">
        <v>62</v>
      </c>
      <c r="AM35" s="196" t="str">
        <f>MONTH(B35)&amp;"/"&amp;YEAR(B35)</f>
        <v>5/2026</v>
      </c>
      <c r="AN35" s="44">
        <f>WEEKNUM(B35)-WEEKNUM(EOMONTH(B35,-1)+1)+1</f>
        <v>2</v>
      </c>
      <c r="AO35" s="44" t="str">
        <f>MONTH(R35)&amp;"/"&amp;YEAR(R35)</f>
        <v>5/2026</v>
      </c>
      <c r="AP35" s="44">
        <f>WEEKNUM(R35)-WEEKNUM(EOMONTH(R35,-1)+1)+1</f>
        <v>3</v>
      </c>
      <c r="AQ35" s="44">
        <f>IF(AU35="S",IF(Q35="1. Aceitou o programa",R35-B35,0),0)</f>
        <v>7</v>
      </c>
      <c r="AR35" s="44">
        <f>IF(AU35="S",IF(AND(S35&lt;&gt;"",R35&lt;&gt;""),S35-R35,0),0)</f>
        <v>0</v>
      </c>
      <c r="AS35" s="44">
        <f>IF(AU35="S",IF(Q35="1. Aceitou o programa",IF(OR(X35="Não se Aplica",X35=""),IF(OR(W35="Não se Aplica",W35=""),0,W35-V35),AVERAGE(X35-W35,W35-V35)),0),0)</f>
        <v>1</v>
      </c>
      <c r="AT35" s="44">
        <f>IF(AU35="S",IF(AND(Q35="1. Aceitou o programa",AB35="Realizada"),IFERROR(IF(AA35="",0,AA35-R35),0),0),0)</f>
        <v>0</v>
      </c>
      <c r="AU35" s="44" t="str">
        <f>_xlfn.XLOOKUP(U35,'Lista Suspensa'!$AA$20:$AA$23,'Lista Suspensa'!$AB$20:$AB$23,"N/A")</f>
        <v>S</v>
      </c>
    </row>
    <row r="36" spans="1:47" ht="12" hidden="1" customHeight="1">
      <c r="A36" s="86" t="s">
        <v>47</v>
      </c>
      <c r="B36" s="87">
        <v>46147</v>
      </c>
      <c r="C36" s="88" t="s">
        <v>48</v>
      </c>
      <c r="D36" s="88" t="s">
        <v>49</v>
      </c>
      <c r="E36" s="89">
        <v>93568941</v>
      </c>
      <c r="F36" s="218" t="s">
        <v>185</v>
      </c>
      <c r="G36" s="91">
        <v>4419230703</v>
      </c>
      <c r="H36" s="92">
        <v>26648</v>
      </c>
      <c r="I36" s="88">
        <v>53</v>
      </c>
      <c r="J36" s="88" t="s">
        <v>64</v>
      </c>
      <c r="K36" s="88" t="s">
        <v>80</v>
      </c>
      <c r="L36" s="88" t="s">
        <v>186</v>
      </c>
      <c r="M36" s="88"/>
      <c r="N36" s="88" t="s">
        <v>143</v>
      </c>
      <c r="O36" s="93" t="s">
        <v>187</v>
      </c>
      <c r="P36" s="94" t="s">
        <v>56</v>
      </c>
      <c r="Q36" s="142" t="s">
        <v>68</v>
      </c>
      <c r="R36" s="95">
        <v>46153</v>
      </c>
      <c r="S36" s="96"/>
      <c r="T36" s="96" t="s">
        <v>69</v>
      </c>
      <c r="U36" s="96" t="s">
        <v>70</v>
      </c>
      <c r="V36" s="92">
        <v>46153</v>
      </c>
      <c r="W36" s="92" t="s">
        <v>71</v>
      </c>
      <c r="X36" s="92" t="s">
        <v>71</v>
      </c>
      <c r="Y36" s="97"/>
      <c r="Z36" s="88" t="s">
        <v>72</v>
      </c>
      <c r="AA36" s="96" t="s">
        <v>188</v>
      </c>
      <c r="AB36" s="88" t="s">
        <v>74</v>
      </c>
      <c r="AC36" s="119"/>
      <c r="AD36" s="88"/>
      <c r="AE36" s="88"/>
      <c r="AF36" s="98"/>
      <c r="AG36" s="98"/>
      <c r="AH36" s="98"/>
      <c r="AI36" s="99" t="s">
        <v>61</v>
      </c>
      <c r="AJ36" s="99" t="s">
        <v>61</v>
      </c>
      <c r="AK36" s="99" t="s">
        <v>61</v>
      </c>
      <c r="AL36" s="44" t="s">
        <v>62</v>
      </c>
      <c r="AM36" s="196" t="str">
        <f>MONTH(B36)&amp;"/"&amp;YEAR(B36)</f>
        <v>5/2026</v>
      </c>
      <c r="AN36" s="44">
        <f>WEEKNUM(B36)-WEEKNUM(EOMONTH(B36,-1)+1)+1</f>
        <v>2</v>
      </c>
      <c r="AO36" s="44" t="str">
        <f>MONTH(R36)&amp;"/"&amp;YEAR(R36)</f>
        <v>5/2026</v>
      </c>
      <c r="AP36" s="44">
        <f>WEEKNUM(R36)-WEEKNUM(EOMONTH(R36,-1)+1)+1</f>
        <v>3</v>
      </c>
      <c r="AQ36" s="44">
        <f>IF(AU36="S",IF(Q36="1. Aceitou o programa",R36-B36,0),0)</f>
        <v>6</v>
      </c>
      <c r="AR36" s="44">
        <f>IF(AU36="S",IF(AND(S36&lt;&gt;"",R36&lt;&gt;""),S36-R36,0),0)</f>
        <v>0</v>
      </c>
      <c r="AS36" s="44">
        <f>IF(AU36="S",IF(Q36="1. Aceitou o programa",IF(OR(X36="Não se Aplica",X36=""),IF(OR(W36="Não se Aplica",W36=""),0,W36-V36),AVERAGE(X36-W36,W36-V36)),0),0)</f>
        <v>0</v>
      </c>
      <c r="AT36" s="44">
        <f>IF(AU36="S",IF(AND(Q36="1. Aceitou o programa",AB36="Realizada"),IFERROR(IF(AA36="",0,AA36-R36),0),0),0)</f>
        <v>10.652777777781012</v>
      </c>
      <c r="AU36" s="44" t="str">
        <f>_xlfn.XLOOKUP(U36,'Lista Suspensa'!$AA$20:$AA$23,'Lista Suspensa'!$AB$20:$AB$23,"N/A")</f>
        <v>S</v>
      </c>
    </row>
    <row r="37" spans="1:47" ht="12" hidden="1" customHeight="1">
      <c r="A37" s="86" t="s">
        <v>47</v>
      </c>
      <c r="B37" s="87">
        <v>46147</v>
      </c>
      <c r="C37" s="88" t="s">
        <v>48</v>
      </c>
      <c r="D37" s="88" t="s">
        <v>49</v>
      </c>
      <c r="E37" s="89">
        <v>88445953</v>
      </c>
      <c r="F37" s="218" t="s">
        <v>189</v>
      </c>
      <c r="G37" s="91">
        <v>80193358700</v>
      </c>
      <c r="H37" s="92">
        <v>19478</v>
      </c>
      <c r="I37" s="88">
        <v>73</v>
      </c>
      <c r="J37" s="88" t="s">
        <v>64</v>
      </c>
      <c r="K37" s="88" t="s">
        <v>80</v>
      </c>
      <c r="L37" s="88" t="s">
        <v>87</v>
      </c>
      <c r="M37" s="88"/>
      <c r="N37" s="88" t="s">
        <v>143</v>
      </c>
      <c r="O37" s="93" t="s">
        <v>190</v>
      </c>
      <c r="P37" s="94" t="s">
        <v>56</v>
      </c>
      <c r="Q37" s="142" t="s">
        <v>57</v>
      </c>
      <c r="R37" s="95"/>
      <c r="S37" s="96">
        <v>46170</v>
      </c>
      <c r="T37" s="96" t="s">
        <v>58</v>
      </c>
      <c r="U37" s="96" t="s">
        <v>59</v>
      </c>
      <c r="V37" s="92">
        <v>46153</v>
      </c>
      <c r="W37" s="92">
        <v>46154</v>
      </c>
      <c r="X37" s="92">
        <v>46164</v>
      </c>
      <c r="Y37" s="97"/>
      <c r="Z37" s="88"/>
      <c r="AA37" s="96"/>
      <c r="AB37" s="88"/>
      <c r="AC37" s="119"/>
      <c r="AD37" s="88"/>
      <c r="AE37" s="88"/>
      <c r="AF37" s="98"/>
      <c r="AG37" s="98"/>
      <c r="AH37" s="98"/>
      <c r="AI37" s="99" t="s">
        <v>47</v>
      </c>
      <c r="AJ37" s="99"/>
      <c r="AK37" s="99"/>
      <c r="AL37" s="44" t="s">
        <v>62</v>
      </c>
      <c r="AM37" s="196" t="str">
        <f>MONTH(B37)&amp;"/"&amp;YEAR(B37)</f>
        <v>5/2026</v>
      </c>
      <c r="AN37" s="44">
        <f>WEEKNUM(B37)-WEEKNUM(EOMONTH(B37,-1)+1)+1</f>
        <v>2</v>
      </c>
      <c r="AO37" s="44" t="str">
        <f>MONTH(R37)&amp;"/"&amp;YEAR(R37)</f>
        <v>1/1900</v>
      </c>
      <c r="AP37" s="44" t="e">
        <f>WEEKNUM(R37)-WEEKNUM(EOMONTH(R37,-1)+1)+1</f>
        <v>#NUM!</v>
      </c>
      <c r="AQ37" s="44">
        <f>IF(AU37="S",IF(Q37="1. Aceitou o programa",R37-B37,0),0)</f>
        <v>0</v>
      </c>
      <c r="AR37" s="44">
        <f>IF(AU37="S",IF(AND(S37&lt;&gt;"",R37&lt;&gt;""),S37-R37,0),0)</f>
        <v>0</v>
      </c>
      <c r="AS37" s="44">
        <f>IF(AU37="S",IF(Q37="1. Aceitou o programa",IF(OR(X37="Não se Aplica",X37=""),IF(OR(W37="Não se Aplica",W37=""),0,W37-V37),AVERAGE(X37-W37,W37-V37)),0),0)</f>
        <v>0</v>
      </c>
      <c r="AT37" s="44">
        <f>IF(AU37="S",IF(AND(Q37="1. Aceitou o programa",AB37="Realizada"),IFERROR(IF(AA37="",0,AA37-R37),0),0),0)</f>
        <v>0</v>
      </c>
      <c r="AU37" s="44" t="str">
        <f>_xlfn.XLOOKUP(U37,'Lista Suspensa'!$AA$20:$AA$23,'Lista Suspensa'!$AB$20:$AB$23,"N/A")</f>
        <v>S</v>
      </c>
    </row>
    <row r="38" spans="1:47" ht="12" hidden="1" customHeight="1">
      <c r="A38" s="86" t="s">
        <v>47</v>
      </c>
      <c r="B38" s="87">
        <v>46147</v>
      </c>
      <c r="C38" s="88" t="s">
        <v>48</v>
      </c>
      <c r="D38" s="88" t="s">
        <v>49</v>
      </c>
      <c r="E38" s="91">
        <v>86845905</v>
      </c>
      <c r="F38" s="218" t="s">
        <v>191</v>
      </c>
      <c r="G38" s="91">
        <v>8367587731</v>
      </c>
      <c r="H38" s="92">
        <v>27305</v>
      </c>
      <c r="I38" s="88">
        <v>51</v>
      </c>
      <c r="J38" s="88" t="s">
        <v>64</v>
      </c>
      <c r="K38" s="88" t="s">
        <v>80</v>
      </c>
      <c r="L38" s="88" t="s">
        <v>87</v>
      </c>
      <c r="M38" s="88"/>
      <c r="N38" s="88" t="s">
        <v>122</v>
      </c>
      <c r="O38" s="93" t="s">
        <v>192</v>
      </c>
      <c r="P38" s="94" t="s">
        <v>56</v>
      </c>
      <c r="Q38" s="142" t="s">
        <v>68</v>
      </c>
      <c r="R38" s="95">
        <v>46164</v>
      </c>
      <c r="S38" s="96"/>
      <c r="T38" s="96" t="s">
        <v>69</v>
      </c>
      <c r="U38" s="96" t="s">
        <v>70</v>
      </c>
      <c r="V38" s="92">
        <v>46153</v>
      </c>
      <c r="W38" s="92">
        <v>46154</v>
      </c>
      <c r="X38" s="92">
        <v>46164</v>
      </c>
      <c r="Y38" s="97"/>
      <c r="Z38" s="88" t="s">
        <v>193</v>
      </c>
      <c r="AA38" s="96"/>
      <c r="AB38" s="88"/>
      <c r="AC38" s="119"/>
      <c r="AD38" s="88"/>
      <c r="AE38" s="88"/>
      <c r="AF38" s="98"/>
      <c r="AG38" s="98"/>
      <c r="AH38" s="98"/>
      <c r="AI38" s="99" t="s">
        <v>47</v>
      </c>
      <c r="AJ38" s="99" t="s">
        <v>61</v>
      </c>
      <c r="AK38" s="99" t="s">
        <v>61</v>
      </c>
      <c r="AL38" s="44" t="s">
        <v>62</v>
      </c>
      <c r="AM38" s="196" t="str">
        <f>MONTH(B38)&amp;"/"&amp;YEAR(B38)</f>
        <v>5/2026</v>
      </c>
      <c r="AN38" s="44">
        <f>WEEKNUM(B38)-WEEKNUM(EOMONTH(B38,-1)+1)+1</f>
        <v>2</v>
      </c>
      <c r="AO38" s="44" t="str">
        <f>MONTH(R38)&amp;"/"&amp;YEAR(R38)</f>
        <v>5/2026</v>
      </c>
      <c r="AP38" s="44">
        <f>WEEKNUM(R38)-WEEKNUM(EOMONTH(R38,-1)+1)+1</f>
        <v>4</v>
      </c>
      <c r="AQ38" s="44">
        <f>IF(AU38="S",IF(Q38="1. Aceitou o programa",R38-B38,0),0)</f>
        <v>17</v>
      </c>
      <c r="AR38" s="44">
        <f>IF(AU38="S",IF(AND(S38&lt;&gt;"",R38&lt;&gt;""),S38-R38,0),0)</f>
        <v>0</v>
      </c>
      <c r="AS38" s="44">
        <f>IF(AU38="S",IF(Q38="1. Aceitou o programa",IF(OR(X38="Não se Aplica",X38=""),IF(OR(W38="Não se Aplica",W38=""),0,W38-V38),AVERAGE(X38-W38,W38-V38)),0),0)</f>
        <v>5.5</v>
      </c>
      <c r="AT38" s="44">
        <f>IF(AU38="S",IF(AND(Q38="1. Aceitou o programa",AB38="Realizada"),IFERROR(IF(AA38="",0,AA38-R38),0),0),0)</f>
        <v>0</v>
      </c>
      <c r="AU38" s="44" t="str">
        <f>_xlfn.XLOOKUP(U38,'Lista Suspensa'!$AA$20:$AA$23,'Lista Suspensa'!$AB$20:$AB$23,"N/A")</f>
        <v>S</v>
      </c>
    </row>
    <row r="39" spans="1:47" ht="12" hidden="1" customHeight="1">
      <c r="A39" s="86" t="s">
        <v>47</v>
      </c>
      <c r="B39" s="87">
        <v>46147</v>
      </c>
      <c r="C39" s="88" t="s">
        <v>48</v>
      </c>
      <c r="D39" s="88" t="s">
        <v>49</v>
      </c>
      <c r="E39" s="89">
        <v>95663093</v>
      </c>
      <c r="F39" s="218" t="s">
        <v>194</v>
      </c>
      <c r="G39" s="91">
        <v>26132772898</v>
      </c>
      <c r="H39" s="92">
        <v>28220</v>
      </c>
      <c r="I39" s="88">
        <v>49</v>
      </c>
      <c r="J39" s="88" t="s">
        <v>51</v>
      </c>
      <c r="K39" s="88" t="s">
        <v>52</v>
      </c>
      <c r="L39" s="88" t="s">
        <v>195</v>
      </c>
      <c r="M39" s="88"/>
      <c r="N39" s="88" t="s">
        <v>91</v>
      </c>
      <c r="O39" s="93" t="s">
        <v>196</v>
      </c>
      <c r="P39" s="94" t="s">
        <v>56</v>
      </c>
      <c r="Q39" s="142" t="s">
        <v>68</v>
      </c>
      <c r="R39" s="95">
        <v>46154</v>
      </c>
      <c r="S39" s="96"/>
      <c r="T39" s="96" t="s">
        <v>69</v>
      </c>
      <c r="U39" s="96" t="s">
        <v>70</v>
      </c>
      <c r="V39" s="92">
        <v>46153</v>
      </c>
      <c r="W39" s="92">
        <v>46154</v>
      </c>
      <c r="X39" s="92" t="s">
        <v>71</v>
      </c>
      <c r="Y39" s="97"/>
      <c r="Z39" s="88" t="s">
        <v>72</v>
      </c>
      <c r="AA39" s="96" t="s">
        <v>197</v>
      </c>
      <c r="AB39" s="88"/>
      <c r="AC39" s="119"/>
      <c r="AD39" s="88"/>
      <c r="AE39" s="88"/>
      <c r="AF39" s="98"/>
      <c r="AG39" s="98"/>
      <c r="AH39" s="98"/>
      <c r="AI39" s="99" t="s">
        <v>61</v>
      </c>
      <c r="AJ39" s="99" t="s">
        <v>61</v>
      </c>
      <c r="AK39" s="99" t="s">
        <v>61</v>
      </c>
      <c r="AL39" s="44" t="s">
        <v>62</v>
      </c>
      <c r="AM39" s="196" t="str">
        <f>MONTH(B39)&amp;"/"&amp;YEAR(B39)</f>
        <v>5/2026</v>
      </c>
      <c r="AN39" s="44">
        <f>WEEKNUM(B39)-WEEKNUM(EOMONTH(B39,-1)+1)+1</f>
        <v>2</v>
      </c>
      <c r="AO39" s="44" t="str">
        <f>MONTH(R39)&amp;"/"&amp;YEAR(R39)</f>
        <v>5/2026</v>
      </c>
      <c r="AP39" s="44">
        <f>WEEKNUM(R39)-WEEKNUM(EOMONTH(R39,-1)+1)+1</f>
        <v>3</v>
      </c>
      <c r="AQ39" s="44">
        <f>IF(AU39="S",IF(Q39="1. Aceitou o programa",R39-B39,0),0)</f>
        <v>7</v>
      </c>
      <c r="AR39" s="44">
        <f>IF(AU39="S",IF(AND(S39&lt;&gt;"",R39&lt;&gt;""),S39-R39,0),0)</f>
        <v>0</v>
      </c>
      <c r="AS39" s="44">
        <f>IF(AU39="S",IF(Q39="1. Aceitou o programa",IF(OR(X39="Não se Aplica",X39=""),IF(OR(W39="Não se Aplica",W39=""),0,W39-V39),AVERAGE(X39-W39,W39-V39)),0),0)</f>
        <v>1</v>
      </c>
      <c r="AT39" s="44">
        <f>IF(AU39="S",IF(AND(Q39="1. Aceitou o programa",AB39="Realizada"),IFERROR(IF(AA39="",0,AA39-R39),0),0),0)</f>
        <v>0</v>
      </c>
      <c r="AU39" s="44" t="str">
        <f>_xlfn.XLOOKUP(U39,'Lista Suspensa'!$AA$20:$AA$23,'Lista Suspensa'!$AB$20:$AB$23,"N/A")</f>
        <v>S</v>
      </c>
    </row>
    <row r="40" spans="1:47" ht="12" hidden="1" customHeight="1">
      <c r="A40" s="86" t="s">
        <v>47</v>
      </c>
      <c r="B40" s="87">
        <v>46147</v>
      </c>
      <c r="C40" s="88" t="s">
        <v>48</v>
      </c>
      <c r="D40" s="88" t="s">
        <v>49</v>
      </c>
      <c r="E40" s="111">
        <v>93842312</v>
      </c>
      <c r="F40" s="218" t="s">
        <v>198</v>
      </c>
      <c r="G40" s="91">
        <v>2561403750</v>
      </c>
      <c r="H40" s="92">
        <v>27206</v>
      </c>
      <c r="I40" s="88">
        <v>51</v>
      </c>
      <c r="J40" s="88" t="s">
        <v>51</v>
      </c>
      <c r="K40" s="88" t="s">
        <v>80</v>
      </c>
      <c r="L40" s="88" t="s">
        <v>87</v>
      </c>
      <c r="M40" s="88"/>
      <c r="N40" s="88" t="s">
        <v>94</v>
      </c>
      <c r="O40" s="93" t="s">
        <v>199</v>
      </c>
      <c r="P40" s="94" t="s">
        <v>56</v>
      </c>
      <c r="Q40" s="142" t="s">
        <v>200</v>
      </c>
      <c r="R40" s="95"/>
      <c r="S40" s="95">
        <v>46163</v>
      </c>
      <c r="T40" s="96" t="s">
        <v>69</v>
      </c>
      <c r="U40" s="96" t="s">
        <v>59</v>
      </c>
      <c r="V40" s="92">
        <v>46153</v>
      </c>
      <c r="W40" s="92">
        <v>46154</v>
      </c>
      <c r="X40" s="92">
        <v>46160</v>
      </c>
      <c r="Y40" s="97"/>
      <c r="Z40" s="88" t="s">
        <v>72</v>
      </c>
      <c r="AA40" s="96">
        <v>46171.513888888891</v>
      </c>
      <c r="AB40" s="88"/>
      <c r="AC40" s="119"/>
      <c r="AD40" s="88"/>
      <c r="AE40" s="88"/>
      <c r="AF40" s="98"/>
      <c r="AG40" s="98"/>
      <c r="AH40" s="98"/>
      <c r="AI40" s="99"/>
      <c r="AJ40" s="99" t="s">
        <v>60</v>
      </c>
      <c r="AK40" s="99" t="s">
        <v>61</v>
      </c>
      <c r="AL40" s="44" t="s">
        <v>62</v>
      </c>
      <c r="AM40" s="196" t="str">
        <f>MONTH(B40)&amp;"/"&amp;YEAR(B40)</f>
        <v>5/2026</v>
      </c>
      <c r="AN40" s="44">
        <f>WEEKNUM(B40)-WEEKNUM(EOMONTH(B40,-1)+1)+1</f>
        <v>2</v>
      </c>
      <c r="AO40" s="44" t="str">
        <f>MONTH(R40)&amp;"/"&amp;YEAR(R40)</f>
        <v>1/1900</v>
      </c>
      <c r="AP40" s="44" t="e">
        <f>WEEKNUM(R40)-WEEKNUM(EOMONTH(R40,-1)+1)+1</f>
        <v>#NUM!</v>
      </c>
      <c r="AQ40" s="44">
        <f>IF(AU40="S",IF(Q40="1. Aceitou o programa",R40-B40,0),0)</f>
        <v>0</v>
      </c>
      <c r="AR40" s="44">
        <f>IF(AU40="S",IF(AND(S40&lt;&gt;"",R40&lt;&gt;""),S40-R40,0),0)</f>
        <v>0</v>
      </c>
      <c r="AS40" s="44">
        <f>IF(AU40="S",IF(Q40="1. Aceitou o programa",IF(OR(X40="Não se Aplica",X40=""),IF(OR(W40="Não se Aplica",W40=""),0,W40-V40),AVERAGE(X40-W40,W40-V40)),0),0)</f>
        <v>0</v>
      </c>
      <c r="AT40" s="44">
        <f>IF(AU40="S",IF(AND(Q40="1. Aceitou o programa",AB40="Realizada"),IFERROR(IF(AA40="",0,AA40-R40),0),0),0)</f>
        <v>0</v>
      </c>
      <c r="AU40" s="44" t="str">
        <f>_xlfn.XLOOKUP(U40,'Lista Suspensa'!$AA$20:$AA$23,'Lista Suspensa'!$AB$20:$AB$23,"N/A")</f>
        <v>S</v>
      </c>
    </row>
    <row r="41" spans="1:47" ht="12" hidden="1" customHeight="1">
      <c r="A41" s="86" t="s">
        <v>47</v>
      </c>
      <c r="B41" s="87">
        <v>46147</v>
      </c>
      <c r="C41" s="88" t="s">
        <v>48</v>
      </c>
      <c r="D41" s="88" t="s">
        <v>49</v>
      </c>
      <c r="E41" s="89">
        <v>94248330</v>
      </c>
      <c r="F41" s="218" t="s">
        <v>201</v>
      </c>
      <c r="G41" s="91">
        <v>59742755515</v>
      </c>
      <c r="H41" s="92">
        <v>26281</v>
      </c>
      <c r="I41" s="88">
        <v>54</v>
      </c>
      <c r="J41" s="88" t="s">
        <v>51</v>
      </c>
      <c r="K41" s="88" t="s">
        <v>52</v>
      </c>
      <c r="L41" s="88" t="s">
        <v>53</v>
      </c>
      <c r="M41" s="88"/>
      <c r="N41" s="88" t="s">
        <v>66</v>
      </c>
      <c r="O41" s="93" t="s">
        <v>202</v>
      </c>
      <c r="P41" s="94" t="s">
        <v>56</v>
      </c>
      <c r="Q41" s="142" t="s">
        <v>68</v>
      </c>
      <c r="R41" s="95">
        <v>46153</v>
      </c>
      <c r="S41" s="96"/>
      <c r="T41" s="96" t="s">
        <v>69</v>
      </c>
      <c r="U41" s="96" t="s">
        <v>70</v>
      </c>
      <c r="V41" s="92">
        <v>46153</v>
      </c>
      <c r="W41" s="92" t="s">
        <v>71</v>
      </c>
      <c r="X41" s="92" t="s">
        <v>71</v>
      </c>
      <c r="Y41" s="97"/>
      <c r="Z41" s="88" t="s">
        <v>72</v>
      </c>
      <c r="AA41" s="96" t="s">
        <v>203</v>
      </c>
      <c r="AB41" s="88" t="s">
        <v>105</v>
      </c>
      <c r="AC41" s="119">
        <v>46176</v>
      </c>
      <c r="AD41" s="88"/>
      <c r="AE41" s="88"/>
      <c r="AF41" s="98"/>
      <c r="AG41" s="98"/>
      <c r="AH41" s="98"/>
      <c r="AI41" s="99" t="s">
        <v>61</v>
      </c>
      <c r="AJ41" s="99" t="s">
        <v>61</v>
      </c>
      <c r="AK41" s="99" t="s">
        <v>61</v>
      </c>
      <c r="AL41" s="44" t="s">
        <v>62</v>
      </c>
      <c r="AM41" s="196" t="str">
        <f>MONTH(B41)&amp;"/"&amp;YEAR(B41)</f>
        <v>5/2026</v>
      </c>
      <c r="AN41" s="44">
        <f>WEEKNUM(B41)-WEEKNUM(EOMONTH(B41,-1)+1)+1</f>
        <v>2</v>
      </c>
      <c r="AO41" s="44" t="str">
        <f>MONTH(R41)&amp;"/"&amp;YEAR(R41)</f>
        <v>5/2026</v>
      </c>
      <c r="AP41" s="44">
        <f>WEEKNUM(R41)-WEEKNUM(EOMONTH(R41,-1)+1)+1</f>
        <v>3</v>
      </c>
      <c r="AQ41" s="44">
        <f>IF(AU41="S",IF(Q41="1. Aceitou o programa",R41-B41,0),0)</f>
        <v>6</v>
      </c>
      <c r="AR41" s="44">
        <f>IF(AU41="S",IF(AND(S41&lt;&gt;"",R41&lt;&gt;""),S41-R41,0),0)</f>
        <v>0</v>
      </c>
      <c r="AS41" s="44">
        <f>IF(AU41="S",IF(Q41="1. Aceitou o programa",IF(OR(X41="Não se Aplica",X41=""),IF(OR(W41="Não se Aplica",W41=""),0,W41-V41),AVERAGE(X41-W41,W41-V41)),0),0)</f>
        <v>0</v>
      </c>
      <c r="AT41" s="44">
        <f>IF(AU41="S",IF(AND(Q41="1. Aceitou o programa",AB41="Realizada"),IFERROR(IF(AA41="",0,AA41-R41),0),0),0)</f>
        <v>0</v>
      </c>
      <c r="AU41" s="44" t="str">
        <f>_xlfn.XLOOKUP(U41,'Lista Suspensa'!$AA$20:$AA$23,'Lista Suspensa'!$AB$20:$AB$23,"N/A")</f>
        <v>S</v>
      </c>
    </row>
    <row r="42" spans="1:47" ht="12" hidden="1" customHeight="1">
      <c r="A42" s="86" t="s">
        <v>47</v>
      </c>
      <c r="B42" s="87">
        <v>46147</v>
      </c>
      <c r="C42" s="88" t="s">
        <v>48</v>
      </c>
      <c r="D42" s="88" t="s">
        <v>49</v>
      </c>
      <c r="E42" s="89">
        <v>78715900</v>
      </c>
      <c r="F42" s="218" t="s">
        <v>204</v>
      </c>
      <c r="G42" s="91">
        <v>72205636715</v>
      </c>
      <c r="H42" s="92">
        <v>20955</v>
      </c>
      <c r="I42" s="88">
        <v>69</v>
      </c>
      <c r="J42" s="88" t="s">
        <v>51</v>
      </c>
      <c r="K42" s="88" t="s">
        <v>80</v>
      </c>
      <c r="L42" s="88" t="s">
        <v>87</v>
      </c>
      <c r="M42" s="88"/>
      <c r="N42" s="88" t="s">
        <v>91</v>
      </c>
      <c r="O42" s="93" t="s">
        <v>205</v>
      </c>
      <c r="P42" s="94" t="s">
        <v>56</v>
      </c>
      <c r="Q42" s="142" t="s">
        <v>68</v>
      </c>
      <c r="R42" s="95">
        <v>46154</v>
      </c>
      <c r="S42" s="96"/>
      <c r="T42" s="96" t="s">
        <v>69</v>
      </c>
      <c r="U42" s="96" t="s">
        <v>70</v>
      </c>
      <c r="V42" s="92">
        <v>46153</v>
      </c>
      <c r="W42" s="92">
        <v>46154</v>
      </c>
      <c r="X42" s="92" t="s">
        <v>71</v>
      </c>
      <c r="Y42" s="97"/>
      <c r="Z42" s="88" t="s">
        <v>72</v>
      </c>
      <c r="AA42" s="96">
        <v>46107.680555555555</v>
      </c>
      <c r="AB42" s="88"/>
      <c r="AC42" s="119"/>
      <c r="AD42" s="88"/>
      <c r="AE42" s="88"/>
      <c r="AF42" s="98"/>
      <c r="AG42" s="98"/>
      <c r="AH42" s="98"/>
      <c r="AI42" s="99" t="s">
        <v>61</v>
      </c>
      <c r="AJ42" s="99" t="s">
        <v>61</v>
      </c>
      <c r="AK42" s="99" t="s">
        <v>61</v>
      </c>
      <c r="AL42" s="44" t="s">
        <v>62</v>
      </c>
      <c r="AM42" s="196" t="str">
        <f>MONTH(B42)&amp;"/"&amp;YEAR(B42)</f>
        <v>5/2026</v>
      </c>
      <c r="AN42" s="44">
        <f>WEEKNUM(B42)-WEEKNUM(EOMONTH(B42,-1)+1)+1</f>
        <v>2</v>
      </c>
      <c r="AO42" s="44" t="str">
        <f>MONTH(R42)&amp;"/"&amp;YEAR(R42)</f>
        <v>5/2026</v>
      </c>
      <c r="AP42" s="44">
        <f>WEEKNUM(R42)-WEEKNUM(EOMONTH(R42,-1)+1)+1</f>
        <v>3</v>
      </c>
      <c r="AQ42" s="44">
        <f>IF(AU42="S",IF(Q42="1. Aceitou o programa",R42-B42,0),0)</f>
        <v>7</v>
      </c>
      <c r="AR42" s="44">
        <f>IF(AU42="S",IF(AND(S42&lt;&gt;"",R42&lt;&gt;""),S42-R42,0),0)</f>
        <v>0</v>
      </c>
      <c r="AS42" s="44">
        <f>IF(AU42="S",IF(Q42="1. Aceitou o programa",IF(OR(X42="Não se Aplica",X42=""),IF(OR(W42="Não se Aplica",W42=""),0,W42-V42),AVERAGE(X42-W42,W42-V42)),0),0)</f>
        <v>1</v>
      </c>
      <c r="AT42" s="44">
        <f>IF(AU42="S",IF(AND(Q42="1. Aceitou o programa",AB42="Realizada"),IFERROR(IF(AA42="",0,AA42-R42),0),0),0)</f>
        <v>0</v>
      </c>
      <c r="AU42" s="44" t="str">
        <f>_xlfn.XLOOKUP(U42,'Lista Suspensa'!$AA$20:$AA$23,'Lista Suspensa'!$AB$20:$AB$23,"N/A")</f>
        <v>S</v>
      </c>
    </row>
    <row r="43" spans="1:47" ht="12" hidden="1" customHeight="1">
      <c r="A43" s="86" t="s">
        <v>47</v>
      </c>
      <c r="B43" s="87">
        <v>46147</v>
      </c>
      <c r="C43" s="88" t="s">
        <v>48</v>
      </c>
      <c r="D43" s="88" t="s">
        <v>49</v>
      </c>
      <c r="E43" s="89">
        <v>114489599</v>
      </c>
      <c r="F43" s="218" t="s">
        <v>206</v>
      </c>
      <c r="G43" s="91">
        <v>26247178700</v>
      </c>
      <c r="H43" s="92">
        <v>16879</v>
      </c>
      <c r="I43" s="88">
        <v>80</v>
      </c>
      <c r="J43" s="88" t="s">
        <v>51</v>
      </c>
      <c r="K43" s="88" t="s">
        <v>80</v>
      </c>
      <c r="L43" s="88" t="s">
        <v>87</v>
      </c>
      <c r="M43" s="88"/>
      <c r="N43" s="88" t="s">
        <v>207</v>
      </c>
      <c r="O43" s="93" t="s">
        <v>208</v>
      </c>
      <c r="P43" s="94" t="s">
        <v>56</v>
      </c>
      <c r="Q43" s="142" t="s">
        <v>57</v>
      </c>
      <c r="R43" s="95"/>
      <c r="S43" s="96">
        <v>46170</v>
      </c>
      <c r="T43" s="96" t="s">
        <v>58</v>
      </c>
      <c r="U43" s="96" t="s">
        <v>59</v>
      </c>
      <c r="V43" s="92">
        <v>46153</v>
      </c>
      <c r="W43" s="92">
        <v>46154</v>
      </c>
      <c r="X43" s="92">
        <v>46164</v>
      </c>
      <c r="Y43" s="97"/>
      <c r="Z43" s="88"/>
      <c r="AA43" s="96"/>
      <c r="AB43" s="88"/>
      <c r="AC43" s="119"/>
      <c r="AD43" s="88"/>
      <c r="AE43" s="88"/>
      <c r="AF43" s="98"/>
      <c r="AG43" s="98"/>
      <c r="AH43" s="98"/>
      <c r="AI43" s="99" t="s">
        <v>47</v>
      </c>
      <c r="AJ43" s="99"/>
      <c r="AK43" s="99"/>
      <c r="AL43" s="44" t="s">
        <v>62</v>
      </c>
      <c r="AM43" s="196" t="str">
        <f>MONTH(B43)&amp;"/"&amp;YEAR(B43)</f>
        <v>5/2026</v>
      </c>
      <c r="AN43" s="44">
        <f>WEEKNUM(B43)-WEEKNUM(EOMONTH(B43,-1)+1)+1</f>
        <v>2</v>
      </c>
      <c r="AO43" s="44" t="str">
        <f>MONTH(R43)&amp;"/"&amp;YEAR(R43)</f>
        <v>1/1900</v>
      </c>
      <c r="AP43" s="44" t="e">
        <f>WEEKNUM(R43)-WEEKNUM(EOMONTH(R43,-1)+1)+1</f>
        <v>#NUM!</v>
      </c>
      <c r="AQ43" s="44">
        <f>IF(AU43="S",IF(Q43="1. Aceitou o programa",R43-B43,0),0)</f>
        <v>0</v>
      </c>
      <c r="AR43" s="44">
        <f>IF(AU43="S",IF(AND(S43&lt;&gt;"",R43&lt;&gt;""),S43-R43,0),0)</f>
        <v>0</v>
      </c>
      <c r="AS43" s="44">
        <f>IF(AU43="S",IF(Q43="1. Aceitou o programa",IF(OR(X43="Não se Aplica",X43=""),IF(OR(W43="Não se Aplica",W43=""),0,W43-V43),AVERAGE(X43-W43,W43-V43)),0),0)</f>
        <v>0</v>
      </c>
      <c r="AT43" s="44">
        <f>IF(AU43="S",IF(AND(Q43="1. Aceitou o programa",AB43="Realizada"),IFERROR(IF(AA43="",0,AA43-R43),0),0),0)</f>
        <v>0</v>
      </c>
      <c r="AU43" s="44" t="str">
        <f>_xlfn.XLOOKUP(U43,'Lista Suspensa'!$AA$20:$AA$23,'Lista Suspensa'!$AB$20:$AB$23,"N/A")</f>
        <v>S</v>
      </c>
    </row>
    <row r="44" spans="1:47" ht="12" hidden="1" customHeight="1">
      <c r="A44" s="86" t="s">
        <v>47</v>
      </c>
      <c r="B44" s="87">
        <v>46147</v>
      </c>
      <c r="C44" s="88" t="s">
        <v>48</v>
      </c>
      <c r="D44" s="88" t="s">
        <v>49</v>
      </c>
      <c r="E44" s="89">
        <v>451900944</v>
      </c>
      <c r="F44" s="218" t="s">
        <v>209</v>
      </c>
      <c r="G44" s="91">
        <v>3073297804</v>
      </c>
      <c r="H44" s="92">
        <v>13778</v>
      </c>
      <c r="I44" s="88">
        <v>88</v>
      </c>
      <c r="J44" s="88" t="s">
        <v>64</v>
      </c>
      <c r="K44" s="88" t="s">
        <v>52</v>
      </c>
      <c r="L44" s="88" t="s">
        <v>53</v>
      </c>
      <c r="M44" s="88"/>
      <c r="N44" s="88" t="s">
        <v>210</v>
      </c>
      <c r="O44" s="93" t="s">
        <v>211</v>
      </c>
      <c r="P44" s="94" t="s">
        <v>56</v>
      </c>
      <c r="Q44" s="142" t="s">
        <v>57</v>
      </c>
      <c r="R44" s="95"/>
      <c r="S44" s="96">
        <v>46170</v>
      </c>
      <c r="T44" s="96" t="s">
        <v>58</v>
      </c>
      <c r="U44" s="96" t="s">
        <v>59</v>
      </c>
      <c r="V44" s="92">
        <v>46153</v>
      </c>
      <c r="W44" s="92">
        <v>46154</v>
      </c>
      <c r="X44" s="92">
        <v>46164</v>
      </c>
      <c r="Y44" s="97"/>
      <c r="Z44" s="88"/>
      <c r="AA44" s="96"/>
      <c r="AB44" s="88"/>
      <c r="AC44" s="119"/>
      <c r="AD44" s="88"/>
      <c r="AE44" s="88"/>
      <c r="AF44" s="98"/>
      <c r="AG44" s="98"/>
      <c r="AH44" s="98"/>
      <c r="AI44" s="99" t="s">
        <v>47</v>
      </c>
      <c r="AJ44" s="99"/>
      <c r="AK44" s="99"/>
      <c r="AL44" s="44" t="s">
        <v>62</v>
      </c>
      <c r="AM44" s="196" t="str">
        <f>MONTH(B44)&amp;"/"&amp;YEAR(B44)</f>
        <v>5/2026</v>
      </c>
      <c r="AN44" s="44">
        <f>WEEKNUM(B44)-WEEKNUM(EOMONTH(B44,-1)+1)+1</f>
        <v>2</v>
      </c>
      <c r="AO44" s="44" t="str">
        <f>MONTH(R44)&amp;"/"&amp;YEAR(R44)</f>
        <v>1/1900</v>
      </c>
      <c r="AP44" s="44" t="e">
        <f>WEEKNUM(R44)-WEEKNUM(EOMONTH(R44,-1)+1)+1</f>
        <v>#NUM!</v>
      </c>
      <c r="AQ44" s="44">
        <f>IF(AU44="S",IF(Q44="1. Aceitou o programa",R44-B44,0),0)</f>
        <v>0</v>
      </c>
      <c r="AR44" s="44">
        <f>IF(AU44="S",IF(AND(S44&lt;&gt;"",R44&lt;&gt;""),S44-R44,0),0)</f>
        <v>0</v>
      </c>
      <c r="AS44" s="44">
        <f>IF(AU44="S",IF(Q44="1. Aceitou o programa",IF(OR(X44="Não se Aplica",X44=""),IF(OR(W44="Não se Aplica",W44=""),0,W44-V44),AVERAGE(X44-W44,W44-V44)),0),0)</f>
        <v>0</v>
      </c>
      <c r="AT44" s="44">
        <f>IF(AU44="S",IF(AND(Q44="1. Aceitou o programa",AB44="Realizada"),IFERROR(IF(AA44="",0,AA44-R44),0),0),0)</f>
        <v>0</v>
      </c>
      <c r="AU44" s="44" t="str">
        <f>_xlfn.XLOOKUP(U44,'Lista Suspensa'!$AA$20:$AA$23,'Lista Suspensa'!$AB$20:$AB$23,"N/A")</f>
        <v>S</v>
      </c>
    </row>
    <row r="45" spans="1:47" ht="12" hidden="1" customHeight="1">
      <c r="A45" s="86" t="s">
        <v>47</v>
      </c>
      <c r="B45" s="87">
        <v>46147</v>
      </c>
      <c r="C45" s="88" t="s">
        <v>48</v>
      </c>
      <c r="D45" s="88" t="s">
        <v>49</v>
      </c>
      <c r="E45" s="89">
        <v>78148781</v>
      </c>
      <c r="F45" s="218" t="s">
        <v>212</v>
      </c>
      <c r="G45" s="91">
        <v>34992820700</v>
      </c>
      <c r="H45" s="92">
        <v>18727</v>
      </c>
      <c r="I45" s="88">
        <v>75</v>
      </c>
      <c r="J45" s="88" t="s">
        <v>51</v>
      </c>
      <c r="K45" s="88" t="s">
        <v>80</v>
      </c>
      <c r="L45" s="88" t="s">
        <v>87</v>
      </c>
      <c r="M45" s="88"/>
      <c r="N45" s="88" t="s">
        <v>91</v>
      </c>
      <c r="O45" s="93" t="s">
        <v>213</v>
      </c>
      <c r="P45" s="94" t="s">
        <v>56</v>
      </c>
      <c r="Q45" s="142" t="s">
        <v>57</v>
      </c>
      <c r="R45" s="95"/>
      <c r="S45" s="96">
        <v>46170</v>
      </c>
      <c r="T45" s="96" t="s">
        <v>58</v>
      </c>
      <c r="U45" s="96" t="s">
        <v>59</v>
      </c>
      <c r="V45" s="92">
        <v>46153</v>
      </c>
      <c r="W45" s="92">
        <v>46154</v>
      </c>
      <c r="X45" s="92">
        <v>46164</v>
      </c>
      <c r="Y45" s="97"/>
      <c r="Z45" s="88"/>
      <c r="AA45" s="96"/>
      <c r="AB45" s="88"/>
      <c r="AC45" s="119"/>
      <c r="AD45" s="88"/>
      <c r="AE45" s="88"/>
      <c r="AF45" s="98"/>
      <c r="AG45" s="98"/>
      <c r="AH45" s="98"/>
      <c r="AI45" s="99" t="s">
        <v>47</v>
      </c>
      <c r="AJ45" s="99"/>
      <c r="AK45" s="99"/>
      <c r="AL45" s="44" t="s">
        <v>62</v>
      </c>
      <c r="AM45" s="196" t="str">
        <f>MONTH(B45)&amp;"/"&amp;YEAR(B45)</f>
        <v>5/2026</v>
      </c>
      <c r="AN45" s="44">
        <f>WEEKNUM(B45)-WEEKNUM(EOMONTH(B45,-1)+1)+1</f>
        <v>2</v>
      </c>
      <c r="AO45" s="44" t="str">
        <f>MONTH(R45)&amp;"/"&amp;YEAR(R45)</f>
        <v>1/1900</v>
      </c>
      <c r="AP45" s="44" t="e">
        <f>WEEKNUM(R45)-WEEKNUM(EOMONTH(R45,-1)+1)+1</f>
        <v>#NUM!</v>
      </c>
      <c r="AQ45" s="44">
        <f>IF(AU45="S",IF(Q45="1. Aceitou o programa",R45-B45,0),0)</f>
        <v>0</v>
      </c>
      <c r="AR45" s="44">
        <f>IF(AU45="S",IF(AND(S45&lt;&gt;"",R45&lt;&gt;""),S45-R45,0),0)</f>
        <v>0</v>
      </c>
      <c r="AS45" s="44">
        <f>IF(AU45="S",IF(Q45="1. Aceitou o programa",IF(OR(X45="Não se Aplica",X45=""),IF(OR(W45="Não se Aplica",W45=""),0,W45-V45),AVERAGE(X45-W45,W45-V45)),0),0)</f>
        <v>0</v>
      </c>
      <c r="AT45" s="44">
        <f>IF(AU45="S",IF(AND(Q45="1. Aceitou o programa",AB45="Realizada"),IFERROR(IF(AA45="",0,AA45-R45),0),0),0)</f>
        <v>0</v>
      </c>
      <c r="AU45" s="44" t="str">
        <f>_xlfn.XLOOKUP(U45,'Lista Suspensa'!$AA$20:$AA$23,'Lista Suspensa'!$AB$20:$AB$23,"N/A")</f>
        <v>S</v>
      </c>
    </row>
    <row r="46" spans="1:47" ht="12" hidden="1" customHeight="1">
      <c r="A46" s="86" t="s">
        <v>47</v>
      </c>
      <c r="B46" s="87">
        <v>46147</v>
      </c>
      <c r="C46" s="88" t="s">
        <v>48</v>
      </c>
      <c r="D46" s="88" t="s">
        <v>49</v>
      </c>
      <c r="E46" s="89">
        <v>78204875</v>
      </c>
      <c r="F46" s="218" t="s">
        <v>214</v>
      </c>
      <c r="G46" s="91">
        <v>91981735704</v>
      </c>
      <c r="H46" s="92">
        <v>19551</v>
      </c>
      <c r="I46" s="88">
        <v>72</v>
      </c>
      <c r="J46" s="88" t="s">
        <v>64</v>
      </c>
      <c r="K46" s="88" t="s">
        <v>80</v>
      </c>
      <c r="L46" s="88" t="s">
        <v>87</v>
      </c>
      <c r="M46" s="88"/>
      <c r="N46" s="88" t="s">
        <v>91</v>
      </c>
      <c r="O46" s="93" t="s">
        <v>215</v>
      </c>
      <c r="P46" s="94" t="s">
        <v>56</v>
      </c>
      <c r="Q46" s="142" t="s">
        <v>68</v>
      </c>
      <c r="R46" s="95">
        <v>46171</v>
      </c>
      <c r="S46" s="96"/>
      <c r="T46" s="96" t="s">
        <v>69</v>
      </c>
      <c r="U46" s="96" t="s">
        <v>70</v>
      </c>
      <c r="V46" s="92">
        <v>46153</v>
      </c>
      <c r="W46" s="92">
        <v>46154</v>
      </c>
      <c r="X46" s="92">
        <v>46164</v>
      </c>
      <c r="Y46" s="97"/>
      <c r="Z46" s="88" t="s">
        <v>72</v>
      </c>
      <c r="AA46" s="96">
        <v>46178</v>
      </c>
      <c r="AB46" s="88"/>
      <c r="AC46" s="119"/>
      <c r="AD46" s="88"/>
      <c r="AE46" s="88"/>
      <c r="AF46" s="98"/>
      <c r="AG46" s="98"/>
      <c r="AH46" s="98"/>
      <c r="AI46" s="99" t="s">
        <v>47</v>
      </c>
      <c r="AJ46" s="99" t="s">
        <v>61</v>
      </c>
      <c r="AK46" s="99" t="s">
        <v>78</v>
      </c>
      <c r="AL46" s="44" t="s">
        <v>62</v>
      </c>
      <c r="AM46" s="196" t="str">
        <f>MONTH(B46)&amp;"/"&amp;YEAR(B46)</f>
        <v>5/2026</v>
      </c>
      <c r="AN46" s="44">
        <f>WEEKNUM(B46)-WEEKNUM(EOMONTH(B46,-1)+1)+1</f>
        <v>2</v>
      </c>
      <c r="AO46" s="44" t="str">
        <f>MONTH(R46)&amp;"/"&amp;YEAR(R46)</f>
        <v>5/2026</v>
      </c>
      <c r="AP46" s="44">
        <f>WEEKNUM(R46)-WEEKNUM(EOMONTH(R46,-1)+1)+1</f>
        <v>5</v>
      </c>
      <c r="AQ46" s="44">
        <f>IF(AU46="S",IF(Q46="1. Aceitou o programa",R46-B46,0),0)</f>
        <v>24</v>
      </c>
      <c r="AR46" s="44">
        <f>IF(AU46="S",IF(AND(S46&lt;&gt;"",R46&lt;&gt;""),S46-R46,0),0)</f>
        <v>0</v>
      </c>
      <c r="AS46" s="44">
        <f>IF(AU46="S",IF(Q46="1. Aceitou o programa",IF(OR(X46="Não se Aplica",X46=""),IF(OR(W46="Não se Aplica",W46=""),0,W46-V46),AVERAGE(X46-W46,W46-V46)),0),0)</f>
        <v>5.5</v>
      </c>
      <c r="AT46" s="44">
        <f>IF(AU46="S",IF(AND(Q46="1. Aceitou o programa",AB46="Realizada"),IFERROR(IF(AA46="",0,AA46-R46),0),0),0)</f>
        <v>0</v>
      </c>
      <c r="AU46" s="44" t="str">
        <f>_xlfn.XLOOKUP(U46,'Lista Suspensa'!$AA$20:$AA$23,'Lista Suspensa'!$AB$20:$AB$23,"N/A")</f>
        <v>S</v>
      </c>
    </row>
    <row r="47" spans="1:47" ht="12" hidden="1" customHeight="1">
      <c r="A47" s="86" t="s">
        <v>47</v>
      </c>
      <c r="B47" s="87">
        <v>46147</v>
      </c>
      <c r="C47" s="88" t="s">
        <v>48</v>
      </c>
      <c r="D47" s="88" t="s">
        <v>49</v>
      </c>
      <c r="E47" s="89">
        <v>757868029</v>
      </c>
      <c r="F47" s="218" t="s">
        <v>216</v>
      </c>
      <c r="G47" s="91">
        <v>33530386715</v>
      </c>
      <c r="H47" s="92">
        <v>20380</v>
      </c>
      <c r="I47" s="88">
        <v>70</v>
      </c>
      <c r="J47" s="88" t="s">
        <v>51</v>
      </c>
      <c r="K47" s="88" t="s">
        <v>80</v>
      </c>
      <c r="L47" s="88" t="s">
        <v>87</v>
      </c>
      <c r="M47" s="88"/>
      <c r="N47" s="88" t="s">
        <v>217</v>
      </c>
      <c r="O47" s="93" t="s">
        <v>218</v>
      </c>
      <c r="P47" s="94" t="s">
        <v>56</v>
      </c>
      <c r="Q47" s="142" t="s">
        <v>57</v>
      </c>
      <c r="R47" s="95"/>
      <c r="S47" s="96">
        <v>46170</v>
      </c>
      <c r="T47" s="96" t="s">
        <v>58</v>
      </c>
      <c r="U47" s="96" t="s">
        <v>59</v>
      </c>
      <c r="V47" s="92">
        <v>46153</v>
      </c>
      <c r="W47" s="92">
        <v>46154</v>
      </c>
      <c r="X47" s="92">
        <v>46164</v>
      </c>
      <c r="Y47" s="97"/>
      <c r="Z47" s="88"/>
      <c r="AA47" s="96"/>
      <c r="AB47" s="88"/>
      <c r="AC47" s="119"/>
      <c r="AD47" s="88"/>
      <c r="AE47" s="88"/>
      <c r="AF47" s="98"/>
      <c r="AG47" s="98"/>
      <c r="AH47" s="98"/>
      <c r="AI47" s="99" t="s">
        <v>47</v>
      </c>
      <c r="AJ47" s="99"/>
      <c r="AK47" s="99"/>
      <c r="AL47" s="44" t="s">
        <v>62</v>
      </c>
      <c r="AM47" s="196" t="str">
        <f>MONTH(B47)&amp;"/"&amp;YEAR(B47)</f>
        <v>5/2026</v>
      </c>
      <c r="AN47" s="44">
        <f>WEEKNUM(B47)-WEEKNUM(EOMONTH(B47,-1)+1)+1</f>
        <v>2</v>
      </c>
      <c r="AO47" s="44" t="str">
        <f>MONTH(R47)&amp;"/"&amp;YEAR(R47)</f>
        <v>1/1900</v>
      </c>
      <c r="AP47" s="44" t="e">
        <f>WEEKNUM(R47)-WEEKNUM(EOMONTH(R47,-1)+1)+1</f>
        <v>#NUM!</v>
      </c>
      <c r="AQ47" s="44">
        <f>IF(AU47="S",IF(Q47="1. Aceitou o programa",R47-B47,0),0)</f>
        <v>0</v>
      </c>
      <c r="AR47" s="44">
        <f>IF(AU47="S",IF(AND(S47&lt;&gt;"",R47&lt;&gt;""),S47-R47,0),0)</f>
        <v>0</v>
      </c>
      <c r="AS47" s="44">
        <f>IF(AU47="S",IF(Q47="1. Aceitou o programa",IF(OR(X47="Não se Aplica",X47=""),IF(OR(W47="Não se Aplica",W47=""),0,W47-V47),AVERAGE(X47-W47,W47-V47)),0),0)</f>
        <v>0</v>
      </c>
      <c r="AT47" s="44">
        <f>IF(AU47="S",IF(AND(Q47="1. Aceitou o programa",AB47="Realizada"),IFERROR(IF(AA47="",0,AA47-R47),0),0),0)</f>
        <v>0</v>
      </c>
      <c r="AU47" s="44" t="str">
        <f>_xlfn.XLOOKUP(U47,'Lista Suspensa'!$AA$20:$AA$23,'Lista Suspensa'!$AB$20:$AB$23,"N/A")</f>
        <v>S</v>
      </c>
    </row>
    <row r="48" spans="1:47" ht="12" hidden="1" customHeight="1">
      <c r="A48" s="86" t="s">
        <v>47</v>
      </c>
      <c r="B48" s="87">
        <v>46147</v>
      </c>
      <c r="C48" s="88" t="s">
        <v>48</v>
      </c>
      <c r="D48" s="88" t="s">
        <v>49</v>
      </c>
      <c r="E48" s="89">
        <v>95581407</v>
      </c>
      <c r="F48" s="218" t="s">
        <v>219</v>
      </c>
      <c r="G48" s="91">
        <v>55184626700</v>
      </c>
      <c r="H48" s="92">
        <v>22038</v>
      </c>
      <c r="I48" s="88">
        <v>66</v>
      </c>
      <c r="J48" s="88" t="s">
        <v>51</v>
      </c>
      <c r="K48" s="88" t="s">
        <v>80</v>
      </c>
      <c r="L48" s="88" t="s">
        <v>87</v>
      </c>
      <c r="M48" s="88"/>
      <c r="N48" s="88" t="s">
        <v>122</v>
      </c>
      <c r="O48" s="93" t="s">
        <v>220</v>
      </c>
      <c r="P48" s="94" t="s">
        <v>56</v>
      </c>
      <c r="Q48" s="142" t="s">
        <v>68</v>
      </c>
      <c r="R48" s="95">
        <v>46153</v>
      </c>
      <c r="S48" s="96"/>
      <c r="T48" s="96" t="s">
        <v>69</v>
      </c>
      <c r="U48" s="96" t="s">
        <v>70</v>
      </c>
      <c r="V48" s="92">
        <v>46153</v>
      </c>
      <c r="W48" s="92" t="s">
        <v>71</v>
      </c>
      <c r="X48" s="92" t="s">
        <v>71</v>
      </c>
      <c r="Y48" s="97"/>
      <c r="Z48" s="88" t="s">
        <v>72</v>
      </c>
      <c r="AA48" s="96" t="s">
        <v>221</v>
      </c>
      <c r="AB48" s="88" t="s">
        <v>74</v>
      </c>
      <c r="AC48" s="119"/>
      <c r="AD48" s="88" t="s">
        <v>113</v>
      </c>
      <c r="AE48" s="88">
        <v>52</v>
      </c>
      <c r="AF48" s="98" t="s">
        <v>85</v>
      </c>
      <c r="AG48" s="98" t="s">
        <v>85</v>
      </c>
      <c r="AH48" s="98" t="s">
        <v>77</v>
      </c>
      <c r="AI48" s="99" t="s">
        <v>61</v>
      </c>
      <c r="AJ48" s="99" t="s">
        <v>61</v>
      </c>
      <c r="AK48" s="99" t="s">
        <v>61</v>
      </c>
      <c r="AL48" s="44" t="s">
        <v>62</v>
      </c>
      <c r="AM48" s="196" t="str">
        <f>MONTH(B48)&amp;"/"&amp;YEAR(B48)</f>
        <v>5/2026</v>
      </c>
      <c r="AN48" s="44">
        <f>WEEKNUM(B48)-WEEKNUM(EOMONTH(B48,-1)+1)+1</f>
        <v>2</v>
      </c>
      <c r="AO48" s="44" t="str">
        <f>MONTH(R48)&amp;"/"&amp;YEAR(R48)</f>
        <v>5/2026</v>
      </c>
      <c r="AP48" s="44">
        <f>WEEKNUM(R48)-WEEKNUM(EOMONTH(R48,-1)+1)+1</f>
        <v>3</v>
      </c>
      <c r="AQ48" s="44">
        <f>IF(AU48="S",IF(Q48="1. Aceitou o programa",R48-B48,0),0)</f>
        <v>6</v>
      </c>
      <c r="AR48" s="44">
        <f>IF(AU48="S",IF(AND(S48&lt;&gt;"",R48&lt;&gt;""),S48-R48,0),0)</f>
        <v>0</v>
      </c>
      <c r="AS48" s="44">
        <f>IF(AU48="S",IF(Q48="1. Aceitou o programa",IF(OR(X48="Não se Aplica",X48=""),IF(OR(W48="Não se Aplica",W48=""),0,W48-V48),AVERAGE(X48-W48,W48-V48)),0),0)</f>
        <v>0</v>
      </c>
      <c r="AT48" s="44">
        <f>IF(AU48="S",IF(AND(Q48="1. Aceitou o programa",AB48="Realizada"),IFERROR(IF(AA48="",0,AA48-R48),0),0),0)</f>
        <v>8.6805555555547471</v>
      </c>
      <c r="AU48" s="44" t="str">
        <f>_xlfn.XLOOKUP(U48,'Lista Suspensa'!$AA$20:$AA$23,'Lista Suspensa'!$AB$20:$AB$23,"N/A")</f>
        <v>S</v>
      </c>
    </row>
    <row r="49" spans="1:47" ht="12" hidden="1" customHeight="1">
      <c r="A49" s="86" t="s">
        <v>47</v>
      </c>
      <c r="B49" s="87">
        <v>46147</v>
      </c>
      <c r="C49" s="88" t="s">
        <v>48</v>
      </c>
      <c r="D49" s="88" t="s">
        <v>49</v>
      </c>
      <c r="E49" s="89">
        <v>416903452</v>
      </c>
      <c r="F49" s="218" t="s">
        <v>222</v>
      </c>
      <c r="G49" s="91">
        <v>41047745704</v>
      </c>
      <c r="H49" s="92">
        <v>18307</v>
      </c>
      <c r="I49" s="88">
        <v>76</v>
      </c>
      <c r="J49" s="88" t="s">
        <v>64</v>
      </c>
      <c r="K49" s="88" t="s">
        <v>80</v>
      </c>
      <c r="L49" s="88" t="s">
        <v>87</v>
      </c>
      <c r="M49" s="88"/>
      <c r="N49" s="88" t="s">
        <v>223</v>
      </c>
      <c r="O49" s="93" t="s">
        <v>224</v>
      </c>
      <c r="P49" s="94" t="s">
        <v>56</v>
      </c>
      <c r="Q49" s="142" t="s">
        <v>57</v>
      </c>
      <c r="R49" s="95"/>
      <c r="S49" s="96">
        <v>46170</v>
      </c>
      <c r="T49" s="96" t="s">
        <v>58</v>
      </c>
      <c r="U49" s="96" t="s">
        <v>59</v>
      </c>
      <c r="V49" s="92">
        <v>46153</v>
      </c>
      <c r="W49" s="92">
        <v>46154</v>
      </c>
      <c r="X49" s="92">
        <v>46164</v>
      </c>
      <c r="Y49" s="97"/>
      <c r="Z49" s="88"/>
      <c r="AA49" s="96"/>
      <c r="AB49" s="88"/>
      <c r="AC49" s="119"/>
      <c r="AD49" s="88"/>
      <c r="AE49" s="88"/>
      <c r="AF49" s="98"/>
      <c r="AG49" s="98"/>
      <c r="AH49" s="98"/>
      <c r="AI49" s="99" t="s">
        <v>47</v>
      </c>
      <c r="AJ49" s="99"/>
      <c r="AK49" s="99"/>
      <c r="AL49" s="44" t="s">
        <v>62</v>
      </c>
      <c r="AM49" s="196" t="str">
        <f>MONTH(B49)&amp;"/"&amp;YEAR(B49)</f>
        <v>5/2026</v>
      </c>
      <c r="AN49" s="44">
        <f>WEEKNUM(B49)-WEEKNUM(EOMONTH(B49,-1)+1)+1</f>
        <v>2</v>
      </c>
      <c r="AO49" s="44" t="str">
        <f>MONTH(R49)&amp;"/"&amp;YEAR(R49)</f>
        <v>1/1900</v>
      </c>
      <c r="AP49" s="44" t="e">
        <f>WEEKNUM(R49)-WEEKNUM(EOMONTH(R49,-1)+1)+1</f>
        <v>#NUM!</v>
      </c>
      <c r="AQ49" s="44">
        <f>IF(AU49="S",IF(Q49="1. Aceitou o programa",R49-B49,0),0)</f>
        <v>0</v>
      </c>
      <c r="AR49" s="44">
        <f>IF(AU49="S",IF(AND(S49&lt;&gt;"",R49&lt;&gt;""),S49-R49,0),0)</f>
        <v>0</v>
      </c>
      <c r="AS49" s="44">
        <f>IF(AU49="S",IF(Q49="1. Aceitou o programa",IF(OR(X49="Não se Aplica",X49=""),IF(OR(W49="Não se Aplica",W49=""),0,W49-V49),AVERAGE(X49-W49,W49-V49)),0),0)</f>
        <v>0</v>
      </c>
      <c r="AT49" s="44">
        <f>IF(AU49="S",IF(AND(Q49="1. Aceitou o programa",AB49="Realizada"),IFERROR(IF(AA49="",0,AA49-R49),0),0),0)</f>
        <v>0</v>
      </c>
      <c r="AU49" s="44" t="str">
        <f>_xlfn.XLOOKUP(U49,'Lista Suspensa'!$AA$20:$AA$23,'Lista Suspensa'!$AB$20:$AB$23,"N/A")</f>
        <v>S</v>
      </c>
    </row>
    <row r="50" spans="1:47" ht="12" hidden="1" customHeight="1">
      <c r="A50" s="86" t="s">
        <v>47</v>
      </c>
      <c r="B50" s="87">
        <v>46147</v>
      </c>
      <c r="C50" s="88" t="s">
        <v>48</v>
      </c>
      <c r="D50" s="88" t="s">
        <v>49</v>
      </c>
      <c r="E50" s="89">
        <v>799336807</v>
      </c>
      <c r="F50" s="218" t="s">
        <v>225</v>
      </c>
      <c r="G50" s="91">
        <v>91930995849</v>
      </c>
      <c r="H50" s="92">
        <v>19857</v>
      </c>
      <c r="I50" s="88">
        <v>72</v>
      </c>
      <c r="J50" s="88" t="s">
        <v>64</v>
      </c>
      <c r="K50" s="88" t="s">
        <v>52</v>
      </c>
      <c r="L50" s="88" t="s">
        <v>53</v>
      </c>
      <c r="M50" s="88"/>
      <c r="N50" s="88" t="s">
        <v>54</v>
      </c>
      <c r="O50" s="93" t="s">
        <v>226</v>
      </c>
      <c r="P50" s="94" t="s">
        <v>56</v>
      </c>
      <c r="Q50" s="142" t="s">
        <v>68</v>
      </c>
      <c r="R50" s="95">
        <v>46171</v>
      </c>
      <c r="S50" s="96"/>
      <c r="T50" s="96" t="s">
        <v>69</v>
      </c>
      <c r="U50" s="96" t="s">
        <v>70</v>
      </c>
      <c r="V50" s="92">
        <v>46153</v>
      </c>
      <c r="W50" s="92">
        <v>46154</v>
      </c>
      <c r="X50" s="92">
        <v>46164</v>
      </c>
      <c r="Y50" s="97"/>
      <c r="Z50" s="88" t="s">
        <v>72</v>
      </c>
      <c r="AA50" s="96">
        <v>46178</v>
      </c>
      <c r="AB50" s="88" t="s">
        <v>74</v>
      </c>
      <c r="AC50" s="119"/>
      <c r="AD50" s="88" t="s">
        <v>75</v>
      </c>
      <c r="AE50" s="88">
        <v>62</v>
      </c>
      <c r="AF50" s="98"/>
      <c r="AG50" s="98"/>
      <c r="AH50" s="98" t="s">
        <v>77</v>
      </c>
      <c r="AI50" s="99" t="s">
        <v>47</v>
      </c>
      <c r="AJ50" s="99" t="s">
        <v>61</v>
      </c>
      <c r="AK50" s="99" t="s">
        <v>78</v>
      </c>
      <c r="AL50" s="44" t="s">
        <v>62</v>
      </c>
      <c r="AM50" s="196" t="str">
        <f>MONTH(B50)&amp;"/"&amp;YEAR(B50)</f>
        <v>5/2026</v>
      </c>
      <c r="AN50" s="44">
        <f>WEEKNUM(B50)-WEEKNUM(EOMONTH(B50,-1)+1)+1</f>
        <v>2</v>
      </c>
      <c r="AO50" s="44" t="str">
        <f>MONTH(R50)&amp;"/"&amp;YEAR(R50)</f>
        <v>5/2026</v>
      </c>
      <c r="AP50" s="44">
        <f>WEEKNUM(R50)-WEEKNUM(EOMONTH(R50,-1)+1)+1</f>
        <v>5</v>
      </c>
      <c r="AQ50" s="44">
        <f>IF(AU50="S",IF(Q50="1. Aceitou o programa",R50-B50,0),0)</f>
        <v>24</v>
      </c>
      <c r="AR50" s="44">
        <f>IF(AU50="S",IF(AND(S50&lt;&gt;"",R50&lt;&gt;""),S50-R50,0),0)</f>
        <v>0</v>
      </c>
      <c r="AS50" s="44">
        <f>IF(AU50="S",IF(Q50="1. Aceitou o programa",IF(OR(X50="Não se Aplica",X50=""),IF(OR(W50="Não se Aplica",W50=""),0,W50-V50),AVERAGE(X50-W50,W50-V50)),0),0)</f>
        <v>5.5</v>
      </c>
      <c r="AT50" s="44">
        <f>IF(AU50="S",IF(AND(Q50="1. Aceitou o programa",AB50="Realizada"),IFERROR(IF(AA50="",0,AA50-R50),0),0),0)</f>
        <v>7</v>
      </c>
      <c r="AU50" s="44" t="str">
        <f>_xlfn.XLOOKUP(U50,'Lista Suspensa'!$AA$20:$AA$23,'Lista Suspensa'!$AB$20:$AB$23,"N/A")</f>
        <v>S</v>
      </c>
    </row>
    <row r="51" spans="1:47" ht="12" hidden="1" customHeight="1">
      <c r="A51" s="86" t="s">
        <v>47</v>
      </c>
      <c r="B51" s="87">
        <v>46147</v>
      </c>
      <c r="C51" s="88" t="s">
        <v>48</v>
      </c>
      <c r="D51" s="88" t="s">
        <v>49</v>
      </c>
      <c r="E51" s="89">
        <v>88226144</v>
      </c>
      <c r="F51" s="218" t="s">
        <v>227</v>
      </c>
      <c r="G51" s="91">
        <v>7192755710</v>
      </c>
      <c r="H51" s="92">
        <v>28407</v>
      </c>
      <c r="I51" s="88">
        <v>48</v>
      </c>
      <c r="J51" s="88" t="s">
        <v>64</v>
      </c>
      <c r="K51" s="88" t="s">
        <v>80</v>
      </c>
      <c r="L51" s="88" t="s">
        <v>87</v>
      </c>
      <c r="M51" s="88"/>
      <c r="N51" s="88" t="s">
        <v>94</v>
      </c>
      <c r="O51" s="93" t="s">
        <v>228</v>
      </c>
      <c r="P51" s="94" t="s">
        <v>56</v>
      </c>
      <c r="Q51" s="142" t="s">
        <v>57</v>
      </c>
      <c r="R51" s="95"/>
      <c r="S51" s="96">
        <v>46170</v>
      </c>
      <c r="T51" s="96" t="s">
        <v>58</v>
      </c>
      <c r="U51" s="96" t="s">
        <v>59</v>
      </c>
      <c r="V51" s="92">
        <v>46153</v>
      </c>
      <c r="W51" s="92">
        <v>46154</v>
      </c>
      <c r="X51" s="92">
        <v>46164</v>
      </c>
      <c r="Y51" s="97"/>
      <c r="Z51" s="88"/>
      <c r="AA51" s="96"/>
      <c r="AB51" s="88"/>
      <c r="AC51" s="119"/>
      <c r="AD51" s="88"/>
      <c r="AE51" s="88"/>
      <c r="AF51" s="98"/>
      <c r="AG51" s="98"/>
      <c r="AH51" s="98"/>
      <c r="AI51" s="99" t="s">
        <v>47</v>
      </c>
      <c r="AJ51" s="99"/>
      <c r="AK51" s="99"/>
      <c r="AL51" s="44" t="s">
        <v>62</v>
      </c>
      <c r="AM51" s="196" t="str">
        <f>MONTH(B51)&amp;"/"&amp;YEAR(B51)</f>
        <v>5/2026</v>
      </c>
      <c r="AN51" s="44">
        <f>WEEKNUM(B51)-WEEKNUM(EOMONTH(B51,-1)+1)+1</f>
        <v>2</v>
      </c>
      <c r="AO51" s="44" t="str">
        <f>MONTH(R51)&amp;"/"&amp;YEAR(R51)</f>
        <v>1/1900</v>
      </c>
      <c r="AP51" s="44" t="e">
        <f>WEEKNUM(R51)-WEEKNUM(EOMONTH(R51,-1)+1)+1</f>
        <v>#NUM!</v>
      </c>
      <c r="AQ51" s="44">
        <f>IF(AU51="S",IF(Q51="1. Aceitou o programa",R51-B51,0),0)</f>
        <v>0</v>
      </c>
      <c r="AR51" s="44">
        <f>IF(AU51="S",IF(AND(S51&lt;&gt;"",R51&lt;&gt;""),S51-R51,0),0)</f>
        <v>0</v>
      </c>
      <c r="AS51" s="44">
        <f>IF(AU51="S",IF(Q51="1. Aceitou o programa",IF(OR(X51="Não se Aplica",X51=""),IF(OR(W51="Não se Aplica",W51=""),0,W51-V51),AVERAGE(X51-W51,W51-V51)),0),0)</f>
        <v>0</v>
      </c>
      <c r="AT51" s="44">
        <f>IF(AU51="S",IF(AND(Q51="1. Aceitou o programa",AB51="Realizada"),IFERROR(IF(AA51="",0,AA51-R51),0),0),0)</f>
        <v>0</v>
      </c>
      <c r="AU51" s="44" t="str">
        <f>_xlfn.XLOOKUP(U51,'Lista Suspensa'!$AA$20:$AA$23,'Lista Suspensa'!$AB$20:$AB$23,"N/A")</f>
        <v>S</v>
      </c>
    </row>
    <row r="52" spans="1:47" ht="12" hidden="1" customHeight="1">
      <c r="A52" s="86" t="s">
        <v>47</v>
      </c>
      <c r="B52" s="87">
        <v>46147</v>
      </c>
      <c r="C52" s="88" t="s">
        <v>48</v>
      </c>
      <c r="D52" s="88" t="s">
        <v>49</v>
      </c>
      <c r="E52" s="89">
        <v>77841571</v>
      </c>
      <c r="F52" s="218" t="s">
        <v>229</v>
      </c>
      <c r="G52" s="91">
        <v>69860076715</v>
      </c>
      <c r="H52" s="92">
        <v>19002</v>
      </c>
      <c r="I52" s="88">
        <v>74</v>
      </c>
      <c r="J52" s="88" t="s">
        <v>64</v>
      </c>
      <c r="K52" s="88" t="s">
        <v>80</v>
      </c>
      <c r="L52" s="88" t="s">
        <v>87</v>
      </c>
      <c r="M52" s="88"/>
      <c r="N52" s="88" t="s">
        <v>91</v>
      </c>
      <c r="O52" s="93" t="s">
        <v>230</v>
      </c>
      <c r="P52" s="94" t="s">
        <v>56</v>
      </c>
      <c r="Q52" s="142" t="s">
        <v>68</v>
      </c>
      <c r="R52" s="95">
        <v>46170</v>
      </c>
      <c r="S52" s="96"/>
      <c r="T52" s="96" t="s">
        <v>69</v>
      </c>
      <c r="U52" s="96" t="s">
        <v>70</v>
      </c>
      <c r="V52" s="92">
        <v>46153</v>
      </c>
      <c r="W52" s="92">
        <v>46154</v>
      </c>
      <c r="X52" s="92">
        <v>46164</v>
      </c>
      <c r="Y52" s="97"/>
      <c r="Z52" s="88" t="s">
        <v>72</v>
      </c>
      <c r="AA52" s="96">
        <v>46171.472222222219</v>
      </c>
      <c r="AB52" s="88"/>
      <c r="AC52" s="119"/>
      <c r="AD52" s="88"/>
      <c r="AE52" s="88"/>
      <c r="AF52" s="98"/>
      <c r="AG52" s="98"/>
      <c r="AH52" s="98"/>
      <c r="AI52" s="99" t="s">
        <v>47</v>
      </c>
      <c r="AJ52" s="99" t="s">
        <v>61</v>
      </c>
      <c r="AK52" s="99" t="s">
        <v>78</v>
      </c>
      <c r="AL52" s="44" t="s">
        <v>62</v>
      </c>
      <c r="AM52" s="196" t="str">
        <f>MONTH(B52)&amp;"/"&amp;YEAR(B52)</f>
        <v>5/2026</v>
      </c>
      <c r="AN52" s="44">
        <f>WEEKNUM(B52)-WEEKNUM(EOMONTH(B52,-1)+1)+1</f>
        <v>2</v>
      </c>
      <c r="AO52" s="44" t="str">
        <f>MONTH(R52)&amp;"/"&amp;YEAR(R52)</f>
        <v>5/2026</v>
      </c>
      <c r="AP52" s="44">
        <f>WEEKNUM(R52)-WEEKNUM(EOMONTH(R52,-1)+1)+1</f>
        <v>5</v>
      </c>
      <c r="AQ52" s="44">
        <f>IF(AU52="S",IF(Q52="1. Aceitou o programa",R52-B52,0),0)</f>
        <v>23</v>
      </c>
      <c r="AR52" s="44">
        <f>IF(AU52="S",IF(AND(S52&lt;&gt;"",R52&lt;&gt;""),S52-R52,0),0)</f>
        <v>0</v>
      </c>
      <c r="AS52" s="44">
        <f>IF(AU52="S",IF(Q52="1. Aceitou o programa",IF(OR(X52="Não se Aplica",X52=""),IF(OR(W52="Não se Aplica",W52=""),0,W52-V52),AVERAGE(X52-W52,W52-V52)),0),0)</f>
        <v>5.5</v>
      </c>
      <c r="AT52" s="44">
        <f>IF(AU52="S",IF(AND(Q52="1. Aceitou o programa",AB52="Realizada"),IFERROR(IF(AA52="",0,AA52-R52),0),0),0)</f>
        <v>0</v>
      </c>
      <c r="AU52" s="44" t="str">
        <f>_xlfn.XLOOKUP(U52,'Lista Suspensa'!$AA$20:$AA$23,'Lista Suspensa'!$AB$20:$AB$23,"N/A")</f>
        <v>S</v>
      </c>
    </row>
    <row r="53" spans="1:47" ht="12" hidden="1" customHeight="1">
      <c r="A53" s="86" t="s">
        <v>47</v>
      </c>
      <c r="B53" s="87">
        <v>46147</v>
      </c>
      <c r="C53" s="88" t="s">
        <v>48</v>
      </c>
      <c r="D53" s="88" t="s">
        <v>49</v>
      </c>
      <c r="E53" s="89">
        <v>93831304</v>
      </c>
      <c r="F53" s="218" t="s">
        <v>231</v>
      </c>
      <c r="G53" s="91">
        <v>82452385700</v>
      </c>
      <c r="H53" s="92">
        <v>23670</v>
      </c>
      <c r="I53" s="88">
        <v>61</v>
      </c>
      <c r="J53" s="88" t="s">
        <v>51</v>
      </c>
      <c r="K53" s="88" t="s">
        <v>80</v>
      </c>
      <c r="L53" s="88" t="s">
        <v>87</v>
      </c>
      <c r="M53" s="88"/>
      <c r="N53" s="88" t="s">
        <v>143</v>
      </c>
      <c r="O53" s="93" t="s">
        <v>232</v>
      </c>
      <c r="P53" s="94" t="s">
        <v>56</v>
      </c>
      <c r="Q53" s="142" t="s">
        <v>57</v>
      </c>
      <c r="R53" s="95"/>
      <c r="S53" s="96">
        <v>46170</v>
      </c>
      <c r="T53" s="96" t="s">
        <v>58</v>
      </c>
      <c r="U53" s="96" t="s">
        <v>59</v>
      </c>
      <c r="V53" s="92">
        <v>46153</v>
      </c>
      <c r="W53" s="92">
        <v>46154</v>
      </c>
      <c r="X53" s="92">
        <v>46164</v>
      </c>
      <c r="Y53" s="97"/>
      <c r="Z53" s="88"/>
      <c r="AA53" s="96"/>
      <c r="AB53" s="88"/>
      <c r="AC53" s="119"/>
      <c r="AD53" s="88"/>
      <c r="AE53" s="88"/>
      <c r="AF53" s="98"/>
      <c r="AG53" s="98"/>
      <c r="AH53" s="98"/>
      <c r="AI53" s="99" t="s">
        <v>47</v>
      </c>
      <c r="AJ53" s="99"/>
      <c r="AK53" s="99"/>
      <c r="AL53" s="44" t="s">
        <v>62</v>
      </c>
      <c r="AM53" s="196" t="str">
        <f>MONTH(B53)&amp;"/"&amp;YEAR(B53)</f>
        <v>5/2026</v>
      </c>
      <c r="AN53" s="44">
        <f>WEEKNUM(B53)-WEEKNUM(EOMONTH(B53,-1)+1)+1</f>
        <v>2</v>
      </c>
      <c r="AO53" s="44" t="str">
        <f>MONTH(R53)&amp;"/"&amp;YEAR(R53)</f>
        <v>1/1900</v>
      </c>
      <c r="AP53" s="44" t="e">
        <f>WEEKNUM(R53)-WEEKNUM(EOMONTH(R53,-1)+1)+1</f>
        <v>#NUM!</v>
      </c>
      <c r="AQ53" s="44">
        <f>IF(AU53="S",IF(Q53="1. Aceitou o programa",R53-B53,0),0)</f>
        <v>0</v>
      </c>
      <c r="AR53" s="44">
        <f>IF(AU53="S",IF(AND(S53&lt;&gt;"",R53&lt;&gt;""),S53-R53,0),0)</f>
        <v>0</v>
      </c>
      <c r="AS53" s="44">
        <f>IF(AU53="S",IF(Q53="1. Aceitou o programa",IF(OR(X53="Não se Aplica",X53=""),IF(OR(W53="Não se Aplica",W53=""),0,W53-V53),AVERAGE(X53-W53,W53-V53)),0),0)</f>
        <v>0</v>
      </c>
      <c r="AT53" s="44">
        <f>IF(AU53="S",IF(AND(Q53="1. Aceitou o programa",AB53="Realizada"),IFERROR(IF(AA53="",0,AA53-R53),0),0),0)</f>
        <v>0</v>
      </c>
      <c r="AU53" s="44" t="str">
        <f>_xlfn.XLOOKUP(U53,'Lista Suspensa'!$AA$20:$AA$23,'Lista Suspensa'!$AB$20:$AB$23,"N/A")</f>
        <v>S</v>
      </c>
    </row>
    <row r="54" spans="1:47" ht="12" hidden="1" customHeight="1">
      <c r="A54" s="86" t="s">
        <v>47</v>
      </c>
      <c r="B54" s="87">
        <v>46147</v>
      </c>
      <c r="C54" s="88" t="s">
        <v>48</v>
      </c>
      <c r="D54" s="88" t="s">
        <v>49</v>
      </c>
      <c r="E54" s="89">
        <v>751467251</v>
      </c>
      <c r="F54" s="218" t="s">
        <v>233</v>
      </c>
      <c r="G54" s="91">
        <v>18509720797</v>
      </c>
      <c r="H54" s="92">
        <v>16188</v>
      </c>
      <c r="I54" s="88">
        <v>82</v>
      </c>
      <c r="J54" s="88" t="s">
        <v>51</v>
      </c>
      <c r="K54" s="88" t="s">
        <v>80</v>
      </c>
      <c r="L54" s="88" t="s">
        <v>87</v>
      </c>
      <c r="M54" s="88"/>
      <c r="N54" s="88" t="s">
        <v>138</v>
      </c>
      <c r="O54" s="93" t="s">
        <v>234</v>
      </c>
      <c r="P54" s="94" t="s">
        <v>56</v>
      </c>
      <c r="Q54" s="142" t="s">
        <v>57</v>
      </c>
      <c r="R54" s="95"/>
      <c r="S54" s="96">
        <v>46170</v>
      </c>
      <c r="T54" s="96" t="s">
        <v>58</v>
      </c>
      <c r="U54" s="96" t="s">
        <v>59</v>
      </c>
      <c r="V54" s="92">
        <v>46153</v>
      </c>
      <c r="W54" s="92">
        <v>46154</v>
      </c>
      <c r="X54" s="92">
        <v>46164</v>
      </c>
      <c r="Y54" s="97"/>
      <c r="Z54" s="88"/>
      <c r="AA54" s="96"/>
      <c r="AB54" s="88"/>
      <c r="AC54" s="119"/>
      <c r="AD54" s="88"/>
      <c r="AE54" s="88"/>
      <c r="AF54" s="98"/>
      <c r="AG54" s="98"/>
      <c r="AH54" s="98"/>
      <c r="AI54" s="99" t="s">
        <v>47</v>
      </c>
      <c r="AJ54" s="99"/>
      <c r="AK54" s="99"/>
      <c r="AL54" s="44" t="s">
        <v>62</v>
      </c>
      <c r="AM54" s="196" t="str">
        <f>MONTH(B54)&amp;"/"&amp;YEAR(B54)</f>
        <v>5/2026</v>
      </c>
      <c r="AN54" s="44">
        <f>WEEKNUM(B54)-WEEKNUM(EOMONTH(B54,-1)+1)+1</f>
        <v>2</v>
      </c>
      <c r="AO54" s="44" t="str">
        <f>MONTH(R54)&amp;"/"&amp;YEAR(R54)</f>
        <v>1/1900</v>
      </c>
      <c r="AP54" s="44" t="e">
        <f>WEEKNUM(R54)-WEEKNUM(EOMONTH(R54,-1)+1)+1</f>
        <v>#NUM!</v>
      </c>
      <c r="AQ54" s="44">
        <f>IF(AU54="S",IF(Q54="1. Aceitou o programa",R54-B54,0),0)</f>
        <v>0</v>
      </c>
      <c r="AR54" s="44">
        <f>IF(AU54="S",IF(AND(S54&lt;&gt;"",R54&lt;&gt;""),S54-R54,0),0)</f>
        <v>0</v>
      </c>
      <c r="AS54" s="44">
        <f>IF(AU54="S",IF(Q54="1. Aceitou o programa",IF(OR(X54="Não se Aplica",X54=""),IF(OR(W54="Não se Aplica",W54=""),0,W54-V54),AVERAGE(X54-W54,W54-V54)),0),0)</f>
        <v>0</v>
      </c>
      <c r="AT54" s="44">
        <f>IF(AU54="S",IF(AND(Q54="1. Aceitou o programa",AB54="Realizada"),IFERROR(IF(AA54="",0,AA54-R54),0),0),0)</f>
        <v>0</v>
      </c>
      <c r="AU54" s="44" t="str">
        <f>_xlfn.XLOOKUP(U54,'Lista Suspensa'!$AA$20:$AA$23,'Lista Suspensa'!$AB$20:$AB$23,"N/A")</f>
        <v>S</v>
      </c>
    </row>
    <row r="55" spans="1:47" ht="12" hidden="1" customHeight="1">
      <c r="A55" s="86" t="s">
        <v>47</v>
      </c>
      <c r="B55" s="87">
        <v>46147</v>
      </c>
      <c r="C55" s="88" t="s">
        <v>48</v>
      </c>
      <c r="D55" s="88" t="s">
        <v>49</v>
      </c>
      <c r="E55" s="89">
        <v>73284210</v>
      </c>
      <c r="F55" s="218" t="s">
        <v>235</v>
      </c>
      <c r="G55" s="91">
        <v>4700256893</v>
      </c>
      <c r="H55" s="92">
        <v>21190</v>
      </c>
      <c r="I55" s="88">
        <v>68</v>
      </c>
      <c r="J55" s="88" t="s">
        <v>64</v>
      </c>
      <c r="K55" s="88" t="s">
        <v>52</v>
      </c>
      <c r="L55" s="88" t="s">
        <v>53</v>
      </c>
      <c r="M55" s="88"/>
      <c r="N55" s="88" t="s">
        <v>110</v>
      </c>
      <c r="O55" s="93" t="s">
        <v>236</v>
      </c>
      <c r="P55" s="94" t="s">
        <v>56</v>
      </c>
      <c r="Q55" s="142" t="s">
        <v>57</v>
      </c>
      <c r="R55" s="95"/>
      <c r="S55" s="96">
        <v>46170</v>
      </c>
      <c r="T55" s="96" t="s">
        <v>58</v>
      </c>
      <c r="U55" s="96" t="s">
        <v>59</v>
      </c>
      <c r="V55" s="92">
        <v>46153</v>
      </c>
      <c r="W55" s="92">
        <v>46154</v>
      </c>
      <c r="X55" s="92">
        <v>46164</v>
      </c>
      <c r="Y55" s="97"/>
      <c r="Z55" s="88"/>
      <c r="AA55" s="96"/>
      <c r="AB55" s="88"/>
      <c r="AC55" s="119"/>
      <c r="AD55" s="88"/>
      <c r="AE55" s="88"/>
      <c r="AF55" s="98"/>
      <c r="AG55" s="98"/>
      <c r="AH55" s="98"/>
      <c r="AI55" s="99" t="s">
        <v>47</v>
      </c>
      <c r="AJ55" s="99"/>
      <c r="AK55" s="99"/>
      <c r="AL55" s="44" t="s">
        <v>62</v>
      </c>
      <c r="AM55" s="196" t="str">
        <f>MONTH(B55)&amp;"/"&amp;YEAR(B55)</f>
        <v>5/2026</v>
      </c>
      <c r="AN55" s="44">
        <f>WEEKNUM(B55)-WEEKNUM(EOMONTH(B55,-1)+1)+1</f>
        <v>2</v>
      </c>
      <c r="AO55" s="44" t="str">
        <f>MONTH(R55)&amp;"/"&amp;YEAR(R55)</f>
        <v>1/1900</v>
      </c>
      <c r="AP55" s="44" t="e">
        <f>WEEKNUM(R55)-WEEKNUM(EOMONTH(R55,-1)+1)+1</f>
        <v>#NUM!</v>
      </c>
      <c r="AQ55" s="44">
        <f>IF(AU55="S",IF(Q55="1. Aceitou o programa",R55-B55,0),0)</f>
        <v>0</v>
      </c>
      <c r="AR55" s="44">
        <f>IF(AU55="S",IF(AND(S55&lt;&gt;"",R55&lt;&gt;""),S55-R55,0),0)</f>
        <v>0</v>
      </c>
      <c r="AS55" s="44">
        <f>IF(AU55="S",IF(Q55="1. Aceitou o programa",IF(OR(X55="Não se Aplica",X55=""),IF(OR(W55="Não se Aplica",W55=""),0,W55-V55),AVERAGE(X55-W55,W55-V55)),0),0)</f>
        <v>0</v>
      </c>
      <c r="AT55" s="44">
        <f>IF(AU55="S",IF(AND(Q55="1. Aceitou o programa",AB55="Realizada"),IFERROR(IF(AA55="",0,AA55-R55),0),0),0)</f>
        <v>0</v>
      </c>
      <c r="AU55" s="44" t="str">
        <f>_xlfn.XLOOKUP(U55,'Lista Suspensa'!$AA$20:$AA$23,'Lista Suspensa'!$AB$20:$AB$23,"N/A")</f>
        <v>S</v>
      </c>
    </row>
    <row r="56" spans="1:47" ht="12" hidden="1" customHeight="1">
      <c r="A56" s="86" t="s">
        <v>47</v>
      </c>
      <c r="B56" s="87">
        <v>46147</v>
      </c>
      <c r="C56" s="88" t="s">
        <v>48</v>
      </c>
      <c r="D56" s="88" t="s">
        <v>49</v>
      </c>
      <c r="E56" s="89">
        <v>73092759</v>
      </c>
      <c r="F56" s="218" t="s">
        <v>237</v>
      </c>
      <c r="G56" s="91">
        <v>63605066704</v>
      </c>
      <c r="H56" s="92">
        <v>21102</v>
      </c>
      <c r="I56" s="88">
        <v>68</v>
      </c>
      <c r="J56" s="88" t="s">
        <v>64</v>
      </c>
      <c r="K56" s="88" t="s">
        <v>80</v>
      </c>
      <c r="L56" s="88" t="s">
        <v>87</v>
      </c>
      <c r="M56" s="88"/>
      <c r="N56" s="88" t="s">
        <v>110</v>
      </c>
      <c r="O56" s="93" t="s">
        <v>238</v>
      </c>
      <c r="P56" s="94" t="s">
        <v>56</v>
      </c>
      <c r="Q56" s="142" t="s">
        <v>57</v>
      </c>
      <c r="R56" s="95"/>
      <c r="S56" s="96">
        <v>46170</v>
      </c>
      <c r="T56" s="96" t="s">
        <v>58</v>
      </c>
      <c r="U56" s="96" t="s">
        <v>59</v>
      </c>
      <c r="V56" s="92">
        <v>46153</v>
      </c>
      <c r="W56" s="92">
        <v>46154</v>
      </c>
      <c r="X56" s="92">
        <v>46164</v>
      </c>
      <c r="Y56" s="97"/>
      <c r="Z56" s="88"/>
      <c r="AA56" s="96"/>
      <c r="AB56" s="88"/>
      <c r="AC56" s="119"/>
      <c r="AD56" s="88"/>
      <c r="AE56" s="88"/>
      <c r="AF56" s="98"/>
      <c r="AG56" s="98"/>
      <c r="AH56" s="98"/>
      <c r="AI56" s="99" t="s">
        <v>47</v>
      </c>
      <c r="AJ56" s="99"/>
      <c r="AK56" s="99"/>
      <c r="AL56" s="44" t="s">
        <v>62</v>
      </c>
      <c r="AM56" s="196" t="str">
        <f>MONTH(B56)&amp;"/"&amp;YEAR(B56)</f>
        <v>5/2026</v>
      </c>
      <c r="AN56" s="44">
        <f>WEEKNUM(B56)-WEEKNUM(EOMONTH(B56,-1)+1)+1</f>
        <v>2</v>
      </c>
      <c r="AO56" s="44" t="str">
        <f>MONTH(R56)&amp;"/"&amp;YEAR(R56)</f>
        <v>1/1900</v>
      </c>
      <c r="AP56" s="44" t="e">
        <f>WEEKNUM(R56)-WEEKNUM(EOMONTH(R56,-1)+1)+1</f>
        <v>#NUM!</v>
      </c>
      <c r="AQ56" s="44">
        <f>IF(AU56="S",IF(Q56="1. Aceitou o programa",R56-B56,0),0)</f>
        <v>0</v>
      </c>
      <c r="AR56" s="44">
        <f>IF(AU56="S",IF(AND(S56&lt;&gt;"",R56&lt;&gt;""),S56-R56,0),0)</f>
        <v>0</v>
      </c>
      <c r="AS56" s="44">
        <f>IF(AU56="S",IF(Q56="1. Aceitou o programa",IF(OR(X56="Não se Aplica",X56=""),IF(OR(W56="Não se Aplica",W56=""),0,W56-V56),AVERAGE(X56-W56,W56-V56)),0),0)</f>
        <v>0</v>
      </c>
      <c r="AT56" s="44">
        <f>IF(AU56="S",IF(AND(Q56="1. Aceitou o programa",AB56="Realizada"),IFERROR(IF(AA56="",0,AA56-R56),0),0),0)</f>
        <v>0</v>
      </c>
      <c r="AU56" s="44" t="str">
        <f>_xlfn.XLOOKUP(U56,'Lista Suspensa'!$AA$20:$AA$23,'Lista Suspensa'!$AB$20:$AB$23,"N/A")</f>
        <v>S</v>
      </c>
    </row>
    <row r="57" spans="1:47" ht="12" hidden="1" customHeight="1">
      <c r="A57" s="86" t="s">
        <v>47</v>
      </c>
      <c r="B57" s="87">
        <v>46147</v>
      </c>
      <c r="C57" s="88" t="s">
        <v>48</v>
      </c>
      <c r="D57" s="88" t="s">
        <v>49</v>
      </c>
      <c r="E57" s="89">
        <v>94447882</v>
      </c>
      <c r="F57" s="218" t="s">
        <v>239</v>
      </c>
      <c r="G57" s="91">
        <v>57117462000</v>
      </c>
      <c r="H57" s="92">
        <v>25145</v>
      </c>
      <c r="I57" s="88">
        <v>57</v>
      </c>
      <c r="J57" s="88" t="s">
        <v>64</v>
      </c>
      <c r="K57" s="88" t="s">
        <v>52</v>
      </c>
      <c r="L57" s="88" t="s">
        <v>133</v>
      </c>
      <c r="M57" s="88"/>
      <c r="N57" s="88" t="s">
        <v>66</v>
      </c>
      <c r="O57" s="93" t="s">
        <v>240</v>
      </c>
      <c r="P57" s="94" t="s">
        <v>56</v>
      </c>
      <c r="Q57" s="142" t="s">
        <v>68</v>
      </c>
      <c r="R57" s="95">
        <v>46153</v>
      </c>
      <c r="S57" s="96"/>
      <c r="T57" s="96" t="s">
        <v>69</v>
      </c>
      <c r="U57" s="96" t="s">
        <v>70</v>
      </c>
      <c r="V57" s="92">
        <v>46153</v>
      </c>
      <c r="W57" s="92" t="s">
        <v>71</v>
      </c>
      <c r="X57" s="92" t="s">
        <v>71</v>
      </c>
      <c r="Y57" s="97"/>
      <c r="Z57" s="88" t="s">
        <v>72</v>
      </c>
      <c r="AA57" s="96" t="s">
        <v>241</v>
      </c>
      <c r="AB57" s="88" t="s">
        <v>74</v>
      </c>
      <c r="AC57" s="119"/>
      <c r="AD57" s="88" t="s">
        <v>75</v>
      </c>
      <c r="AE57" s="88">
        <v>61</v>
      </c>
      <c r="AF57" s="98" t="s">
        <v>242</v>
      </c>
      <c r="AG57" s="98" t="s">
        <v>242</v>
      </c>
      <c r="AH57" s="98" t="s">
        <v>77</v>
      </c>
      <c r="AI57" s="99" t="s">
        <v>61</v>
      </c>
      <c r="AJ57" s="99" t="s">
        <v>61</v>
      </c>
      <c r="AK57" s="99" t="s">
        <v>61</v>
      </c>
      <c r="AL57" s="44" t="s">
        <v>62</v>
      </c>
      <c r="AM57" s="196" t="str">
        <f>MONTH(B57)&amp;"/"&amp;YEAR(B57)</f>
        <v>5/2026</v>
      </c>
      <c r="AN57" s="44">
        <f>WEEKNUM(B57)-WEEKNUM(EOMONTH(B57,-1)+1)+1</f>
        <v>2</v>
      </c>
      <c r="AO57" s="44" t="str">
        <f>MONTH(R57)&amp;"/"&amp;YEAR(R57)</f>
        <v>5/2026</v>
      </c>
      <c r="AP57" s="44">
        <f>WEEKNUM(R57)-WEEKNUM(EOMONTH(R57,-1)+1)+1</f>
        <v>3</v>
      </c>
      <c r="AQ57" s="44">
        <f>IF(AU57="S",IF(Q57="1. Aceitou o programa",R57-B57,0),0)</f>
        <v>6</v>
      </c>
      <c r="AR57" s="44">
        <f>IF(AU57="S",IF(AND(S57&lt;&gt;"",R57&lt;&gt;""),S57-R57,0),0)</f>
        <v>0</v>
      </c>
      <c r="AS57" s="44">
        <f>IF(AU57="S",IF(Q57="1. Aceitou o programa",IF(OR(X57="Não se Aplica",X57=""),IF(OR(W57="Não se Aplica",W57=""),0,W57-V57),AVERAGE(X57-W57,W57-V57)),0),0)</f>
        <v>0</v>
      </c>
      <c r="AT57" s="44">
        <f>IF(AU57="S",IF(AND(Q57="1. Aceitou o programa",AB57="Realizada"),IFERROR(IF(AA57="",0,AA57-R57),0),0),0)</f>
        <v>15.472222222218988</v>
      </c>
      <c r="AU57" s="44" t="str">
        <f>_xlfn.XLOOKUP(U57,'Lista Suspensa'!$AA$20:$AA$23,'Lista Suspensa'!$AB$20:$AB$23,"N/A")</f>
        <v>S</v>
      </c>
    </row>
    <row r="58" spans="1:47" ht="12" hidden="1" customHeight="1">
      <c r="A58" s="86" t="s">
        <v>47</v>
      </c>
      <c r="B58" s="87">
        <v>46147</v>
      </c>
      <c r="C58" s="88" t="s">
        <v>48</v>
      </c>
      <c r="D58" s="88" t="s">
        <v>49</v>
      </c>
      <c r="E58" s="89">
        <v>83016104</v>
      </c>
      <c r="F58" s="218" t="s">
        <v>243</v>
      </c>
      <c r="G58" s="91">
        <v>8157877741</v>
      </c>
      <c r="H58" s="92">
        <v>29477</v>
      </c>
      <c r="I58" s="88">
        <v>45</v>
      </c>
      <c r="J58" s="88" t="s">
        <v>64</v>
      </c>
      <c r="K58" s="88" t="s">
        <v>80</v>
      </c>
      <c r="L58" s="88" t="s">
        <v>87</v>
      </c>
      <c r="M58" s="88"/>
      <c r="N58" s="88" t="s">
        <v>91</v>
      </c>
      <c r="O58" s="93" t="s">
        <v>244</v>
      </c>
      <c r="P58" s="94" t="s">
        <v>56</v>
      </c>
      <c r="Q58" s="142" t="s">
        <v>68</v>
      </c>
      <c r="R58" s="95">
        <v>46154</v>
      </c>
      <c r="S58" s="96"/>
      <c r="T58" s="96" t="s">
        <v>69</v>
      </c>
      <c r="U58" s="96" t="s">
        <v>70</v>
      </c>
      <c r="V58" s="92">
        <v>46153</v>
      </c>
      <c r="W58" s="92">
        <v>46154</v>
      </c>
      <c r="X58" s="92" t="s">
        <v>71</v>
      </c>
      <c r="Y58" s="97"/>
      <c r="Z58" s="88" t="s">
        <v>72</v>
      </c>
      <c r="AA58" s="96" t="s">
        <v>245</v>
      </c>
      <c r="AB58" s="88"/>
      <c r="AC58" s="119"/>
      <c r="AD58" s="88"/>
      <c r="AE58" s="88"/>
      <c r="AF58" s="98"/>
      <c r="AG58" s="98"/>
      <c r="AH58" s="98"/>
      <c r="AI58" s="99" t="s">
        <v>61</v>
      </c>
      <c r="AJ58" s="99" t="s">
        <v>61</v>
      </c>
      <c r="AK58" s="99" t="s">
        <v>61</v>
      </c>
      <c r="AL58" s="44" t="s">
        <v>62</v>
      </c>
      <c r="AM58" s="196" t="str">
        <f>MONTH(B58)&amp;"/"&amp;YEAR(B58)</f>
        <v>5/2026</v>
      </c>
      <c r="AN58" s="44">
        <f>WEEKNUM(B58)-WEEKNUM(EOMONTH(B58,-1)+1)+1</f>
        <v>2</v>
      </c>
      <c r="AO58" s="44" t="str">
        <f>MONTH(R58)&amp;"/"&amp;YEAR(R58)</f>
        <v>5/2026</v>
      </c>
      <c r="AP58" s="44">
        <f>WEEKNUM(R58)-WEEKNUM(EOMONTH(R58,-1)+1)+1</f>
        <v>3</v>
      </c>
      <c r="AQ58" s="44">
        <f>IF(AU58="S",IF(Q58="1. Aceitou o programa",R58-B58,0),0)</f>
        <v>7</v>
      </c>
      <c r="AR58" s="44">
        <f>IF(AU58="S",IF(AND(S58&lt;&gt;"",R58&lt;&gt;""),S58-R58,0),0)</f>
        <v>0</v>
      </c>
      <c r="AS58" s="44">
        <f>IF(AU58="S",IF(Q58="1. Aceitou o programa",IF(OR(X58="Não se Aplica",X58=""),IF(OR(W58="Não se Aplica",W58=""),0,W58-V58),AVERAGE(X58-W58,W58-V58)),0),0)</f>
        <v>1</v>
      </c>
      <c r="AT58" s="44">
        <f>IF(AU58="S",IF(AND(Q58="1. Aceitou o programa",AB58="Realizada"),IFERROR(IF(AA58="",0,AA58-R58),0),0),0)</f>
        <v>0</v>
      </c>
      <c r="AU58" s="44" t="str">
        <f>_xlfn.XLOOKUP(U58,'Lista Suspensa'!$AA$20:$AA$23,'Lista Suspensa'!$AB$20:$AB$23,"N/A")</f>
        <v>S</v>
      </c>
    </row>
    <row r="59" spans="1:47" ht="12" hidden="1" customHeight="1">
      <c r="A59" s="86" t="s">
        <v>47</v>
      </c>
      <c r="B59" s="87">
        <v>46147</v>
      </c>
      <c r="C59" s="88" t="s">
        <v>48</v>
      </c>
      <c r="D59" s="88" t="s">
        <v>49</v>
      </c>
      <c r="E59" s="89">
        <v>451089251</v>
      </c>
      <c r="F59" s="218" t="s">
        <v>246</v>
      </c>
      <c r="G59" s="91">
        <v>53319524887</v>
      </c>
      <c r="H59" s="92">
        <v>15397</v>
      </c>
      <c r="I59" s="88">
        <v>84</v>
      </c>
      <c r="J59" s="88" t="s">
        <v>64</v>
      </c>
      <c r="K59" s="88" t="s">
        <v>52</v>
      </c>
      <c r="L59" s="88" t="s">
        <v>53</v>
      </c>
      <c r="M59" s="88"/>
      <c r="N59" s="88" t="s">
        <v>99</v>
      </c>
      <c r="O59" s="93" t="s">
        <v>247</v>
      </c>
      <c r="P59" s="94" t="s">
        <v>56</v>
      </c>
      <c r="Q59" s="142" t="s">
        <v>68</v>
      </c>
      <c r="R59" s="95">
        <v>46154</v>
      </c>
      <c r="S59" s="96"/>
      <c r="T59" s="96" t="s">
        <v>69</v>
      </c>
      <c r="U59" s="96" t="s">
        <v>70</v>
      </c>
      <c r="V59" s="92">
        <v>46153</v>
      </c>
      <c r="W59" s="92">
        <v>46154</v>
      </c>
      <c r="X59" s="92" t="s">
        <v>71</v>
      </c>
      <c r="Y59" s="97"/>
      <c r="Z59" s="88" t="s">
        <v>72</v>
      </c>
      <c r="AA59" s="96">
        <v>46148.583332581016</v>
      </c>
      <c r="AB59" s="88"/>
      <c r="AC59" s="119"/>
      <c r="AD59" s="88"/>
      <c r="AE59" s="88"/>
      <c r="AF59" s="98"/>
      <c r="AG59" s="98"/>
      <c r="AH59" s="98"/>
      <c r="AI59" s="99" t="s">
        <v>61</v>
      </c>
      <c r="AJ59" s="99" t="s">
        <v>61</v>
      </c>
      <c r="AK59" s="99" t="s">
        <v>61</v>
      </c>
      <c r="AL59" s="44" t="s">
        <v>62</v>
      </c>
      <c r="AM59" s="196" t="str">
        <f>MONTH(B59)&amp;"/"&amp;YEAR(B59)</f>
        <v>5/2026</v>
      </c>
      <c r="AN59" s="44">
        <f>WEEKNUM(B59)-WEEKNUM(EOMONTH(B59,-1)+1)+1</f>
        <v>2</v>
      </c>
      <c r="AO59" s="44" t="str">
        <f>MONTH(R59)&amp;"/"&amp;YEAR(R59)</f>
        <v>5/2026</v>
      </c>
      <c r="AP59" s="44">
        <f>WEEKNUM(R59)-WEEKNUM(EOMONTH(R59,-1)+1)+1</f>
        <v>3</v>
      </c>
      <c r="AQ59" s="44">
        <f>IF(AU59="S",IF(Q59="1. Aceitou o programa",R59-B59,0),0)</f>
        <v>7</v>
      </c>
      <c r="AR59" s="44">
        <f>IF(AU59="S",IF(AND(S59&lt;&gt;"",R59&lt;&gt;""),S59-R59,0),0)</f>
        <v>0</v>
      </c>
      <c r="AS59" s="44">
        <f>IF(AU59="S",IF(Q59="1. Aceitou o programa",IF(OR(X59="Não se Aplica",X59=""),IF(OR(W59="Não se Aplica",W59=""),0,W59-V59),AVERAGE(X59-W59,W59-V59)),0),0)</f>
        <v>1</v>
      </c>
      <c r="AT59" s="44">
        <f>IF(AU59="S",IF(AND(Q59="1. Aceitou o programa",AB59="Realizada"),IFERROR(IF(AA59="",0,AA59-R59),0),0),0)</f>
        <v>0</v>
      </c>
      <c r="AU59" s="44" t="str">
        <f>_xlfn.XLOOKUP(U59,'Lista Suspensa'!$AA$20:$AA$23,'Lista Suspensa'!$AB$20:$AB$23,"N/A")</f>
        <v>S</v>
      </c>
    </row>
    <row r="60" spans="1:47" ht="12" hidden="1" customHeight="1">
      <c r="A60" s="86" t="s">
        <v>47</v>
      </c>
      <c r="B60" s="87">
        <v>46147</v>
      </c>
      <c r="C60" s="88" t="s">
        <v>48</v>
      </c>
      <c r="D60" s="88" t="s">
        <v>49</v>
      </c>
      <c r="E60" s="89">
        <v>76274284</v>
      </c>
      <c r="F60" s="218" t="s">
        <v>248</v>
      </c>
      <c r="G60" s="91">
        <v>1236673727</v>
      </c>
      <c r="H60" s="92">
        <v>26092</v>
      </c>
      <c r="I60" s="88">
        <v>54</v>
      </c>
      <c r="J60" s="88" t="s">
        <v>64</v>
      </c>
      <c r="K60" s="88" t="s">
        <v>80</v>
      </c>
      <c r="L60" s="88" t="s">
        <v>87</v>
      </c>
      <c r="M60" s="88"/>
      <c r="N60" s="88" t="s">
        <v>110</v>
      </c>
      <c r="O60" s="93" t="s">
        <v>249</v>
      </c>
      <c r="P60" s="94" t="s">
        <v>56</v>
      </c>
      <c r="Q60" s="142" t="s">
        <v>57</v>
      </c>
      <c r="R60" s="95"/>
      <c r="S60" s="96">
        <v>46170</v>
      </c>
      <c r="T60" s="96" t="s">
        <v>58</v>
      </c>
      <c r="U60" s="96" t="s">
        <v>59</v>
      </c>
      <c r="V60" s="92">
        <v>46153</v>
      </c>
      <c r="W60" s="92">
        <v>46154</v>
      </c>
      <c r="X60" s="92">
        <v>46164</v>
      </c>
      <c r="Y60" s="97"/>
      <c r="Z60" s="88"/>
      <c r="AA60" s="96"/>
      <c r="AB60" s="88"/>
      <c r="AC60" s="119"/>
      <c r="AD60" s="88"/>
      <c r="AE60" s="88"/>
      <c r="AF60" s="98"/>
      <c r="AG60" s="98"/>
      <c r="AH60" s="98"/>
      <c r="AI60" s="99" t="s">
        <v>47</v>
      </c>
      <c r="AJ60" s="99"/>
      <c r="AK60" s="99"/>
      <c r="AL60" s="44" t="s">
        <v>62</v>
      </c>
      <c r="AM60" s="196" t="str">
        <f>MONTH(B60)&amp;"/"&amp;YEAR(B60)</f>
        <v>5/2026</v>
      </c>
      <c r="AN60" s="44">
        <f>WEEKNUM(B60)-WEEKNUM(EOMONTH(B60,-1)+1)+1</f>
        <v>2</v>
      </c>
      <c r="AO60" s="44" t="str">
        <f>MONTH(R60)&amp;"/"&amp;YEAR(R60)</f>
        <v>1/1900</v>
      </c>
      <c r="AP60" s="44" t="e">
        <f>WEEKNUM(R60)-WEEKNUM(EOMONTH(R60,-1)+1)+1</f>
        <v>#NUM!</v>
      </c>
      <c r="AQ60" s="44">
        <f>IF(AU60="S",IF(Q60="1. Aceitou o programa",R60-B60,0),0)</f>
        <v>0</v>
      </c>
      <c r="AR60" s="44">
        <f>IF(AU60="S",IF(AND(S60&lt;&gt;"",R60&lt;&gt;""),S60-R60,0),0)</f>
        <v>0</v>
      </c>
      <c r="AS60" s="44">
        <f>IF(AU60="S",IF(Q60="1. Aceitou o programa",IF(OR(X60="Não se Aplica",X60=""),IF(OR(W60="Não se Aplica",W60=""),0,W60-V60),AVERAGE(X60-W60,W60-V60)),0),0)</f>
        <v>0</v>
      </c>
      <c r="AT60" s="44">
        <f>IF(AU60="S",IF(AND(Q60="1. Aceitou o programa",AB60="Realizada"),IFERROR(IF(AA60="",0,AA60-R60),0),0),0)</f>
        <v>0</v>
      </c>
      <c r="AU60" s="44" t="str">
        <f>_xlfn.XLOOKUP(U60,'Lista Suspensa'!$AA$20:$AA$23,'Lista Suspensa'!$AB$20:$AB$23,"N/A")</f>
        <v>S</v>
      </c>
    </row>
    <row r="61" spans="1:47" ht="12" hidden="1" customHeight="1">
      <c r="A61" s="86" t="s">
        <v>47</v>
      </c>
      <c r="B61" s="87">
        <v>46147</v>
      </c>
      <c r="C61" s="88" t="s">
        <v>48</v>
      </c>
      <c r="D61" s="88" t="s">
        <v>49</v>
      </c>
      <c r="E61" s="89">
        <v>81919515</v>
      </c>
      <c r="F61" s="218" t="s">
        <v>250</v>
      </c>
      <c r="G61" s="91">
        <v>28123875720</v>
      </c>
      <c r="H61" s="92">
        <v>17927</v>
      </c>
      <c r="I61" s="88">
        <v>77</v>
      </c>
      <c r="J61" s="88" t="s">
        <v>64</v>
      </c>
      <c r="K61" s="88" t="s">
        <v>80</v>
      </c>
      <c r="L61" s="88" t="s">
        <v>251</v>
      </c>
      <c r="M61" s="88"/>
      <c r="N61" s="88" t="s">
        <v>91</v>
      </c>
      <c r="O61" s="93" t="s">
        <v>252</v>
      </c>
      <c r="P61" s="94" t="s">
        <v>56</v>
      </c>
      <c r="Q61" s="142" t="s">
        <v>68</v>
      </c>
      <c r="R61" s="95">
        <v>46154</v>
      </c>
      <c r="S61" s="96"/>
      <c r="T61" s="96" t="s">
        <v>69</v>
      </c>
      <c r="U61" s="96" t="s">
        <v>70</v>
      </c>
      <c r="V61" s="92">
        <v>46153</v>
      </c>
      <c r="W61" s="92">
        <v>46154</v>
      </c>
      <c r="X61" s="92" t="s">
        <v>71</v>
      </c>
      <c r="Y61" s="97"/>
      <c r="Z61" s="88" t="s">
        <v>72</v>
      </c>
      <c r="AA61" s="96">
        <v>46108.583333333336</v>
      </c>
      <c r="AB61" s="88"/>
      <c r="AC61" s="119"/>
      <c r="AD61" s="88"/>
      <c r="AE61" s="88"/>
      <c r="AF61" s="98"/>
      <c r="AG61" s="98"/>
      <c r="AH61" s="98"/>
      <c r="AI61" s="99" t="s">
        <v>61</v>
      </c>
      <c r="AJ61" s="99" t="s">
        <v>61</v>
      </c>
      <c r="AK61" s="99" t="s">
        <v>61</v>
      </c>
      <c r="AL61" s="44" t="s">
        <v>62</v>
      </c>
      <c r="AM61" s="196" t="str">
        <f>MONTH(B61)&amp;"/"&amp;YEAR(B61)</f>
        <v>5/2026</v>
      </c>
      <c r="AN61" s="44">
        <f>WEEKNUM(B61)-WEEKNUM(EOMONTH(B61,-1)+1)+1</f>
        <v>2</v>
      </c>
      <c r="AO61" s="44" t="str">
        <f>MONTH(R61)&amp;"/"&amp;YEAR(R61)</f>
        <v>5/2026</v>
      </c>
      <c r="AP61" s="44">
        <f>WEEKNUM(R61)-WEEKNUM(EOMONTH(R61,-1)+1)+1</f>
        <v>3</v>
      </c>
      <c r="AQ61" s="44">
        <f>IF(AU61="S",IF(Q61="1. Aceitou o programa",R61-B61,0),0)</f>
        <v>7</v>
      </c>
      <c r="AR61" s="44">
        <f>IF(AU61="S",IF(AND(S61&lt;&gt;"",R61&lt;&gt;""),S61-R61,0),0)</f>
        <v>0</v>
      </c>
      <c r="AS61" s="44">
        <f>IF(AU61="S",IF(Q61="1. Aceitou o programa",IF(OR(X61="Não se Aplica",X61=""),IF(OR(W61="Não se Aplica",W61=""),0,W61-V61),AVERAGE(X61-W61,W61-V61)),0),0)</f>
        <v>1</v>
      </c>
      <c r="AT61" s="44">
        <f>IF(AU61="S",IF(AND(Q61="1. Aceitou o programa",AB61="Realizada"),IFERROR(IF(AA61="",0,AA61-R61),0),0),0)</f>
        <v>0</v>
      </c>
      <c r="AU61" s="44" t="str">
        <f>_xlfn.XLOOKUP(U61,'Lista Suspensa'!$AA$20:$AA$23,'Lista Suspensa'!$AB$20:$AB$23,"N/A")</f>
        <v>S</v>
      </c>
    </row>
    <row r="62" spans="1:47" ht="12" hidden="1" customHeight="1">
      <c r="A62" s="86" t="s">
        <v>47</v>
      </c>
      <c r="B62" s="87">
        <v>46147</v>
      </c>
      <c r="C62" s="88" t="s">
        <v>48</v>
      </c>
      <c r="D62" s="88" t="s">
        <v>49</v>
      </c>
      <c r="E62" s="89">
        <v>87303824</v>
      </c>
      <c r="F62" s="218" t="s">
        <v>253</v>
      </c>
      <c r="G62" s="91">
        <v>11963136870</v>
      </c>
      <c r="H62" s="92">
        <v>25165</v>
      </c>
      <c r="I62" s="88">
        <v>57</v>
      </c>
      <c r="J62" s="88" t="s">
        <v>64</v>
      </c>
      <c r="K62" s="88" t="s">
        <v>52</v>
      </c>
      <c r="L62" s="88" t="s">
        <v>53</v>
      </c>
      <c r="M62" s="88"/>
      <c r="N62" s="88" t="s">
        <v>122</v>
      </c>
      <c r="O62" s="93" t="s">
        <v>254</v>
      </c>
      <c r="P62" s="94" t="s">
        <v>56</v>
      </c>
      <c r="Q62" s="142" t="s">
        <v>68</v>
      </c>
      <c r="R62" s="95">
        <v>46153</v>
      </c>
      <c r="S62" s="96"/>
      <c r="T62" s="96" t="s">
        <v>69</v>
      </c>
      <c r="U62" s="96" t="s">
        <v>70</v>
      </c>
      <c r="V62" s="92">
        <v>46153</v>
      </c>
      <c r="W62" s="92" t="s">
        <v>71</v>
      </c>
      <c r="X62" s="92" t="s">
        <v>71</v>
      </c>
      <c r="Y62" s="97"/>
      <c r="Z62" s="88" t="s">
        <v>72</v>
      </c>
      <c r="AA62" s="96" t="s">
        <v>255</v>
      </c>
      <c r="AB62" s="88" t="s">
        <v>74</v>
      </c>
      <c r="AC62" s="119">
        <v>46184</v>
      </c>
      <c r="AD62" s="88" t="s">
        <v>75</v>
      </c>
      <c r="AE62" s="88">
        <v>64</v>
      </c>
      <c r="AF62" s="98" t="s">
        <v>102</v>
      </c>
      <c r="AG62" s="98" t="s">
        <v>102</v>
      </c>
      <c r="AH62" s="98" t="s">
        <v>77</v>
      </c>
      <c r="AI62" s="99" t="s">
        <v>61</v>
      </c>
      <c r="AJ62" s="99" t="s">
        <v>61</v>
      </c>
      <c r="AK62" s="99" t="s">
        <v>61</v>
      </c>
      <c r="AL62" s="44" t="s">
        <v>62</v>
      </c>
      <c r="AM62" s="196" t="str">
        <f>MONTH(B62)&amp;"/"&amp;YEAR(B62)</f>
        <v>5/2026</v>
      </c>
      <c r="AN62" s="44">
        <f>WEEKNUM(B62)-WEEKNUM(EOMONTH(B62,-1)+1)+1</f>
        <v>2</v>
      </c>
      <c r="AO62" s="44" t="str">
        <f>MONTH(R62)&amp;"/"&amp;YEAR(R62)</f>
        <v>5/2026</v>
      </c>
      <c r="AP62" s="44">
        <f>WEEKNUM(R62)-WEEKNUM(EOMONTH(R62,-1)+1)+1</f>
        <v>3</v>
      </c>
      <c r="AQ62" s="44">
        <f>IF(AU62="S",IF(Q62="1. Aceitou o programa",R62-B62,0),0)</f>
        <v>6</v>
      </c>
      <c r="AR62" s="44">
        <f>IF(AU62="S",IF(AND(S62&lt;&gt;"",R62&lt;&gt;""),S62-R62,0),0)</f>
        <v>0</v>
      </c>
      <c r="AS62" s="44">
        <f>IF(AU62="S",IF(Q62="1. Aceitou o programa",IF(OR(X62="Não se Aplica",X62=""),IF(OR(W62="Não se Aplica",W62=""),0,W62-V62),AVERAGE(X62-W62,W62-V62)),0),0)</f>
        <v>0</v>
      </c>
      <c r="AT62" s="44">
        <f>IF(AU62="S",IF(AND(Q62="1. Aceitou o programa",AB62="Realizada"),IFERROR(IF(AA62="",0,AA62-R62),0),0),0)</f>
        <v>10.5</v>
      </c>
      <c r="AU62" s="44" t="str">
        <f>_xlfn.XLOOKUP(U62,'Lista Suspensa'!$AA$20:$AA$23,'Lista Suspensa'!$AB$20:$AB$23,"N/A")</f>
        <v>S</v>
      </c>
    </row>
    <row r="63" spans="1:47" ht="12" hidden="1" customHeight="1">
      <c r="A63" s="86" t="s">
        <v>47</v>
      </c>
      <c r="B63" s="87">
        <v>46147</v>
      </c>
      <c r="C63" s="88" t="s">
        <v>48</v>
      </c>
      <c r="D63" s="88" t="s">
        <v>49</v>
      </c>
      <c r="E63" s="89">
        <v>79641886</v>
      </c>
      <c r="F63" s="218" t="s">
        <v>256</v>
      </c>
      <c r="G63" s="91">
        <v>1621463702</v>
      </c>
      <c r="H63" s="92">
        <v>25144</v>
      </c>
      <c r="I63" s="88">
        <v>57</v>
      </c>
      <c r="J63" s="88" t="s">
        <v>51</v>
      </c>
      <c r="K63" s="88" t="s">
        <v>80</v>
      </c>
      <c r="L63" s="88" t="s">
        <v>257</v>
      </c>
      <c r="M63" s="88"/>
      <c r="N63" s="88" t="s">
        <v>88</v>
      </c>
      <c r="O63" s="93" t="s">
        <v>258</v>
      </c>
      <c r="P63" s="94" t="s">
        <v>56</v>
      </c>
      <c r="Q63" s="142" t="s">
        <v>68</v>
      </c>
      <c r="R63" s="95">
        <v>46153</v>
      </c>
      <c r="S63" s="96"/>
      <c r="T63" s="96" t="s">
        <v>69</v>
      </c>
      <c r="U63" s="96" t="s">
        <v>70</v>
      </c>
      <c r="V63" s="92">
        <v>46153</v>
      </c>
      <c r="W63" s="92" t="s">
        <v>71</v>
      </c>
      <c r="X63" s="92" t="s">
        <v>71</v>
      </c>
      <c r="Y63" s="97"/>
      <c r="Z63" s="88" t="s">
        <v>72</v>
      </c>
      <c r="AA63" s="96" t="s">
        <v>259</v>
      </c>
      <c r="AB63" s="88" t="s">
        <v>74</v>
      </c>
      <c r="AC63" s="119"/>
      <c r="AD63" s="88" t="s">
        <v>97</v>
      </c>
      <c r="AE63" s="88">
        <v>54</v>
      </c>
      <c r="AF63" s="98" t="s">
        <v>151</v>
      </c>
      <c r="AG63" s="98" t="s">
        <v>151</v>
      </c>
      <c r="AH63" s="98" t="s">
        <v>77</v>
      </c>
      <c r="AI63" s="99" t="s">
        <v>61</v>
      </c>
      <c r="AJ63" s="99" t="s">
        <v>61</v>
      </c>
      <c r="AK63" s="99" t="s">
        <v>61</v>
      </c>
      <c r="AL63" s="44" t="s">
        <v>62</v>
      </c>
      <c r="AM63" s="196" t="str">
        <f>MONTH(B63)&amp;"/"&amp;YEAR(B63)</f>
        <v>5/2026</v>
      </c>
      <c r="AN63" s="44">
        <f>WEEKNUM(B63)-WEEKNUM(EOMONTH(B63,-1)+1)+1</f>
        <v>2</v>
      </c>
      <c r="AO63" s="44" t="str">
        <f>MONTH(R63)&amp;"/"&amp;YEAR(R63)</f>
        <v>5/2026</v>
      </c>
      <c r="AP63" s="44">
        <f>WEEKNUM(R63)-WEEKNUM(EOMONTH(R63,-1)+1)+1</f>
        <v>3</v>
      </c>
      <c r="AQ63" s="44">
        <f>IF(AU63="S",IF(Q63="1. Aceitou o programa",R63-B63,0),0)</f>
        <v>6</v>
      </c>
      <c r="AR63" s="44">
        <f>IF(AU63="S",IF(AND(S63&lt;&gt;"",R63&lt;&gt;""),S63-R63,0),0)</f>
        <v>0</v>
      </c>
      <c r="AS63" s="44">
        <f>IF(AU63="S",IF(Q63="1. Aceitou o programa",IF(OR(X63="Não se Aplica",X63=""),IF(OR(W63="Não se Aplica",W63=""),0,W63-V63),AVERAGE(X63-W63,W63-V63)),0),0)</f>
        <v>0</v>
      </c>
      <c r="AT63" s="44">
        <f>IF(AU63="S",IF(AND(Q63="1. Aceitou o programa",AB63="Realizada"),IFERROR(IF(AA63="",0,AA63-R63),0),0),0)</f>
        <v>10.625</v>
      </c>
      <c r="AU63" s="44" t="str">
        <f>_xlfn.XLOOKUP(U63,'Lista Suspensa'!$AA$20:$AA$23,'Lista Suspensa'!$AB$20:$AB$23,"N/A")</f>
        <v>S</v>
      </c>
    </row>
    <row r="64" spans="1:47" ht="12" hidden="1" customHeight="1">
      <c r="A64" s="86" t="s">
        <v>47</v>
      </c>
      <c r="B64" s="87">
        <v>46147</v>
      </c>
      <c r="C64" s="88" t="s">
        <v>48</v>
      </c>
      <c r="D64" s="88" t="s">
        <v>49</v>
      </c>
      <c r="E64" s="89">
        <v>82350337</v>
      </c>
      <c r="F64" s="218" t="s">
        <v>260</v>
      </c>
      <c r="G64" s="91">
        <v>92827764768</v>
      </c>
      <c r="H64" s="92">
        <v>24784</v>
      </c>
      <c r="I64" s="88">
        <v>58</v>
      </c>
      <c r="J64" s="88" t="s">
        <v>51</v>
      </c>
      <c r="K64" s="88" t="s">
        <v>80</v>
      </c>
      <c r="L64" s="88" t="s">
        <v>87</v>
      </c>
      <c r="M64" s="88"/>
      <c r="N64" s="88" t="s">
        <v>118</v>
      </c>
      <c r="O64" s="93" t="s">
        <v>261</v>
      </c>
      <c r="P64" s="94" t="s">
        <v>56</v>
      </c>
      <c r="Q64" s="142" t="s">
        <v>68</v>
      </c>
      <c r="R64" s="95">
        <v>46153</v>
      </c>
      <c r="S64" s="96"/>
      <c r="T64" s="96" t="s">
        <v>69</v>
      </c>
      <c r="U64" s="96" t="s">
        <v>70</v>
      </c>
      <c r="V64" s="92">
        <v>46153</v>
      </c>
      <c r="W64" s="92" t="s">
        <v>71</v>
      </c>
      <c r="X64" s="92" t="s">
        <v>71</v>
      </c>
      <c r="Y64" s="97"/>
      <c r="Z64" s="88" t="s">
        <v>72</v>
      </c>
      <c r="AA64" s="96" t="s">
        <v>262</v>
      </c>
      <c r="AB64" s="88" t="s">
        <v>105</v>
      </c>
      <c r="AC64" s="119">
        <v>46188</v>
      </c>
      <c r="AD64" s="88"/>
      <c r="AE64" s="88"/>
      <c r="AF64" s="98"/>
      <c r="AG64" s="98"/>
      <c r="AH64" s="98"/>
      <c r="AI64" s="99" t="s">
        <v>61</v>
      </c>
      <c r="AJ64" s="99" t="s">
        <v>61</v>
      </c>
      <c r="AK64" s="99" t="s">
        <v>61</v>
      </c>
      <c r="AL64" s="44" t="s">
        <v>62</v>
      </c>
      <c r="AM64" s="196" t="str">
        <f>MONTH(B64)&amp;"/"&amp;YEAR(B64)</f>
        <v>5/2026</v>
      </c>
      <c r="AN64" s="44">
        <f>WEEKNUM(B64)-WEEKNUM(EOMONTH(B64,-1)+1)+1</f>
        <v>2</v>
      </c>
      <c r="AO64" s="44" t="str">
        <f>MONTH(R64)&amp;"/"&amp;YEAR(R64)</f>
        <v>5/2026</v>
      </c>
      <c r="AP64" s="44">
        <f>WEEKNUM(R64)-WEEKNUM(EOMONTH(R64,-1)+1)+1</f>
        <v>3</v>
      </c>
      <c r="AQ64" s="44">
        <f>IF(AU64="S",IF(Q64="1. Aceitou o programa",R64-B64,0),0)</f>
        <v>6</v>
      </c>
      <c r="AR64" s="44">
        <f>IF(AU64="S",IF(AND(S64&lt;&gt;"",R64&lt;&gt;""),S64-R64,0),0)</f>
        <v>0</v>
      </c>
      <c r="AS64" s="44">
        <f>IF(AU64="S",IF(Q64="1. Aceitou o programa",IF(OR(X64="Não se Aplica",X64=""),IF(OR(W64="Não se Aplica",W64=""),0,W64-V64),AVERAGE(X64-W64,W64-V64)),0),0)</f>
        <v>0</v>
      </c>
      <c r="AT64" s="44">
        <f>IF(AU64="S",IF(AND(Q64="1. Aceitou o programa",AB64="Realizada"),IFERROR(IF(AA64="",0,AA64-R64),0),0),0)</f>
        <v>0</v>
      </c>
      <c r="AU64" s="44" t="str">
        <f>_xlfn.XLOOKUP(U64,'Lista Suspensa'!$AA$20:$AA$23,'Lista Suspensa'!$AB$20:$AB$23,"N/A")</f>
        <v>S</v>
      </c>
    </row>
    <row r="65" spans="1:47" ht="12" hidden="1" customHeight="1">
      <c r="A65" s="86" t="s">
        <v>47</v>
      </c>
      <c r="B65" s="87">
        <v>46147</v>
      </c>
      <c r="C65" s="88" t="s">
        <v>48</v>
      </c>
      <c r="D65" s="88" t="s">
        <v>49</v>
      </c>
      <c r="E65" s="91">
        <v>86739241</v>
      </c>
      <c r="F65" s="218" t="s">
        <v>263</v>
      </c>
      <c r="G65" s="91">
        <v>65574290863</v>
      </c>
      <c r="H65" s="92">
        <v>19519</v>
      </c>
      <c r="I65" s="88">
        <v>72</v>
      </c>
      <c r="J65" s="88" t="s">
        <v>51</v>
      </c>
      <c r="K65" s="88" t="s">
        <v>80</v>
      </c>
      <c r="L65" s="88" t="s">
        <v>87</v>
      </c>
      <c r="M65" s="88"/>
      <c r="N65" s="88" t="s">
        <v>94</v>
      </c>
      <c r="O65" s="93" t="s">
        <v>264</v>
      </c>
      <c r="P65" s="94" t="s">
        <v>56</v>
      </c>
      <c r="Q65" s="142" t="s">
        <v>68</v>
      </c>
      <c r="R65" s="95">
        <v>46164</v>
      </c>
      <c r="S65" s="96"/>
      <c r="T65" s="96" t="s">
        <v>69</v>
      </c>
      <c r="U65" s="96" t="s">
        <v>70</v>
      </c>
      <c r="V65" s="92">
        <v>46153</v>
      </c>
      <c r="W65" s="92">
        <v>46154</v>
      </c>
      <c r="X65" s="92">
        <v>46164</v>
      </c>
      <c r="Y65" s="97"/>
      <c r="Z65" s="88" t="s">
        <v>72</v>
      </c>
      <c r="AA65" s="96">
        <v>46176</v>
      </c>
      <c r="AB65" s="88"/>
      <c r="AC65" s="119"/>
      <c r="AD65" s="88"/>
      <c r="AE65" s="88"/>
      <c r="AF65" s="98"/>
      <c r="AG65" s="98"/>
      <c r="AH65" s="98"/>
      <c r="AI65" s="99" t="s">
        <v>47</v>
      </c>
      <c r="AJ65" s="99" t="s">
        <v>61</v>
      </c>
      <c r="AK65" s="99" t="s">
        <v>61</v>
      </c>
      <c r="AL65" s="44" t="s">
        <v>62</v>
      </c>
      <c r="AM65" s="196" t="str">
        <f>MONTH(B65)&amp;"/"&amp;YEAR(B65)</f>
        <v>5/2026</v>
      </c>
      <c r="AN65" s="44">
        <f>WEEKNUM(B65)-WEEKNUM(EOMONTH(B65,-1)+1)+1</f>
        <v>2</v>
      </c>
      <c r="AO65" s="44" t="str">
        <f>MONTH(R65)&amp;"/"&amp;YEAR(R65)</f>
        <v>5/2026</v>
      </c>
      <c r="AP65" s="44">
        <f>WEEKNUM(R65)-WEEKNUM(EOMONTH(R65,-1)+1)+1</f>
        <v>4</v>
      </c>
      <c r="AQ65" s="44">
        <f>IF(AU65="S",IF(Q65="1. Aceitou o programa",R65-B65,0),0)</f>
        <v>17</v>
      </c>
      <c r="AR65" s="44">
        <f>IF(AU65="S",IF(AND(S65&lt;&gt;"",R65&lt;&gt;""),S65-R65,0),0)</f>
        <v>0</v>
      </c>
      <c r="AS65" s="44">
        <f>IF(AU65="S",IF(Q65="1. Aceitou o programa",IF(OR(X65="Não se Aplica",X65=""),IF(OR(W65="Não se Aplica",W65=""),0,W65-V65),AVERAGE(X65-W65,W65-V65)),0),0)</f>
        <v>5.5</v>
      </c>
      <c r="AT65" s="44">
        <f>IF(AU65="S",IF(AND(Q65="1. Aceitou o programa",AB65="Realizada"),IFERROR(IF(AA65="",0,AA65-R65),0),0),0)</f>
        <v>0</v>
      </c>
      <c r="AU65" s="44" t="str">
        <f>_xlfn.XLOOKUP(U65,'Lista Suspensa'!$AA$20:$AA$23,'Lista Suspensa'!$AB$20:$AB$23,"N/A")</f>
        <v>S</v>
      </c>
    </row>
    <row r="66" spans="1:47" ht="12" hidden="1" customHeight="1">
      <c r="A66" s="86" t="s">
        <v>47</v>
      </c>
      <c r="B66" s="87">
        <v>46147</v>
      </c>
      <c r="C66" s="88" t="s">
        <v>48</v>
      </c>
      <c r="D66" s="88" t="s">
        <v>49</v>
      </c>
      <c r="E66" s="89">
        <v>760380090</v>
      </c>
      <c r="F66" s="218" t="s">
        <v>265</v>
      </c>
      <c r="G66" s="91">
        <v>2152457765</v>
      </c>
      <c r="H66" s="92">
        <v>17639</v>
      </c>
      <c r="I66" s="88">
        <v>78</v>
      </c>
      <c r="J66" s="88" t="s">
        <v>64</v>
      </c>
      <c r="K66" s="88" t="s">
        <v>80</v>
      </c>
      <c r="L66" s="88" t="s">
        <v>87</v>
      </c>
      <c r="M66" s="88"/>
      <c r="N66" s="88" t="s">
        <v>54</v>
      </c>
      <c r="O66" s="93" t="s">
        <v>266</v>
      </c>
      <c r="P66" s="94" t="s">
        <v>56</v>
      </c>
      <c r="Q66" s="142" t="s">
        <v>200</v>
      </c>
      <c r="R66" s="95"/>
      <c r="S66" s="95">
        <v>46163</v>
      </c>
      <c r="T66" s="96" t="s">
        <v>69</v>
      </c>
      <c r="U66" s="96" t="s">
        <v>59</v>
      </c>
      <c r="V66" s="92">
        <v>46153</v>
      </c>
      <c r="W66" s="92">
        <v>46154</v>
      </c>
      <c r="X66" s="92" t="s">
        <v>71</v>
      </c>
      <c r="Y66" s="97"/>
      <c r="Z66" s="88" t="s">
        <v>72</v>
      </c>
      <c r="AA66" s="96" t="s">
        <v>188</v>
      </c>
      <c r="AB66" s="88" t="s">
        <v>74</v>
      </c>
      <c r="AC66" s="119"/>
      <c r="AD66" s="88"/>
      <c r="AE66" s="88"/>
      <c r="AF66" s="98"/>
      <c r="AG66" s="98"/>
      <c r="AH66" s="98" t="s">
        <v>77</v>
      </c>
      <c r="AI66" s="99" t="s">
        <v>47</v>
      </c>
      <c r="AJ66" s="99" t="s">
        <v>60</v>
      </c>
      <c r="AK66" s="99" t="s">
        <v>61</v>
      </c>
      <c r="AL66" s="44" t="s">
        <v>62</v>
      </c>
      <c r="AM66" s="196" t="str">
        <f>MONTH(B66)&amp;"/"&amp;YEAR(B66)</f>
        <v>5/2026</v>
      </c>
      <c r="AN66" s="44">
        <f>WEEKNUM(B66)-WEEKNUM(EOMONTH(B66,-1)+1)+1</f>
        <v>2</v>
      </c>
      <c r="AO66" s="44" t="str">
        <f>MONTH(R66)&amp;"/"&amp;YEAR(R66)</f>
        <v>1/1900</v>
      </c>
      <c r="AP66" s="44" t="e">
        <f>WEEKNUM(R66)-WEEKNUM(EOMONTH(R66,-1)+1)+1</f>
        <v>#NUM!</v>
      </c>
      <c r="AQ66" s="44">
        <f>IF(AU66="S",IF(Q66="1. Aceitou o programa",R66-B66,0),0)</f>
        <v>0</v>
      </c>
      <c r="AR66" s="44">
        <f>IF(AU66="S",IF(AND(S66&lt;&gt;"",R66&lt;&gt;""),S66-R66,0),0)</f>
        <v>0</v>
      </c>
      <c r="AS66" s="44">
        <f>IF(AU66="S",IF(Q66="1. Aceitou o programa",IF(OR(X66="Não se Aplica",X66=""),IF(OR(W66="Não se Aplica",W66=""),0,W66-V66),AVERAGE(X66-W66,W66-V66)),0),0)</f>
        <v>0</v>
      </c>
      <c r="AT66" s="44">
        <f>IF(AU66="S",IF(AND(Q66="1. Aceitou o programa",AB66="Realizada"),IFERROR(IF(AA66="",0,AA66-R66),0),0),0)</f>
        <v>0</v>
      </c>
      <c r="AU66" s="44" t="str">
        <f>_xlfn.XLOOKUP(U66,'Lista Suspensa'!$AA$20:$AA$23,'Lista Suspensa'!$AB$20:$AB$23,"N/A")</f>
        <v>S</v>
      </c>
    </row>
    <row r="67" spans="1:47" ht="12" hidden="1" customHeight="1">
      <c r="A67" s="86" t="s">
        <v>47</v>
      </c>
      <c r="B67" s="87">
        <v>46147</v>
      </c>
      <c r="C67" s="88" t="s">
        <v>48</v>
      </c>
      <c r="D67" s="88" t="s">
        <v>49</v>
      </c>
      <c r="E67" s="89">
        <v>862350387</v>
      </c>
      <c r="F67" s="218" t="s">
        <v>267</v>
      </c>
      <c r="G67" s="91">
        <v>6496757895</v>
      </c>
      <c r="H67" s="92">
        <v>21147</v>
      </c>
      <c r="I67" s="88">
        <v>68</v>
      </c>
      <c r="J67" s="88" t="s">
        <v>64</v>
      </c>
      <c r="K67" s="88" t="s">
        <v>52</v>
      </c>
      <c r="L67" s="88" t="s">
        <v>53</v>
      </c>
      <c r="M67" s="88"/>
      <c r="N67" s="88" t="s">
        <v>54</v>
      </c>
      <c r="O67" s="93" t="s">
        <v>268</v>
      </c>
      <c r="P67" s="94" t="s">
        <v>56</v>
      </c>
      <c r="Q67" s="142" t="s">
        <v>57</v>
      </c>
      <c r="R67" s="95"/>
      <c r="S67" s="96">
        <v>46170</v>
      </c>
      <c r="T67" s="96" t="s">
        <v>58</v>
      </c>
      <c r="U67" s="96" t="s">
        <v>59</v>
      </c>
      <c r="V67" s="92">
        <v>46153</v>
      </c>
      <c r="W67" s="92">
        <v>46154</v>
      </c>
      <c r="X67" s="92">
        <v>46164</v>
      </c>
      <c r="Y67" s="97"/>
      <c r="Z67" s="88"/>
      <c r="AA67" s="96"/>
      <c r="AB67" s="88"/>
      <c r="AC67" s="119"/>
      <c r="AD67" s="88"/>
      <c r="AE67" s="88"/>
      <c r="AF67" s="98"/>
      <c r="AG67" s="98"/>
      <c r="AH67" s="98"/>
      <c r="AI67" s="99"/>
      <c r="AJ67" s="99"/>
      <c r="AK67" s="99"/>
      <c r="AL67" s="44" t="s">
        <v>62</v>
      </c>
      <c r="AM67" s="196" t="str">
        <f>MONTH(B67)&amp;"/"&amp;YEAR(B67)</f>
        <v>5/2026</v>
      </c>
      <c r="AN67" s="44">
        <f>WEEKNUM(B67)-WEEKNUM(EOMONTH(B67,-1)+1)+1</f>
        <v>2</v>
      </c>
      <c r="AO67" s="44" t="str">
        <f>MONTH(R67)&amp;"/"&amp;YEAR(R67)</f>
        <v>1/1900</v>
      </c>
      <c r="AP67" s="44" t="e">
        <f>WEEKNUM(R67)-WEEKNUM(EOMONTH(R67,-1)+1)+1</f>
        <v>#NUM!</v>
      </c>
      <c r="AQ67" s="44">
        <f>IF(AU67="S",IF(Q67="1. Aceitou o programa",R67-B67,0),0)</f>
        <v>0</v>
      </c>
      <c r="AR67" s="44">
        <f>IF(AU67="S",IF(AND(S67&lt;&gt;"",R67&lt;&gt;""),S67-R67,0),0)</f>
        <v>0</v>
      </c>
      <c r="AS67" s="44">
        <f>IF(AU67="S",IF(Q67="1. Aceitou o programa",IF(OR(X67="Não se Aplica",X67=""),IF(OR(W67="Não se Aplica",W67=""),0,W67-V67),AVERAGE(X67-W67,W67-V67)),0),0)</f>
        <v>0</v>
      </c>
      <c r="AT67" s="44">
        <f>IF(AU67="S",IF(AND(Q67="1. Aceitou o programa",AB67="Realizada"),IFERROR(IF(AA67="",0,AA67-R67),0),0),0)</f>
        <v>0</v>
      </c>
      <c r="AU67" s="44" t="str">
        <f>_xlfn.XLOOKUP(U67,'Lista Suspensa'!$AA$20:$AA$23,'Lista Suspensa'!$AB$20:$AB$23,"N/A")</f>
        <v>S</v>
      </c>
    </row>
    <row r="68" spans="1:47" ht="12" hidden="1" customHeight="1">
      <c r="A68" s="86" t="s">
        <v>47</v>
      </c>
      <c r="B68" s="87">
        <v>46147</v>
      </c>
      <c r="C68" s="88" t="s">
        <v>48</v>
      </c>
      <c r="D68" s="88" t="s">
        <v>49</v>
      </c>
      <c r="E68" s="89">
        <v>451781031</v>
      </c>
      <c r="F68" s="218" t="s">
        <v>269</v>
      </c>
      <c r="G68" s="91">
        <v>136387853</v>
      </c>
      <c r="H68" s="92">
        <v>11768</v>
      </c>
      <c r="I68" s="88">
        <v>94</v>
      </c>
      <c r="J68" s="88" t="s">
        <v>51</v>
      </c>
      <c r="K68" s="88" t="s">
        <v>52</v>
      </c>
      <c r="L68" s="88" t="s">
        <v>53</v>
      </c>
      <c r="M68" s="88"/>
      <c r="N68" s="88" t="s">
        <v>223</v>
      </c>
      <c r="O68" s="93" t="s">
        <v>270</v>
      </c>
      <c r="P68" s="94" t="s">
        <v>56</v>
      </c>
      <c r="Q68" s="142" t="s">
        <v>68</v>
      </c>
      <c r="R68" s="95">
        <v>46153</v>
      </c>
      <c r="S68" s="96"/>
      <c r="T68" s="96" t="s">
        <v>69</v>
      </c>
      <c r="U68" s="96" t="s">
        <v>70</v>
      </c>
      <c r="V68" s="92">
        <v>46153</v>
      </c>
      <c r="W68" s="92" t="s">
        <v>71</v>
      </c>
      <c r="X68" s="92" t="s">
        <v>71</v>
      </c>
      <c r="Y68" s="97"/>
      <c r="Z68" s="88" t="s">
        <v>72</v>
      </c>
      <c r="AA68" s="96" t="s">
        <v>271</v>
      </c>
      <c r="AB68" s="88" t="s">
        <v>105</v>
      </c>
      <c r="AC68" s="119">
        <v>46176</v>
      </c>
      <c r="AD68" s="88"/>
      <c r="AE68" s="88"/>
      <c r="AF68" s="98"/>
      <c r="AG68" s="98"/>
      <c r="AH68" s="98"/>
      <c r="AI68" s="99" t="s">
        <v>61</v>
      </c>
      <c r="AJ68" s="99" t="s">
        <v>61</v>
      </c>
      <c r="AK68" s="99" t="s">
        <v>61</v>
      </c>
      <c r="AL68" s="44" t="s">
        <v>62</v>
      </c>
      <c r="AM68" s="196" t="str">
        <f>MONTH(B68)&amp;"/"&amp;YEAR(B68)</f>
        <v>5/2026</v>
      </c>
      <c r="AN68" s="44">
        <f>WEEKNUM(B68)-WEEKNUM(EOMONTH(B68,-1)+1)+1</f>
        <v>2</v>
      </c>
      <c r="AO68" s="44" t="str">
        <f>MONTH(R68)&amp;"/"&amp;YEAR(R68)</f>
        <v>5/2026</v>
      </c>
      <c r="AP68" s="44">
        <f>WEEKNUM(R68)-WEEKNUM(EOMONTH(R68,-1)+1)+1</f>
        <v>3</v>
      </c>
      <c r="AQ68" s="44">
        <f>IF(AU68="S",IF(Q68="1. Aceitou o programa",R68-B68,0),0)</f>
        <v>6</v>
      </c>
      <c r="AR68" s="44">
        <f>IF(AU68="S",IF(AND(S68&lt;&gt;"",R68&lt;&gt;""),S68-R68,0),0)</f>
        <v>0</v>
      </c>
      <c r="AS68" s="44">
        <f>IF(AU68="S",IF(Q68="1. Aceitou o programa",IF(OR(X68="Não se Aplica",X68=""),IF(OR(W68="Não se Aplica",W68=""),0,W68-V68),AVERAGE(X68-W68,W68-V68)),0),0)</f>
        <v>0</v>
      </c>
      <c r="AT68" s="44">
        <f>IF(AU68="S",IF(AND(Q68="1. Aceitou o programa",AB68="Realizada"),IFERROR(IF(AA68="",0,AA68-R68),0),0),0)</f>
        <v>0</v>
      </c>
      <c r="AU68" s="44" t="str">
        <f>_xlfn.XLOOKUP(U68,'Lista Suspensa'!$AA$20:$AA$23,'Lista Suspensa'!$AB$20:$AB$23,"N/A")</f>
        <v>S</v>
      </c>
    </row>
    <row r="69" spans="1:47" ht="12" hidden="1" customHeight="1">
      <c r="A69" s="86" t="s">
        <v>47</v>
      </c>
      <c r="B69" s="87">
        <v>46147</v>
      </c>
      <c r="C69" s="88" t="s">
        <v>48</v>
      </c>
      <c r="D69" s="88" t="s">
        <v>49</v>
      </c>
      <c r="E69" s="89">
        <v>744530482</v>
      </c>
      <c r="F69" s="218" t="s">
        <v>272</v>
      </c>
      <c r="G69" s="91">
        <v>80132197715</v>
      </c>
      <c r="H69" s="92">
        <v>18537</v>
      </c>
      <c r="I69" s="88">
        <v>75</v>
      </c>
      <c r="J69" s="88" t="s">
        <v>64</v>
      </c>
      <c r="K69" s="88" t="s">
        <v>80</v>
      </c>
      <c r="L69" s="88" t="s">
        <v>87</v>
      </c>
      <c r="M69" s="88"/>
      <c r="N69" s="88" t="s">
        <v>54</v>
      </c>
      <c r="O69" s="93" t="s">
        <v>273</v>
      </c>
      <c r="P69" s="94" t="s">
        <v>56</v>
      </c>
      <c r="Q69" s="142" t="s">
        <v>274</v>
      </c>
      <c r="R69" s="95"/>
      <c r="S69" s="95">
        <v>46153</v>
      </c>
      <c r="T69" s="96" t="s">
        <v>69</v>
      </c>
      <c r="U69" s="96" t="s">
        <v>59</v>
      </c>
      <c r="V69" s="92">
        <v>46153</v>
      </c>
      <c r="W69" s="92" t="s">
        <v>71</v>
      </c>
      <c r="X69" s="92" t="s">
        <v>71</v>
      </c>
      <c r="Y69" s="97" t="s">
        <v>275</v>
      </c>
      <c r="Z69" s="88" t="s">
        <v>72</v>
      </c>
      <c r="AA69" s="96" t="s">
        <v>276</v>
      </c>
      <c r="AB69" s="88" t="s">
        <v>74</v>
      </c>
      <c r="AC69" s="119"/>
      <c r="AD69" s="88"/>
      <c r="AE69" s="88"/>
      <c r="AF69" s="98"/>
      <c r="AG69" s="98"/>
      <c r="AH69" s="98" t="s">
        <v>277</v>
      </c>
      <c r="AI69" s="99" t="s">
        <v>61</v>
      </c>
      <c r="AJ69" s="99" t="s">
        <v>60</v>
      </c>
      <c r="AK69" s="99" t="s">
        <v>61</v>
      </c>
      <c r="AL69" s="44" t="s">
        <v>62</v>
      </c>
      <c r="AM69" s="196" t="str">
        <f>MONTH(B69)&amp;"/"&amp;YEAR(B69)</f>
        <v>5/2026</v>
      </c>
      <c r="AN69" s="44">
        <f>WEEKNUM(B69)-WEEKNUM(EOMONTH(B69,-1)+1)+1</f>
        <v>2</v>
      </c>
      <c r="AO69" s="44" t="str">
        <f>MONTH(R69)&amp;"/"&amp;YEAR(R69)</f>
        <v>1/1900</v>
      </c>
      <c r="AP69" s="44" t="e">
        <f>WEEKNUM(R69)-WEEKNUM(EOMONTH(R69,-1)+1)+1</f>
        <v>#NUM!</v>
      </c>
      <c r="AQ69" s="44">
        <f>IF(AU69="S",IF(Q69="1. Aceitou o programa",R69-B69,0),0)</f>
        <v>0</v>
      </c>
      <c r="AR69" s="44">
        <f>IF(AU69="S",IF(AND(S69&lt;&gt;"",R69&lt;&gt;""),S69-R69,0),0)</f>
        <v>0</v>
      </c>
      <c r="AS69" s="44">
        <f>IF(AU69="S",IF(Q69="1. Aceitou o programa",IF(OR(X69="Não se Aplica",X69=""),IF(OR(W69="Não se Aplica",W69=""),0,W69-V69),AVERAGE(X69-W69,W69-V69)),0),0)</f>
        <v>0</v>
      </c>
      <c r="AT69" s="44">
        <f>IF(AU69="S",IF(AND(Q69="1. Aceitou o programa",AB69="Realizada"),IFERROR(IF(AA69="",0,AA69-R69),0),0),0)</f>
        <v>0</v>
      </c>
      <c r="AU69" s="44" t="str">
        <f>_xlfn.XLOOKUP(U69,'Lista Suspensa'!$AA$20:$AA$23,'Lista Suspensa'!$AB$20:$AB$23,"N/A")</f>
        <v>S</v>
      </c>
    </row>
    <row r="70" spans="1:47" ht="12" hidden="1" customHeight="1">
      <c r="A70" s="86" t="s">
        <v>47</v>
      </c>
      <c r="B70" s="87">
        <v>46147</v>
      </c>
      <c r="C70" s="88" t="s">
        <v>48</v>
      </c>
      <c r="D70" s="88" t="s">
        <v>49</v>
      </c>
      <c r="E70" s="111">
        <v>78650484</v>
      </c>
      <c r="F70" s="218" t="s">
        <v>278</v>
      </c>
      <c r="G70" s="91">
        <v>764255843</v>
      </c>
      <c r="H70" s="92">
        <v>21886</v>
      </c>
      <c r="I70" s="88">
        <v>66</v>
      </c>
      <c r="J70" s="88" t="s">
        <v>51</v>
      </c>
      <c r="K70" s="88" t="s">
        <v>52</v>
      </c>
      <c r="L70" s="88" t="s">
        <v>53</v>
      </c>
      <c r="M70" s="88"/>
      <c r="N70" s="88" t="s">
        <v>91</v>
      </c>
      <c r="O70" s="93" t="s">
        <v>279</v>
      </c>
      <c r="P70" s="94" t="s">
        <v>56</v>
      </c>
      <c r="Q70" s="142" t="s">
        <v>68</v>
      </c>
      <c r="R70" s="95">
        <v>46163</v>
      </c>
      <c r="S70" s="96"/>
      <c r="T70" s="96" t="s">
        <v>69</v>
      </c>
      <c r="U70" s="96" t="s">
        <v>70</v>
      </c>
      <c r="V70" s="92">
        <v>46153</v>
      </c>
      <c r="W70" s="92">
        <v>46154</v>
      </c>
      <c r="X70" s="92">
        <v>46160</v>
      </c>
      <c r="Y70" s="97"/>
      <c r="Z70" s="88" t="s">
        <v>72</v>
      </c>
      <c r="AA70" s="96">
        <v>46171.430555555555</v>
      </c>
      <c r="AB70" s="88"/>
      <c r="AC70" s="119"/>
      <c r="AD70" s="88"/>
      <c r="AE70" s="88"/>
      <c r="AF70" s="98"/>
      <c r="AG70" s="98"/>
      <c r="AH70" s="98"/>
      <c r="AI70" s="99"/>
      <c r="AJ70" s="99" t="s">
        <v>61</v>
      </c>
      <c r="AK70" s="99" t="s">
        <v>61</v>
      </c>
      <c r="AL70" s="44" t="s">
        <v>62</v>
      </c>
      <c r="AM70" s="196" t="str">
        <f>MONTH(B70)&amp;"/"&amp;YEAR(B70)</f>
        <v>5/2026</v>
      </c>
      <c r="AN70" s="44">
        <f>WEEKNUM(B70)-WEEKNUM(EOMONTH(B70,-1)+1)+1</f>
        <v>2</v>
      </c>
      <c r="AO70" s="44" t="str">
        <f>MONTH(R70)&amp;"/"&amp;YEAR(R70)</f>
        <v>5/2026</v>
      </c>
      <c r="AP70" s="44">
        <f>WEEKNUM(R70)-WEEKNUM(EOMONTH(R70,-1)+1)+1</f>
        <v>4</v>
      </c>
      <c r="AQ70" s="44">
        <f>IF(AU70="S",IF(Q70="1. Aceitou o programa",R70-B70,0),0)</f>
        <v>16</v>
      </c>
      <c r="AR70" s="44">
        <f>IF(AU70="S",IF(AND(S70&lt;&gt;"",R70&lt;&gt;""),S70-R70,0),0)</f>
        <v>0</v>
      </c>
      <c r="AS70" s="44">
        <f>IF(AU70="S",IF(Q70="1. Aceitou o programa",IF(OR(X70="Não se Aplica",X70=""),IF(OR(W70="Não se Aplica",W70=""),0,W70-V70),AVERAGE(X70-W70,W70-V70)),0),0)</f>
        <v>3.5</v>
      </c>
      <c r="AT70" s="44">
        <f>IF(AU70="S",IF(AND(Q70="1. Aceitou o programa",AB70="Realizada"),IFERROR(IF(AA70="",0,AA70-R70),0),0),0)</f>
        <v>0</v>
      </c>
      <c r="AU70" s="44" t="str">
        <f>_xlfn.XLOOKUP(U70,'Lista Suspensa'!$AA$20:$AA$23,'Lista Suspensa'!$AB$20:$AB$23,"N/A")</f>
        <v>S</v>
      </c>
    </row>
    <row r="71" spans="1:47" ht="12" hidden="1" customHeight="1">
      <c r="A71" s="86" t="s">
        <v>47</v>
      </c>
      <c r="B71" s="87">
        <v>46147</v>
      </c>
      <c r="C71" s="88" t="s">
        <v>48</v>
      </c>
      <c r="D71" s="88" t="s">
        <v>49</v>
      </c>
      <c r="E71" s="89">
        <v>72106205</v>
      </c>
      <c r="F71" s="218" t="s">
        <v>280</v>
      </c>
      <c r="G71" s="91">
        <v>4083770899</v>
      </c>
      <c r="H71" s="92">
        <v>22945</v>
      </c>
      <c r="I71" s="88">
        <v>63</v>
      </c>
      <c r="J71" s="88" t="s">
        <v>64</v>
      </c>
      <c r="K71" s="88" t="s">
        <v>52</v>
      </c>
      <c r="L71" s="88" t="s">
        <v>53</v>
      </c>
      <c r="M71" s="88"/>
      <c r="N71" s="88" t="s">
        <v>110</v>
      </c>
      <c r="O71" s="93" t="s">
        <v>281</v>
      </c>
      <c r="P71" s="94" t="s">
        <v>56</v>
      </c>
      <c r="Q71" s="142" t="s">
        <v>57</v>
      </c>
      <c r="R71" s="95"/>
      <c r="S71" s="96">
        <v>46170</v>
      </c>
      <c r="T71" s="96" t="s">
        <v>58</v>
      </c>
      <c r="U71" s="96" t="s">
        <v>59</v>
      </c>
      <c r="V71" s="92">
        <v>46153</v>
      </c>
      <c r="W71" s="92">
        <v>46154</v>
      </c>
      <c r="X71" s="92">
        <v>46164</v>
      </c>
      <c r="Y71" s="97"/>
      <c r="Z71" s="88"/>
      <c r="AA71" s="96"/>
      <c r="AB71" s="88"/>
      <c r="AC71" s="119"/>
      <c r="AD71" s="88"/>
      <c r="AE71" s="88"/>
      <c r="AF71" s="98"/>
      <c r="AG71" s="98"/>
      <c r="AH71" s="98"/>
      <c r="AI71" s="99"/>
      <c r="AJ71" s="99"/>
      <c r="AK71" s="99"/>
      <c r="AL71" s="44" t="s">
        <v>62</v>
      </c>
      <c r="AM71" s="196" t="str">
        <f>MONTH(B71)&amp;"/"&amp;YEAR(B71)</f>
        <v>5/2026</v>
      </c>
      <c r="AN71" s="44">
        <f>WEEKNUM(B71)-WEEKNUM(EOMONTH(B71,-1)+1)+1</f>
        <v>2</v>
      </c>
      <c r="AO71" s="44" t="str">
        <f>MONTH(R71)&amp;"/"&amp;YEAR(R71)</f>
        <v>1/1900</v>
      </c>
      <c r="AP71" s="44" t="e">
        <f>WEEKNUM(R71)-WEEKNUM(EOMONTH(R71,-1)+1)+1</f>
        <v>#NUM!</v>
      </c>
      <c r="AQ71" s="44">
        <f>IF(AU71="S",IF(Q71="1. Aceitou o programa",R71-B71,0),0)</f>
        <v>0</v>
      </c>
      <c r="AR71" s="44">
        <f>IF(AU71="S",IF(AND(S71&lt;&gt;"",R71&lt;&gt;""),S71-R71,0),0)</f>
        <v>0</v>
      </c>
      <c r="AS71" s="44">
        <f>IF(AU71="S",IF(Q71="1. Aceitou o programa",IF(OR(X71="Não se Aplica",X71=""),IF(OR(W71="Não se Aplica",W71=""),0,W71-V71),AVERAGE(X71-W71,W71-V71)),0),0)</f>
        <v>0</v>
      </c>
      <c r="AT71" s="44">
        <f>IF(AU71="S",IF(AND(Q71="1. Aceitou o programa",AB71="Realizada"),IFERROR(IF(AA71="",0,AA71-R71),0),0),0)</f>
        <v>0</v>
      </c>
      <c r="AU71" s="44" t="str">
        <f>_xlfn.XLOOKUP(U71,'Lista Suspensa'!$AA$20:$AA$23,'Lista Suspensa'!$AB$20:$AB$23,"N/A")</f>
        <v>S</v>
      </c>
    </row>
    <row r="72" spans="1:47" ht="12" hidden="1" customHeight="1">
      <c r="A72" s="86" t="s">
        <v>47</v>
      </c>
      <c r="B72" s="87">
        <v>46147</v>
      </c>
      <c r="C72" s="88" t="s">
        <v>48</v>
      </c>
      <c r="D72" s="88" t="s">
        <v>49</v>
      </c>
      <c r="E72" s="89">
        <v>93621756</v>
      </c>
      <c r="F72" s="218" t="s">
        <v>282</v>
      </c>
      <c r="G72" s="91">
        <v>84394609704</v>
      </c>
      <c r="H72" s="92">
        <v>23667</v>
      </c>
      <c r="I72" s="88">
        <v>61</v>
      </c>
      <c r="J72" s="88" t="s">
        <v>64</v>
      </c>
      <c r="K72" s="88" t="s">
        <v>80</v>
      </c>
      <c r="L72" s="88" t="s">
        <v>87</v>
      </c>
      <c r="M72" s="88"/>
      <c r="N72" s="88" t="s">
        <v>162</v>
      </c>
      <c r="O72" s="93" t="s">
        <v>283</v>
      </c>
      <c r="P72" s="94" t="s">
        <v>56</v>
      </c>
      <c r="Q72" s="142" t="s">
        <v>68</v>
      </c>
      <c r="R72" s="95">
        <v>46153</v>
      </c>
      <c r="S72" s="96"/>
      <c r="T72" s="96" t="s">
        <v>69</v>
      </c>
      <c r="U72" s="96" t="s">
        <v>70</v>
      </c>
      <c r="V72" s="92">
        <v>46153</v>
      </c>
      <c r="W72" s="92" t="s">
        <v>71</v>
      </c>
      <c r="X72" s="92" t="s">
        <v>71</v>
      </c>
      <c r="Y72" s="97"/>
      <c r="Z72" s="88" t="s">
        <v>72</v>
      </c>
      <c r="AA72" s="96" t="s">
        <v>284</v>
      </c>
      <c r="AB72" s="88" t="s">
        <v>74</v>
      </c>
      <c r="AC72" s="119"/>
      <c r="AD72" s="88" t="s">
        <v>75</v>
      </c>
      <c r="AE72" s="88">
        <v>62</v>
      </c>
      <c r="AF72" s="98" t="s">
        <v>285</v>
      </c>
      <c r="AG72" s="98" t="s">
        <v>285</v>
      </c>
      <c r="AH72" s="98" t="s">
        <v>77</v>
      </c>
      <c r="AI72" s="99" t="s">
        <v>61</v>
      </c>
      <c r="AJ72" s="99" t="s">
        <v>61</v>
      </c>
      <c r="AK72" s="99" t="s">
        <v>61</v>
      </c>
      <c r="AL72" s="44" t="s">
        <v>62</v>
      </c>
      <c r="AM72" s="196" t="str">
        <f>MONTH(B72)&amp;"/"&amp;YEAR(B72)</f>
        <v>5/2026</v>
      </c>
      <c r="AN72" s="44">
        <f>WEEKNUM(B72)-WEEKNUM(EOMONTH(B72,-1)+1)+1</f>
        <v>2</v>
      </c>
      <c r="AO72" s="44" t="str">
        <f>MONTH(R72)&amp;"/"&amp;YEAR(R72)</f>
        <v>5/2026</v>
      </c>
      <c r="AP72" s="44">
        <f>WEEKNUM(R72)-WEEKNUM(EOMONTH(R72,-1)+1)+1</f>
        <v>3</v>
      </c>
      <c r="AQ72" s="44">
        <f>IF(AU72="S",IF(Q72="1. Aceitou o programa",R72-B72,0),0)</f>
        <v>6</v>
      </c>
      <c r="AR72" s="44">
        <f>IF(AU72="S",IF(AND(S72&lt;&gt;"",R72&lt;&gt;""),S72-R72,0),0)</f>
        <v>0</v>
      </c>
      <c r="AS72" s="44">
        <f>IF(AU72="S",IF(Q72="1. Aceitou o programa",IF(OR(X72="Não se Aplica",X72=""),IF(OR(W72="Não se Aplica",W72=""),0,W72-V72),AVERAGE(X72-W72,W72-V72)),0),0)</f>
        <v>0</v>
      </c>
      <c r="AT72" s="44">
        <f>IF(AU72="S",IF(AND(Q72="1. Aceitou o programa",AB72="Realizada"),IFERROR(IF(AA72="",0,AA72-R72),0),0),0)</f>
        <v>0</v>
      </c>
      <c r="AU72" s="44" t="str">
        <f>_xlfn.XLOOKUP(U72,'Lista Suspensa'!$AA$20:$AA$23,'Lista Suspensa'!$AB$20:$AB$23,"N/A")</f>
        <v>S</v>
      </c>
    </row>
    <row r="73" spans="1:47" ht="12" hidden="1" customHeight="1">
      <c r="A73" s="86" t="s">
        <v>47</v>
      </c>
      <c r="B73" s="87">
        <v>46147</v>
      </c>
      <c r="C73" s="88" t="s">
        <v>48</v>
      </c>
      <c r="D73" s="88" t="s">
        <v>49</v>
      </c>
      <c r="E73" s="89">
        <v>754696448</v>
      </c>
      <c r="F73" s="218" t="s">
        <v>286</v>
      </c>
      <c r="G73" s="91">
        <v>12317720777</v>
      </c>
      <c r="H73" s="92">
        <v>31468</v>
      </c>
      <c r="I73" s="88">
        <v>40</v>
      </c>
      <c r="J73" s="88" t="s">
        <v>64</v>
      </c>
      <c r="K73" s="88" t="s">
        <v>80</v>
      </c>
      <c r="L73" s="88" t="s">
        <v>87</v>
      </c>
      <c r="M73" s="88"/>
      <c r="N73" s="88" t="s">
        <v>54</v>
      </c>
      <c r="O73" s="93" t="s">
        <v>287</v>
      </c>
      <c r="P73" s="94" t="s">
        <v>56</v>
      </c>
      <c r="Q73" s="142" t="s">
        <v>68</v>
      </c>
      <c r="R73" s="95">
        <v>46153</v>
      </c>
      <c r="S73" s="96"/>
      <c r="T73" s="96" t="s">
        <v>69</v>
      </c>
      <c r="U73" s="96" t="s">
        <v>70</v>
      </c>
      <c r="V73" s="92">
        <v>46153</v>
      </c>
      <c r="W73" s="92" t="s">
        <v>71</v>
      </c>
      <c r="X73" s="92" t="s">
        <v>71</v>
      </c>
      <c r="Y73" s="97"/>
      <c r="Z73" s="88" t="s">
        <v>72</v>
      </c>
      <c r="AA73" s="96" t="s">
        <v>288</v>
      </c>
      <c r="AB73" s="88" t="s">
        <v>105</v>
      </c>
      <c r="AC73" s="119">
        <v>46176</v>
      </c>
      <c r="AD73" s="88"/>
      <c r="AE73" s="88"/>
      <c r="AF73" s="98"/>
      <c r="AG73" s="98"/>
      <c r="AH73" s="98"/>
      <c r="AI73" s="99" t="s">
        <v>61</v>
      </c>
      <c r="AJ73" s="99" t="s">
        <v>61</v>
      </c>
      <c r="AK73" s="99" t="s">
        <v>61</v>
      </c>
      <c r="AL73" s="44" t="s">
        <v>62</v>
      </c>
      <c r="AM73" s="196" t="str">
        <f>MONTH(B73)&amp;"/"&amp;YEAR(B73)</f>
        <v>5/2026</v>
      </c>
      <c r="AN73" s="44">
        <f>WEEKNUM(B73)-WEEKNUM(EOMONTH(B73,-1)+1)+1</f>
        <v>2</v>
      </c>
      <c r="AO73" s="44" t="str">
        <f>MONTH(R73)&amp;"/"&amp;YEAR(R73)</f>
        <v>5/2026</v>
      </c>
      <c r="AP73" s="44">
        <f>WEEKNUM(R73)-WEEKNUM(EOMONTH(R73,-1)+1)+1</f>
        <v>3</v>
      </c>
      <c r="AQ73" s="44">
        <f>IF(AU73="S",IF(Q73="1. Aceitou o programa",R73-B73,0),0)</f>
        <v>6</v>
      </c>
      <c r="AR73" s="44">
        <f>IF(AU73="S",IF(AND(S73&lt;&gt;"",R73&lt;&gt;""),S73-R73,0),0)</f>
        <v>0</v>
      </c>
      <c r="AS73" s="44">
        <f>IF(AU73="S",IF(Q73="1. Aceitou o programa",IF(OR(X73="Não se Aplica",X73=""),IF(OR(W73="Não se Aplica",W73=""),0,W73-V73),AVERAGE(X73-W73,W73-V73)),0),0)</f>
        <v>0</v>
      </c>
      <c r="AT73" s="44">
        <f>IF(AU73="S",IF(AND(Q73="1. Aceitou o programa",AB73="Realizada"),IFERROR(IF(AA73="",0,AA73-R73),0),0),0)</f>
        <v>0</v>
      </c>
      <c r="AU73" s="44" t="str">
        <f>_xlfn.XLOOKUP(U73,'Lista Suspensa'!$AA$20:$AA$23,'Lista Suspensa'!$AB$20:$AB$23,"N/A")</f>
        <v>S</v>
      </c>
    </row>
    <row r="74" spans="1:47" ht="12" hidden="1" customHeight="1">
      <c r="A74" s="86" t="s">
        <v>47</v>
      </c>
      <c r="B74" s="87">
        <v>46147</v>
      </c>
      <c r="C74" s="88" t="s">
        <v>48</v>
      </c>
      <c r="D74" s="88" t="s">
        <v>49</v>
      </c>
      <c r="E74" s="89">
        <v>200313274</v>
      </c>
      <c r="F74" s="218" t="s">
        <v>289</v>
      </c>
      <c r="G74" s="91">
        <v>63877430872</v>
      </c>
      <c r="H74" s="92">
        <v>18174</v>
      </c>
      <c r="I74" s="88">
        <v>76</v>
      </c>
      <c r="J74" s="88" t="s">
        <v>64</v>
      </c>
      <c r="K74" s="88" t="s">
        <v>52</v>
      </c>
      <c r="L74" s="88" t="s">
        <v>53</v>
      </c>
      <c r="M74" s="88"/>
      <c r="N74" s="88" t="s">
        <v>207</v>
      </c>
      <c r="O74" s="93" t="s">
        <v>290</v>
      </c>
      <c r="P74" s="94" t="s">
        <v>56</v>
      </c>
      <c r="Q74" s="142" t="s">
        <v>57</v>
      </c>
      <c r="R74" s="95"/>
      <c r="S74" s="96">
        <v>46170</v>
      </c>
      <c r="T74" s="96" t="s">
        <v>58</v>
      </c>
      <c r="U74" s="96" t="s">
        <v>59</v>
      </c>
      <c r="V74" s="92">
        <v>46153</v>
      </c>
      <c r="W74" s="92">
        <v>46154</v>
      </c>
      <c r="X74" s="92">
        <v>46164</v>
      </c>
      <c r="Y74" s="97"/>
      <c r="Z74" s="88"/>
      <c r="AA74" s="96"/>
      <c r="AB74" s="88"/>
      <c r="AC74" s="119"/>
      <c r="AD74" s="88"/>
      <c r="AE74" s="88"/>
      <c r="AF74" s="98"/>
      <c r="AG74" s="98"/>
      <c r="AH74" s="98"/>
      <c r="AI74" s="99"/>
      <c r="AJ74" s="99"/>
      <c r="AK74" s="99"/>
      <c r="AL74" s="44" t="s">
        <v>62</v>
      </c>
      <c r="AM74" s="196" t="str">
        <f>MONTH(B74)&amp;"/"&amp;YEAR(B74)</f>
        <v>5/2026</v>
      </c>
      <c r="AN74" s="44">
        <f>WEEKNUM(B74)-WEEKNUM(EOMONTH(B74,-1)+1)+1</f>
        <v>2</v>
      </c>
      <c r="AO74" s="44" t="str">
        <f>MONTH(R74)&amp;"/"&amp;YEAR(R74)</f>
        <v>1/1900</v>
      </c>
      <c r="AP74" s="44" t="e">
        <f>WEEKNUM(R74)-WEEKNUM(EOMONTH(R74,-1)+1)+1</f>
        <v>#NUM!</v>
      </c>
      <c r="AQ74" s="44">
        <f>IF(AU74="S",IF(Q74="1. Aceitou o programa",R74-B74,0),0)</f>
        <v>0</v>
      </c>
      <c r="AR74" s="44">
        <f>IF(AU74="S",IF(AND(S74&lt;&gt;"",R74&lt;&gt;""),S74-R74,0),0)</f>
        <v>0</v>
      </c>
      <c r="AS74" s="44">
        <f>IF(AU74="S",IF(Q74="1. Aceitou o programa",IF(OR(X74="Não se Aplica",X74=""),IF(OR(W74="Não se Aplica",W74=""),0,W74-V74),AVERAGE(X74-W74,W74-V74)),0),0)</f>
        <v>0</v>
      </c>
      <c r="AT74" s="44">
        <f>IF(AU74="S",IF(AND(Q74="1. Aceitou o programa",AB74="Realizada"),IFERROR(IF(AA74="",0,AA74-R74),0),0),0)</f>
        <v>0</v>
      </c>
      <c r="AU74" s="44" t="str">
        <f>_xlfn.XLOOKUP(U74,'Lista Suspensa'!$AA$20:$AA$23,'Lista Suspensa'!$AB$20:$AB$23,"N/A")</f>
        <v>S</v>
      </c>
    </row>
    <row r="75" spans="1:47" ht="12" hidden="1" customHeight="1">
      <c r="A75" s="86" t="s">
        <v>47</v>
      </c>
      <c r="B75" s="87">
        <v>46147</v>
      </c>
      <c r="C75" s="88" t="s">
        <v>48</v>
      </c>
      <c r="D75" s="88" t="s">
        <v>49</v>
      </c>
      <c r="E75" s="89">
        <v>429485336</v>
      </c>
      <c r="F75" s="218" t="s">
        <v>291</v>
      </c>
      <c r="G75" s="91">
        <v>19749031849</v>
      </c>
      <c r="H75" s="92">
        <v>16338</v>
      </c>
      <c r="I75" s="88">
        <v>81</v>
      </c>
      <c r="J75" s="88" t="s">
        <v>64</v>
      </c>
      <c r="K75" s="88" t="s">
        <v>52</v>
      </c>
      <c r="L75" s="88" t="s">
        <v>53</v>
      </c>
      <c r="M75" s="88"/>
      <c r="N75" s="88" t="s">
        <v>223</v>
      </c>
      <c r="O75" s="93" t="s">
        <v>292</v>
      </c>
      <c r="P75" s="94" t="s">
        <v>56</v>
      </c>
      <c r="Q75" s="142" t="s">
        <v>57</v>
      </c>
      <c r="R75" s="95"/>
      <c r="S75" s="96">
        <v>46170</v>
      </c>
      <c r="T75" s="96" t="s">
        <v>58</v>
      </c>
      <c r="U75" s="96" t="s">
        <v>59</v>
      </c>
      <c r="V75" s="92">
        <v>46153</v>
      </c>
      <c r="W75" s="92">
        <v>46154</v>
      </c>
      <c r="X75" s="92">
        <v>46164</v>
      </c>
      <c r="Y75" s="97"/>
      <c r="Z75" s="88"/>
      <c r="AA75" s="96"/>
      <c r="AB75" s="88"/>
      <c r="AC75" s="119"/>
      <c r="AD75" s="88"/>
      <c r="AE75" s="88"/>
      <c r="AF75" s="98"/>
      <c r="AG75" s="98"/>
      <c r="AH75" s="98"/>
      <c r="AI75" s="99"/>
      <c r="AJ75" s="99"/>
      <c r="AK75" s="99"/>
      <c r="AL75" s="44" t="s">
        <v>62</v>
      </c>
      <c r="AM75" s="196" t="str">
        <f>MONTH(B75)&amp;"/"&amp;YEAR(B75)</f>
        <v>5/2026</v>
      </c>
      <c r="AN75" s="44">
        <f>WEEKNUM(B75)-WEEKNUM(EOMONTH(B75,-1)+1)+1</f>
        <v>2</v>
      </c>
      <c r="AO75" s="44" t="str">
        <f>MONTH(R75)&amp;"/"&amp;YEAR(R75)</f>
        <v>1/1900</v>
      </c>
      <c r="AP75" s="44" t="e">
        <f>WEEKNUM(R75)-WEEKNUM(EOMONTH(R75,-1)+1)+1</f>
        <v>#NUM!</v>
      </c>
      <c r="AQ75" s="44">
        <f>IF(AU75="S",IF(Q75="1. Aceitou o programa",R75-B75,0),0)</f>
        <v>0</v>
      </c>
      <c r="AR75" s="44">
        <f>IF(AU75="S",IF(AND(S75&lt;&gt;"",R75&lt;&gt;""),S75-R75,0),0)</f>
        <v>0</v>
      </c>
      <c r="AS75" s="44">
        <f>IF(AU75="S",IF(Q75="1. Aceitou o programa",IF(OR(X75="Não se Aplica",X75=""),IF(OR(W75="Não se Aplica",W75=""),0,W75-V75),AVERAGE(X75-W75,W75-V75)),0),0)</f>
        <v>0</v>
      </c>
      <c r="AT75" s="44">
        <f>IF(AU75="S",IF(AND(Q75="1. Aceitou o programa",AB75="Realizada"),IFERROR(IF(AA75="",0,AA75-R75),0),0),0)</f>
        <v>0</v>
      </c>
      <c r="AU75" s="44" t="str">
        <f>_xlfn.XLOOKUP(U75,'Lista Suspensa'!$AA$20:$AA$23,'Lista Suspensa'!$AB$20:$AB$23,"N/A")</f>
        <v>S</v>
      </c>
    </row>
    <row r="76" spans="1:47" ht="12" hidden="1" customHeight="1">
      <c r="A76" s="86" t="s">
        <v>47</v>
      </c>
      <c r="B76" s="87">
        <v>46147</v>
      </c>
      <c r="C76" s="88" t="s">
        <v>48</v>
      </c>
      <c r="D76" s="88" t="s">
        <v>49</v>
      </c>
      <c r="E76" s="89">
        <v>83360561</v>
      </c>
      <c r="F76" s="218" t="s">
        <v>293</v>
      </c>
      <c r="G76" s="91">
        <v>8808840700</v>
      </c>
      <c r="H76" s="92">
        <v>28449</v>
      </c>
      <c r="I76" s="88">
        <v>48</v>
      </c>
      <c r="J76" s="88" t="s">
        <v>64</v>
      </c>
      <c r="K76" s="88" t="s">
        <v>80</v>
      </c>
      <c r="L76" s="88" t="s">
        <v>87</v>
      </c>
      <c r="M76" s="88"/>
      <c r="N76" s="88" t="s">
        <v>91</v>
      </c>
      <c r="O76" s="93" t="s">
        <v>294</v>
      </c>
      <c r="P76" s="94" t="s">
        <v>56</v>
      </c>
      <c r="Q76" s="142" t="s">
        <v>68</v>
      </c>
      <c r="R76" s="95">
        <v>46153</v>
      </c>
      <c r="S76" s="96"/>
      <c r="T76" s="96" t="s">
        <v>69</v>
      </c>
      <c r="U76" s="96" t="s">
        <v>70</v>
      </c>
      <c r="V76" s="92">
        <v>46153</v>
      </c>
      <c r="W76" s="92" t="s">
        <v>71</v>
      </c>
      <c r="X76" s="92" t="s">
        <v>71</v>
      </c>
      <c r="Y76" s="97"/>
      <c r="Z76" s="88" t="s">
        <v>72</v>
      </c>
      <c r="AA76" s="96" t="s">
        <v>295</v>
      </c>
      <c r="AB76" s="88" t="s">
        <v>74</v>
      </c>
      <c r="AC76" s="119"/>
      <c r="AD76" s="88" t="s">
        <v>97</v>
      </c>
      <c r="AE76" s="88">
        <v>54</v>
      </c>
      <c r="AF76" s="98" t="s">
        <v>151</v>
      </c>
      <c r="AG76" s="98" t="s">
        <v>151</v>
      </c>
      <c r="AH76" s="98" t="s">
        <v>77</v>
      </c>
      <c r="AI76" s="99" t="s">
        <v>61</v>
      </c>
      <c r="AJ76" s="99" t="s">
        <v>61</v>
      </c>
      <c r="AK76" s="99" t="s">
        <v>61</v>
      </c>
      <c r="AL76" s="44" t="s">
        <v>62</v>
      </c>
      <c r="AM76" s="196" t="str">
        <f>MONTH(B76)&amp;"/"&amp;YEAR(B76)</f>
        <v>5/2026</v>
      </c>
      <c r="AN76" s="44">
        <f>WEEKNUM(B76)-WEEKNUM(EOMONTH(B76,-1)+1)+1</f>
        <v>2</v>
      </c>
      <c r="AO76" s="44" t="str">
        <f>MONTH(R76)&amp;"/"&amp;YEAR(R76)</f>
        <v>5/2026</v>
      </c>
      <c r="AP76" s="44">
        <f>WEEKNUM(R76)-WEEKNUM(EOMONTH(R76,-1)+1)+1</f>
        <v>3</v>
      </c>
      <c r="AQ76" s="44">
        <f>IF(AU76="S",IF(Q76="1. Aceitou o programa",R76-B76,0),0)</f>
        <v>6</v>
      </c>
      <c r="AR76" s="44">
        <f>IF(AU76="S",IF(AND(S76&lt;&gt;"",R76&lt;&gt;""),S76-R76,0),0)</f>
        <v>0</v>
      </c>
      <c r="AS76" s="44">
        <f>IF(AU76="S",IF(Q76="1. Aceitou o programa",IF(OR(X76="Não se Aplica",X76=""),IF(OR(W76="Não se Aplica",W76=""),0,W76-V76),AVERAGE(X76-W76,W76-V76)),0),0)</f>
        <v>0</v>
      </c>
      <c r="AT76" s="44">
        <f>IF(AU76="S",IF(AND(Q76="1. Aceitou o programa",AB76="Realizada"),IFERROR(IF(AA76="",0,AA76-R76),0),0),0)</f>
        <v>11.458333333335759</v>
      </c>
      <c r="AU76" s="44" t="str">
        <f>_xlfn.XLOOKUP(U76,'Lista Suspensa'!$AA$20:$AA$23,'Lista Suspensa'!$AB$20:$AB$23,"N/A")</f>
        <v>S</v>
      </c>
    </row>
    <row r="77" spans="1:47" ht="12" hidden="1" customHeight="1">
      <c r="A77" s="86" t="s">
        <v>47</v>
      </c>
      <c r="B77" s="87">
        <v>46147</v>
      </c>
      <c r="C77" s="88" t="s">
        <v>48</v>
      </c>
      <c r="D77" s="88" t="s">
        <v>49</v>
      </c>
      <c r="E77" s="111">
        <v>93153008</v>
      </c>
      <c r="F77" s="218" t="s">
        <v>296</v>
      </c>
      <c r="G77" s="91">
        <v>78584876715</v>
      </c>
      <c r="H77" s="92">
        <v>22504</v>
      </c>
      <c r="I77" s="88">
        <v>64</v>
      </c>
      <c r="J77" s="88" t="s">
        <v>51</v>
      </c>
      <c r="K77" s="88" t="s">
        <v>80</v>
      </c>
      <c r="L77" s="88" t="s">
        <v>87</v>
      </c>
      <c r="M77" s="88"/>
      <c r="N77" s="88" t="s">
        <v>94</v>
      </c>
      <c r="O77" s="93" t="s">
        <v>297</v>
      </c>
      <c r="P77" s="94" t="s">
        <v>56</v>
      </c>
      <c r="Q77" s="142" t="s">
        <v>68</v>
      </c>
      <c r="R77" s="95">
        <v>46163</v>
      </c>
      <c r="S77" s="96"/>
      <c r="T77" s="96" t="s">
        <v>69</v>
      </c>
      <c r="U77" s="96" t="s">
        <v>70</v>
      </c>
      <c r="V77" s="92">
        <v>46153</v>
      </c>
      <c r="W77" s="92">
        <v>46154</v>
      </c>
      <c r="X77" s="92">
        <v>46160</v>
      </c>
      <c r="Y77" s="97"/>
      <c r="Z77" s="88" t="s">
        <v>72</v>
      </c>
      <c r="AA77" s="96">
        <v>46164.652777777781</v>
      </c>
      <c r="AB77" s="88"/>
      <c r="AC77" s="119"/>
      <c r="AD77" s="88"/>
      <c r="AE77" s="88"/>
      <c r="AF77" s="98"/>
      <c r="AG77" s="98"/>
      <c r="AH77" s="98"/>
      <c r="AI77" s="99"/>
      <c r="AJ77" s="99" t="s">
        <v>61</v>
      </c>
      <c r="AK77" s="99" t="s">
        <v>61</v>
      </c>
      <c r="AL77" s="44" t="s">
        <v>62</v>
      </c>
      <c r="AM77" s="196" t="str">
        <f>MONTH(B77)&amp;"/"&amp;YEAR(B77)</f>
        <v>5/2026</v>
      </c>
      <c r="AN77" s="44">
        <f>WEEKNUM(B77)-WEEKNUM(EOMONTH(B77,-1)+1)+1</f>
        <v>2</v>
      </c>
      <c r="AO77" s="44" t="str">
        <f>MONTH(R77)&amp;"/"&amp;YEAR(R77)</f>
        <v>5/2026</v>
      </c>
      <c r="AP77" s="44">
        <f>WEEKNUM(R77)-WEEKNUM(EOMONTH(R77,-1)+1)+1</f>
        <v>4</v>
      </c>
      <c r="AQ77" s="44">
        <f>IF(AU77="S",IF(Q77="1. Aceitou o programa",R77-B77,0),0)</f>
        <v>16</v>
      </c>
      <c r="AR77" s="44">
        <f>IF(AU77="S",IF(AND(S77&lt;&gt;"",R77&lt;&gt;""),S77-R77,0),0)</f>
        <v>0</v>
      </c>
      <c r="AS77" s="44">
        <f>IF(AU77="S",IF(Q77="1. Aceitou o programa",IF(OR(X77="Não se Aplica",X77=""),IF(OR(W77="Não se Aplica",W77=""),0,W77-V77),AVERAGE(X77-W77,W77-V77)),0),0)</f>
        <v>3.5</v>
      </c>
      <c r="AT77" s="44">
        <f>IF(AU77="S",IF(AND(Q77="1. Aceitou o programa",AB77="Realizada"),IFERROR(IF(AA77="",0,AA77-R77),0),0),0)</f>
        <v>0</v>
      </c>
      <c r="AU77" s="44" t="str">
        <f>_xlfn.XLOOKUP(U77,'Lista Suspensa'!$AA$20:$AA$23,'Lista Suspensa'!$AB$20:$AB$23,"N/A")</f>
        <v>S</v>
      </c>
    </row>
    <row r="78" spans="1:47" ht="12" customHeight="1">
      <c r="A78" s="86" t="s">
        <v>47</v>
      </c>
      <c r="B78" s="87">
        <v>46147</v>
      </c>
      <c r="C78" s="88" t="s">
        <v>48</v>
      </c>
      <c r="D78" s="88" t="s">
        <v>49</v>
      </c>
      <c r="E78" s="89">
        <v>94854505</v>
      </c>
      <c r="F78" s="218" t="s">
        <v>298</v>
      </c>
      <c r="G78" s="91">
        <v>25559905852</v>
      </c>
      <c r="H78" s="92">
        <v>28315</v>
      </c>
      <c r="I78" s="88">
        <v>48</v>
      </c>
      <c r="J78" s="88" t="s">
        <v>64</v>
      </c>
      <c r="K78" s="88" t="s">
        <v>52</v>
      </c>
      <c r="L78" s="88" t="s">
        <v>53</v>
      </c>
      <c r="M78" s="88"/>
      <c r="N78" s="88" t="s">
        <v>91</v>
      </c>
      <c r="O78" s="93" t="s">
        <v>299</v>
      </c>
      <c r="P78" s="94" t="s">
        <v>56</v>
      </c>
      <c r="Q78" s="142" t="s">
        <v>68</v>
      </c>
      <c r="R78" s="95">
        <v>46189</v>
      </c>
      <c r="S78" s="96">
        <v>46170</v>
      </c>
      <c r="T78" s="96" t="s">
        <v>69</v>
      </c>
      <c r="U78" s="96" t="s">
        <v>70</v>
      </c>
      <c r="V78" s="92">
        <v>46153</v>
      </c>
      <c r="W78" s="92">
        <v>46154</v>
      </c>
      <c r="X78" s="92">
        <v>46164</v>
      </c>
      <c r="Y78" s="97"/>
      <c r="Z78" s="88" t="s">
        <v>72</v>
      </c>
      <c r="AA78" s="96" t="s">
        <v>300</v>
      </c>
      <c r="AB78" s="88"/>
      <c r="AC78" s="119"/>
      <c r="AD78" s="88"/>
      <c r="AE78" s="88"/>
      <c r="AF78" s="98"/>
      <c r="AG78" s="98"/>
      <c r="AH78" s="98"/>
      <c r="AI78" s="99"/>
      <c r="AJ78" s="99" t="s">
        <v>61</v>
      </c>
      <c r="AK78" s="99"/>
      <c r="AL78" s="44" t="s">
        <v>62</v>
      </c>
      <c r="AM78" s="196" t="str">
        <f>MONTH(B78)&amp;"/"&amp;YEAR(B78)</f>
        <v>5/2026</v>
      </c>
      <c r="AN78" s="44">
        <f>WEEKNUM(B78)-WEEKNUM(EOMONTH(B78,-1)+1)+1</f>
        <v>2</v>
      </c>
      <c r="AO78" s="44" t="str">
        <f>MONTH(R78)&amp;"/"&amp;YEAR(R78)</f>
        <v>6/2026</v>
      </c>
      <c r="AP78" s="44">
        <f>WEEKNUM(R78)-WEEKNUM(EOMONTH(R78,-1)+1)+1</f>
        <v>3</v>
      </c>
      <c r="AQ78" s="44">
        <f>IF(AU78="S",IF(Q78="1. Aceitou o programa",R78-B78,0),0)</f>
        <v>42</v>
      </c>
      <c r="AR78" s="44">
        <f>IF(AU78="S",IF(AND(S78&lt;&gt;"",R78&lt;&gt;""),S78-R78,0),0)</f>
        <v>-19</v>
      </c>
      <c r="AS78" s="44">
        <f>IF(AU78="S",IF(Q78="1. Aceitou o programa",IF(OR(X78="Não se Aplica",X78=""),IF(OR(W78="Não se Aplica",W78=""),0,W78-V78),AVERAGE(X78-W78,W78-V78)),0),0)</f>
        <v>5.5</v>
      </c>
      <c r="AT78" s="44">
        <f>IF(AU78="S",IF(AND(Q78="1. Aceitou o programa",AB78="Realizada"),IFERROR(IF(AA78="",0,AA78-R78),0),0),0)</f>
        <v>0</v>
      </c>
      <c r="AU78" s="44" t="str">
        <f>_xlfn.XLOOKUP(U78,'Lista Suspensa'!$AA$20:$AA$23,'Lista Suspensa'!$AB$20:$AB$23,"N/A")</f>
        <v>S</v>
      </c>
    </row>
    <row r="79" spans="1:47" ht="12" hidden="1" customHeight="1">
      <c r="A79" s="86" t="s">
        <v>47</v>
      </c>
      <c r="B79" s="87">
        <v>46147</v>
      </c>
      <c r="C79" s="88" t="s">
        <v>48</v>
      </c>
      <c r="D79" s="88" t="s">
        <v>49</v>
      </c>
      <c r="E79" s="89">
        <v>89993646</v>
      </c>
      <c r="F79" s="218" t="s">
        <v>301</v>
      </c>
      <c r="G79" s="91">
        <v>8719507828</v>
      </c>
      <c r="H79" s="92">
        <v>24495</v>
      </c>
      <c r="I79" s="88">
        <v>59</v>
      </c>
      <c r="J79" s="88" t="s">
        <v>51</v>
      </c>
      <c r="K79" s="88" t="s">
        <v>52</v>
      </c>
      <c r="L79" s="88" t="s">
        <v>302</v>
      </c>
      <c r="M79" s="88"/>
      <c r="N79" s="88" t="s">
        <v>88</v>
      </c>
      <c r="O79" s="93" t="s">
        <v>303</v>
      </c>
      <c r="P79" s="94" t="s">
        <v>56</v>
      </c>
      <c r="Q79" s="142" t="s">
        <v>68</v>
      </c>
      <c r="R79" s="95">
        <v>46171</v>
      </c>
      <c r="S79" s="96"/>
      <c r="T79" s="96" t="s">
        <v>69</v>
      </c>
      <c r="U79" s="96" t="s">
        <v>70</v>
      </c>
      <c r="V79" s="92">
        <v>46153</v>
      </c>
      <c r="W79" s="92">
        <v>46154</v>
      </c>
      <c r="X79" s="92">
        <v>46164</v>
      </c>
      <c r="Y79" s="97"/>
      <c r="Z79" s="88" t="s">
        <v>72</v>
      </c>
      <c r="AA79" s="96">
        <v>46181</v>
      </c>
      <c r="AB79" s="88" t="s">
        <v>105</v>
      </c>
      <c r="AC79" s="119">
        <v>46188</v>
      </c>
      <c r="AD79" s="88"/>
      <c r="AE79" s="88"/>
      <c r="AF79" s="98"/>
      <c r="AG79" s="98"/>
      <c r="AH79" s="98"/>
      <c r="AI79" s="99"/>
      <c r="AJ79" s="99" t="s">
        <v>61</v>
      </c>
      <c r="AK79" s="99" t="s">
        <v>78</v>
      </c>
      <c r="AL79" s="44" t="s">
        <v>62</v>
      </c>
      <c r="AM79" s="196" t="str">
        <f>MONTH(B79)&amp;"/"&amp;YEAR(B79)</f>
        <v>5/2026</v>
      </c>
      <c r="AN79" s="44">
        <f>WEEKNUM(B79)-WEEKNUM(EOMONTH(B79,-1)+1)+1</f>
        <v>2</v>
      </c>
      <c r="AO79" s="44" t="str">
        <f>MONTH(R79)&amp;"/"&amp;YEAR(R79)</f>
        <v>5/2026</v>
      </c>
      <c r="AP79" s="44">
        <f>WEEKNUM(R79)-WEEKNUM(EOMONTH(R79,-1)+1)+1</f>
        <v>5</v>
      </c>
      <c r="AQ79" s="44">
        <f>IF(AU79="S",IF(Q79="1. Aceitou o programa",R79-B79,0),0)</f>
        <v>24</v>
      </c>
      <c r="AR79" s="44">
        <f>IF(AU79="S",IF(AND(S79&lt;&gt;"",R79&lt;&gt;""),S79-R79,0),0)</f>
        <v>0</v>
      </c>
      <c r="AS79" s="44">
        <f>IF(AU79="S",IF(Q79="1. Aceitou o programa",IF(OR(X79="Não se Aplica",X79=""),IF(OR(W79="Não se Aplica",W79=""),0,W79-V79),AVERAGE(X79-W79,W79-V79)),0),0)</f>
        <v>5.5</v>
      </c>
      <c r="AT79" s="44">
        <f>IF(AU79="S",IF(AND(Q79="1. Aceitou o programa",AB79="Realizada"),IFERROR(IF(AA79="",0,AA79-R79),0),0),0)</f>
        <v>0</v>
      </c>
      <c r="AU79" s="44" t="str">
        <f>_xlfn.XLOOKUP(U79,'Lista Suspensa'!$AA$20:$AA$23,'Lista Suspensa'!$AB$20:$AB$23,"N/A")</f>
        <v>S</v>
      </c>
    </row>
    <row r="80" spans="1:47" ht="12" hidden="1" customHeight="1">
      <c r="A80" s="86" t="s">
        <v>47</v>
      </c>
      <c r="B80" s="87">
        <v>46147</v>
      </c>
      <c r="C80" s="88" t="s">
        <v>48</v>
      </c>
      <c r="D80" s="88" t="s">
        <v>49</v>
      </c>
      <c r="E80" s="89">
        <v>797554556</v>
      </c>
      <c r="F80" s="218" t="s">
        <v>304</v>
      </c>
      <c r="G80" s="91">
        <v>72985682800</v>
      </c>
      <c r="H80" s="92">
        <v>17218</v>
      </c>
      <c r="I80" s="88">
        <v>79</v>
      </c>
      <c r="J80" s="88" t="s">
        <v>51</v>
      </c>
      <c r="K80" s="88" t="s">
        <v>52</v>
      </c>
      <c r="L80" s="88" t="s">
        <v>53</v>
      </c>
      <c r="M80" s="88"/>
      <c r="N80" s="88" t="s">
        <v>223</v>
      </c>
      <c r="O80" s="93" t="s">
        <v>305</v>
      </c>
      <c r="P80" s="94" t="s">
        <v>56</v>
      </c>
      <c r="Q80" s="142" t="s">
        <v>57</v>
      </c>
      <c r="R80" s="95"/>
      <c r="S80" s="96">
        <v>46170</v>
      </c>
      <c r="T80" s="96" t="s">
        <v>58</v>
      </c>
      <c r="U80" s="96" t="s">
        <v>59</v>
      </c>
      <c r="V80" s="92">
        <v>46153</v>
      </c>
      <c r="W80" s="92">
        <v>46154</v>
      </c>
      <c r="X80" s="92">
        <v>46164</v>
      </c>
      <c r="Y80" s="97"/>
      <c r="Z80" s="88"/>
      <c r="AA80" s="96"/>
      <c r="AB80" s="88"/>
      <c r="AC80" s="119"/>
      <c r="AD80" s="88"/>
      <c r="AE80" s="88"/>
      <c r="AF80" s="98"/>
      <c r="AG80" s="98"/>
      <c r="AH80" s="98"/>
      <c r="AI80" s="99"/>
      <c r="AJ80" s="99"/>
      <c r="AK80" s="99"/>
      <c r="AL80" s="44" t="s">
        <v>62</v>
      </c>
      <c r="AM80" s="196" t="str">
        <f>MONTH(B80)&amp;"/"&amp;YEAR(B80)</f>
        <v>5/2026</v>
      </c>
      <c r="AN80" s="44">
        <f>WEEKNUM(B80)-WEEKNUM(EOMONTH(B80,-1)+1)+1</f>
        <v>2</v>
      </c>
      <c r="AO80" s="44" t="str">
        <f>MONTH(R80)&amp;"/"&amp;YEAR(R80)</f>
        <v>1/1900</v>
      </c>
      <c r="AP80" s="44" t="e">
        <f>WEEKNUM(R80)-WEEKNUM(EOMONTH(R80,-1)+1)+1</f>
        <v>#NUM!</v>
      </c>
      <c r="AQ80" s="44">
        <f>IF(AU80="S",IF(Q80="1. Aceitou o programa",R80-B80,0),0)</f>
        <v>0</v>
      </c>
      <c r="AR80" s="44">
        <f>IF(AU80="S",IF(AND(S80&lt;&gt;"",R80&lt;&gt;""),S80-R80,0),0)</f>
        <v>0</v>
      </c>
      <c r="AS80" s="44">
        <f>IF(AU80="S",IF(Q80="1. Aceitou o programa",IF(OR(X80="Não se Aplica",X80=""),IF(OR(W80="Não se Aplica",W80=""),0,W80-V80),AVERAGE(X80-W80,W80-V80)),0),0)</f>
        <v>0</v>
      </c>
      <c r="AT80" s="44">
        <f>IF(AU80="S",IF(AND(Q80="1. Aceitou o programa",AB80="Realizada"),IFERROR(IF(AA80="",0,AA80-R80),0),0),0)</f>
        <v>0</v>
      </c>
      <c r="AU80" s="44" t="str">
        <f>_xlfn.XLOOKUP(U80,'Lista Suspensa'!$AA$20:$AA$23,'Lista Suspensa'!$AB$20:$AB$23,"N/A")</f>
        <v>S</v>
      </c>
    </row>
    <row r="81" spans="1:47" ht="12" hidden="1" customHeight="1">
      <c r="A81" s="86" t="s">
        <v>47</v>
      </c>
      <c r="B81" s="87">
        <v>46147</v>
      </c>
      <c r="C81" s="88" t="s">
        <v>48</v>
      </c>
      <c r="D81" s="88" t="s">
        <v>49</v>
      </c>
      <c r="E81" s="89">
        <v>93852600</v>
      </c>
      <c r="F81" s="218" t="s">
        <v>306</v>
      </c>
      <c r="G81" s="91">
        <v>4135117740</v>
      </c>
      <c r="H81" s="92">
        <v>27827</v>
      </c>
      <c r="I81" s="88">
        <v>50</v>
      </c>
      <c r="J81" s="88" t="s">
        <v>64</v>
      </c>
      <c r="K81" s="88" t="s">
        <v>80</v>
      </c>
      <c r="L81" s="88" t="s">
        <v>53</v>
      </c>
      <c r="M81" s="88"/>
      <c r="N81" s="88" t="s">
        <v>94</v>
      </c>
      <c r="O81" s="93" t="s">
        <v>307</v>
      </c>
      <c r="P81" s="94" t="s">
        <v>56</v>
      </c>
      <c r="Q81" s="142" t="s">
        <v>68</v>
      </c>
      <c r="R81" s="95">
        <v>46153</v>
      </c>
      <c r="S81" s="96"/>
      <c r="T81" s="96" t="s">
        <v>69</v>
      </c>
      <c r="U81" s="96" t="s">
        <v>70</v>
      </c>
      <c r="V81" s="92">
        <v>46153</v>
      </c>
      <c r="W81" s="92" t="s">
        <v>71</v>
      </c>
      <c r="X81" s="92" t="s">
        <v>71</v>
      </c>
      <c r="Y81" s="97"/>
      <c r="Z81" s="88" t="s">
        <v>72</v>
      </c>
      <c r="AA81" s="96" t="s">
        <v>308</v>
      </c>
      <c r="AB81" s="88" t="s">
        <v>74</v>
      </c>
      <c r="AC81" s="119"/>
      <c r="AD81" s="88" t="s">
        <v>97</v>
      </c>
      <c r="AE81" s="88">
        <v>55</v>
      </c>
      <c r="AF81" s="98" t="s">
        <v>85</v>
      </c>
      <c r="AG81" s="98" t="s">
        <v>85</v>
      </c>
      <c r="AH81" s="98" t="s">
        <v>77</v>
      </c>
      <c r="AI81" s="99" t="s">
        <v>61</v>
      </c>
      <c r="AJ81" s="99" t="s">
        <v>61</v>
      </c>
      <c r="AK81" s="99" t="s">
        <v>61</v>
      </c>
      <c r="AL81" s="44" t="s">
        <v>62</v>
      </c>
      <c r="AM81" s="196" t="str">
        <f>MONTH(B81)&amp;"/"&amp;YEAR(B81)</f>
        <v>5/2026</v>
      </c>
      <c r="AN81" s="44">
        <f>WEEKNUM(B81)-WEEKNUM(EOMONTH(B81,-1)+1)+1</f>
        <v>2</v>
      </c>
      <c r="AO81" s="44" t="str">
        <f>MONTH(R81)&amp;"/"&amp;YEAR(R81)</f>
        <v>5/2026</v>
      </c>
      <c r="AP81" s="44">
        <f>WEEKNUM(R81)-WEEKNUM(EOMONTH(R81,-1)+1)+1</f>
        <v>3</v>
      </c>
      <c r="AQ81" s="44">
        <f>IF(AU81="S",IF(Q81="1. Aceitou o programa",R81-B81,0),0)</f>
        <v>6</v>
      </c>
      <c r="AR81" s="44">
        <f>IF(AU81="S",IF(AND(S81&lt;&gt;"",R81&lt;&gt;""),S81-R81,0),0)</f>
        <v>0</v>
      </c>
      <c r="AS81" s="44">
        <f>IF(AU81="S",IF(Q81="1. Aceitou o programa",IF(OR(X81="Não se Aplica",X81=""),IF(OR(W81="Não se Aplica",W81=""),0,W81-V81),AVERAGE(X81-W81,W81-V81)),0),0)</f>
        <v>0</v>
      </c>
      <c r="AT81" s="44">
        <f>IF(AU81="S",IF(AND(Q81="1. Aceitou o programa",AB81="Realizada"),IFERROR(IF(AA81="",0,AA81-R81),0),0),0)</f>
        <v>10.666666666664241</v>
      </c>
      <c r="AU81" s="44" t="str">
        <f>_xlfn.XLOOKUP(U81,'Lista Suspensa'!$AA$20:$AA$23,'Lista Suspensa'!$AB$20:$AB$23,"N/A")</f>
        <v>S</v>
      </c>
    </row>
    <row r="82" spans="1:47" ht="12" hidden="1" customHeight="1">
      <c r="A82" s="86" t="s">
        <v>47</v>
      </c>
      <c r="B82" s="87">
        <v>46147</v>
      </c>
      <c r="C82" s="88" t="s">
        <v>48</v>
      </c>
      <c r="D82" s="88" t="s">
        <v>49</v>
      </c>
      <c r="E82" s="89">
        <v>96124973</v>
      </c>
      <c r="F82" s="218" t="s">
        <v>309</v>
      </c>
      <c r="G82" s="91">
        <v>62804448720</v>
      </c>
      <c r="H82" s="92">
        <v>22064</v>
      </c>
      <c r="I82" s="88">
        <v>65</v>
      </c>
      <c r="J82" s="88" t="s">
        <v>64</v>
      </c>
      <c r="K82" s="88" t="s">
        <v>80</v>
      </c>
      <c r="L82" s="88" t="s">
        <v>87</v>
      </c>
      <c r="M82" s="88"/>
      <c r="N82" s="88" t="s">
        <v>143</v>
      </c>
      <c r="O82" s="93" t="s">
        <v>310</v>
      </c>
      <c r="P82" s="94" t="s">
        <v>56</v>
      </c>
      <c r="Q82" s="142" t="s">
        <v>57</v>
      </c>
      <c r="R82" s="95"/>
      <c r="S82" s="96">
        <v>46170</v>
      </c>
      <c r="T82" s="96" t="s">
        <v>58</v>
      </c>
      <c r="U82" s="96" t="s">
        <v>59</v>
      </c>
      <c r="V82" s="92">
        <v>46153</v>
      </c>
      <c r="W82" s="92">
        <v>46154</v>
      </c>
      <c r="X82" s="92">
        <v>46164</v>
      </c>
      <c r="Y82" s="97"/>
      <c r="Z82" s="88"/>
      <c r="AA82" s="96"/>
      <c r="AB82" s="88"/>
      <c r="AC82" s="119"/>
      <c r="AD82" s="88"/>
      <c r="AE82" s="88"/>
      <c r="AF82" s="98"/>
      <c r="AG82" s="98"/>
      <c r="AH82" s="98"/>
      <c r="AI82" s="99"/>
      <c r="AJ82" s="99"/>
      <c r="AK82" s="99"/>
      <c r="AL82" s="44" t="s">
        <v>62</v>
      </c>
      <c r="AM82" s="196" t="str">
        <f>MONTH(B82)&amp;"/"&amp;YEAR(B82)</f>
        <v>5/2026</v>
      </c>
      <c r="AN82" s="44">
        <f>WEEKNUM(B82)-WEEKNUM(EOMONTH(B82,-1)+1)+1</f>
        <v>2</v>
      </c>
      <c r="AO82" s="44" t="str">
        <f>MONTH(R82)&amp;"/"&amp;YEAR(R82)</f>
        <v>1/1900</v>
      </c>
      <c r="AP82" s="44" t="e">
        <f>WEEKNUM(R82)-WEEKNUM(EOMONTH(R82,-1)+1)+1</f>
        <v>#NUM!</v>
      </c>
      <c r="AQ82" s="44">
        <f>IF(AU82="S",IF(Q82="1. Aceitou o programa",R82-B82,0),0)</f>
        <v>0</v>
      </c>
      <c r="AR82" s="44">
        <f>IF(AU82="S",IF(AND(S82&lt;&gt;"",R82&lt;&gt;""),S82-R82,0),0)</f>
        <v>0</v>
      </c>
      <c r="AS82" s="44">
        <f>IF(AU82="S",IF(Q82="1. Aceitou o programa",IF(OR(X82="Não se Aplica",X82=""),IF(OR(W82="Não se Aplica",W82=""),0,W82-V82),AVERAGE(X82-W82,W82-V82)),0),0)</f>
        <v>0</v>
      </c>
      <c r="AT82" s="44">
        <f>IF(AU82="S",IF(AND(Q82="1. Aceitou o programa",AB82="Realizada"),IFERROR(IF(AA82="",0,AA82-R82),0),0),0)</f>
        <v>0</v>
      </c>
      <c r="AU82" s="44" t="str">
        <f>_xlfn.XLOOKUP(U82,'Lista Suspensa'!$AA$20:$AA$23,'Lista Suspensa'!$AB$20:$AB$23,"N/A")</f>
        <v>S</v>
      </c>
    </row>
    <row r="83" spans="1:47" ht="12" hidden="1" customHeight="1">
      <c r="A83" s="86" t="s">
        <v>47</v>
      </c>
      <c r="B83" s="87">
        <v>46147</v>
      </c>
      <c r="C83" s="88" t="s">
        <v>48</v>
      </c>
      <c r="D83" s="88" t="s">
        <v>49</v>
      </c>
      <c r="E83" s="111">
        <v>746705344</v>
      </c>
      <c r="F83" s="218" t="s">
        <v>311</v>
      </c>
      <c r="G83" s="91">
        <v>321021789</v>
      </c>
      <c r="H83" s="92">
        <v>25560</v>
      </c>
      <c r="I83" s="88">
        <v>56</v>
      </c>
      <c r="J83" s="88" t="s">
        <v>51</v>
      </c>
      <c r="K83" s="88" t="s">
        <v>80</v>
      </c>
      <c r="L83" s="88" t="s">
        <v>87</v>
      </c>
      <c r="M83" s="88"/>
      <c r="N83" s="88" t="s">
        <v>138</v>
      </c>
      <c r="O83" s="93" t="s">
        <v>312</v>
      </c>
      <c r="P83" s="94" t="s">
        <v>56</v>
      </c>
      <c r="Q83" s="142" t="s">
        <v>68</v>
      </c>
      <c r="R83" s="95">
        <v>46163</v>
      </c>
      <c r="S83" s="96"/>
      <c r="T83" s="96" t="s">
        <v>69</v>
      </c>
      <c r="U83" s="96" t="s">
        <v>70</v>
      </c>
      <c r="V83" s="92">
        <v>46153</v>
      </c>
      <c r="W83" s="92">
        <v>46154</v>
      </c>
      <c r="X83" s="92">
        <v>46160</v>
      </c>
      <c r="Y83" s="97"/>
      <c r="Z83" s="88" t="s">
        <v>72</v>
      </c>
      <c r="AA83" s="96">
        <v>46170.638888888891</v>
      </c>
      <c r="AB83" s="88"/>
      <c r="AC83" s="119"/>
      <c r="AD83" s="88"/>
      <c r="AE83" s="88"/>
      <c r="AF83" s="98"/>
      <c r="AG83" s="98"/>
      <c r="AH83" s="98"/>
      <c r="AI83" s="99"/>
      <c r="AJ83" s="99" t="s">
        <v>61</v>
      </c>
      <c r="AK83" s="99" t="s">
        <v>61</v>
      </c>
      <c r="AL83" s="44" t="s">
        <v>62</v>
      </c>
      <c r="AM83" s="196" t="str">
        <f>MONTH(B83)&amp;"/"&amp;YEAR(B83)</f>
        <v>5/2026</v>
      </c>
      <c r="AN83" s="44">
        <f>WEEKNUM(B83)-WEEKNUM(EOMONTH(B83,-1)+1)+1</f>
        <v>2</v>
      </c>
      <c r="AO83" s="44" t="str">
        <f>MONTH(R83)&amp;"/"&amp;YEAR(R83)</f>
        <v>5/2026</v>
      </c>
      <c r="AP83" s="44">
        <f>WEEKNUM(R83)-WEEKNUM(EOMONTH(R83,-1)+1)+1</f>
        <v>4</v>
      </c>
      <c r="AQ83" s="44">
        <f>IF(AU83="S",IF(Q83="1. Aceitou o programa",R83-B83,0),0)</f>
        <v>16</v>
      </c>
      <c r="AR83" s="44">
        <f>IF(AU83="S",IF(AND(S83&lt;&gt;"",R83&lt;&gt;""),S83-R83,0),0)</f>
        <v>0</v>
      </c>
      <c r="AS83" s="44">
        <f>IF(AU83="S",IF(Q83="1. Aceitou o programa",IF(OR(X83="Não se Aplica",X83=""),IF(OR(W83="Não se Aplica",W83=""),0,W83-V83),AVERAGE(X83-W83,W83-V83)),0),0)</f>
        <v>3.5</v>
      </c>
      <c r="AT83" s="44">
        <f>IF(AU83="S",IF(AND(Q83="1. Aceitou o programa",AB83="Realizada"),IFERROR(IF(AA83="",0,AA83-R83),0),0),0)</f>
        <v>0</v>
      </c>
      <c r="AU83" s="44" t="str">
        <f>_xlfn.XLOOKUP(U83,'Lista Suspensa'!$AA$20:$AA$23,'Lista Suspensa'!$AB$20:$AB$23,"N/A")</f>
        <v>S</v>
      </c>
    </row>
    <row r="84" spans="1:47" ht="12" hidden="1" customHeight="1">
      <c r="A84" s="86" t="s">
        <v>47</v>
      </c>
      <c r="B84" s="87">
        <v>46147</v>
      </c>
      <c r="C84" s="88" t="s">
        <v>48</v>
      </c>
      <c r="D84" s="88" t="s">
        <v>49</v>
      </c>
      <c r="E84" s="89">
        <v>746309570</v>
      </c>
      <c r="F84" s="218" t="s">
        <v>313</v>
      </c>
      <c r="G84" s="91">
        <v>21761647768</v>
      </c>
      <c r="H84" s="92">
        <v>17720</v>
      </c>
      <c r="I84" s="88">
        <v>77</v>
      </c>
      <c r="J84" s="88" t="s">
        <v>51</v>
      </c>
      <c r="K84" s="88" t="s">
        <v>80</v>
      </c>
      <c r="L84" s="88" t="s">
        <v>87</v>
      </c>
      <c r="M84" s="88"/>
      <c r="N84" s="88" t="s">
        <v>54</v>
      </c>
      <c r="O84" s="93" t="s">
        <v>314</v>
      </c>
      <c r="P84" s="94" t="s">
        <v>56</v>
      </c>
      <c r="Q84" s="142" t="s">
        <v>57</v>
      </c>
      <c r="R84" s="95"/>
      <c r="S84" s="96">
        <v>46170</v>
      </c>
      <c r="T84" s="96" t="s">
        <v>58</v>
      </c>
      <c r="U84" s="96" t="s">
        <v>59</v>
      </c>
      <c r="V84" s="92">
        <v>46153</v>
      </c>
      <c r="W84" s="92">
        <v>46154</v>
      </c>
      <c r="X84" s="92">
        <v>46164</v>
      </c>
      <c r="Y84" s="97"/>
      <c r="Z84" s="88"/>
      <c r="AA84" s="96"/>
      <c r="AB84" s="88"/>
      <c r="AC84" s="119"/>
      <c r="AD84" s="88"/>
      <c r="AE84" s="88"/>
      <c r="AF84" s="98"/>
      <c r="AG84" s="98"/>
      <c r="AH84" s="98"/>
      <c r="AI84" s="99"/>
      <c r="AJ84" s="99"/>
      <c r="AK84" s="99"/>
      <c r="AL84" s="44" t="s">
        <v>62</v>
      </c>
      <c r="AM84" s="196" t="str">
        <f>MONTH(B84)&amp;"/"&amp;YEAR(B84)</f>
        <v>5/2026</v>
      </c>
      <c r="AN84" s="44">
        <f>WEEKNUM(B84)-WEEKNUM(EOMONTH(B84,-1)+1)+1</f>
        <v>2</v>
      </c>
      <c r="AO84" s="44" t="str">
        <f>MONTH(R84)&amp;"/"&amp;YEAR(R84)</f>
        <v>1/1900</v>
      </c>
      <c r="AP84" s="44" t="e">
        <f>WEEKNUM(R84)-WEEKNUM(EOMONTH(R84,-1)+1)+1</f>
        <v>#NUM!</v>
      </c>
      <c r="AQ84" s="44">
        <f>IF(AU84="S",IF(Q84="1. Aceitou o programa",R84-B84,0),0)</f>
        <v>0</v>
      </c>
      <c r="AR84" s="44">
        <f>IF(AU84="S",IF(AND(S84&lt;&gt;"",R84&lt;&gt;""),S84-R84,0),0)</f>
        <v>0</v>
      </c>
      <c r="AS84" s="44">
        <f>IF(AU84="S",IF(Q84="1. Aceitou o programa",IF(OR(X84="Não se Aplica",X84=""),IF(OR(W84="Não se Aplica",W84=""),0,W84-V84),AVERAGE(X84-W84,W84-V84)),0),0)</f>
        <v>0</v>
      </c>
      <c r="AT84" s="44">
        <f>IF(AU84="S",IF(AND(Q84="1. Aceitou o programa",AB84="Realizada"),IFERROR(IF(AA84="",0,AA84-R84),0),0),0)</f>
        <v>0</v>
      </c>
      <c r="AU84" s="44" t="str">
        <f>_xlfn.XLOOKUP(U84,'Lista Suspensa'!$AA$20:$AA$23,'Lista Suspensa'!$AB$20:$AB$23,"N/A")</f>
        <v>S</v>
      </c>
    </row>
    <row r="85" spans="1:47" ht="12" hidden="1" customHeight="1">
      <c r="A85" s="86" t="s">
        <v>47</v>
      </c>
      <c r="B85" s="87">
        <v>46147</v>
      </c>
      <c r="C85" s="88" t="s">
        <v>48</v>
      </c>
      <c r="D85" s="88" t="s">
        <v>49</v>
      </c>
      <c r="E85" s="89">
        <v>86059355</v>
      </c>
      <c r="F85" s="218" t="s">
        <v>315</v>
      </c>
      <c r="G85" s="91">
        <v>45252173753</v>
      </c>
      <c r="H85" s="92">
        <v>19663</v>
      </c>
      <c r="I85" s="88">
        <v>72</v>
      </c>
      <c r="J85" s="88" t="s">
        <v>51</v>
      </c>
      <c r="K85" s="88" t="s">
        <v>80</v>
      </c>
      <c r="L85" s="88" t="s">
        <v>316</v>
      </c>
      <c r="M85" s="88"/>
      <c r="N85" s="88" t="s">
        <v>91</v>
      </c>
      <c r="O85" s="93" t="s">
        <v>317</v>
      </c>
      <c r="P85" s="94" t="s">
        <v>56</v>
      </c>
      <c r="Q85" s="142" t="s">
        <v>68</v>
      </c>
      <c r="R85" s="95">
        <v>46153</v>
      </c>
      <c r="S85" s="96"/>
      <c r="T85" s="96" t="s">
        <v>69</v>
      </c>
      <c r="U85" s="96" t="s">
        <v>70</v>
      </c>
      <c r="V85" s="92">
        <v>46153</v>
      </c>
      <c r="W85" s="92" t="s">
        <v>71</v>
      </c>
      <c r="X85" s="92" t="s">
        <v>71</v>
      </c>
      <c r="Y85" s="97"/>
      <c r="Z85" s="88" t="s">
        <v>72</v>
      </c>
      <c r="AA85" s="96" t="s">
        <v>318</v>
      </c>
      <c r="AB85" s="88" t="s">
        <v>74</v>
      </c>
      <c r="AC85" s="119"/>
      <c r="AD85" s="88" t="s">
        <v>97</v>
      </c>
      <c r="AE85" s="88">
        <v>50</v>
      </c>
      <c r="AF85" s="98" t="s">
        <v>85</v>
      </c>
      <c r="AG85" s="98" t="s">
        <v>85</v>
      </c>
      <c r="AH85" s="98" t="s">
        <v>77</v>
      </c>
      <c r="AI85" s="99" t="s">
        <v>61</v>
      </c>
      <c r="AJ85" s="99" t="s">
        <v>61</v>
      </c>
      <c r="AK85" s="99" t="s">
        <v>61</v>
      </c>
      <c r="AL85" s="44" t="s">
        <v>62</v>
      </c>
      <c r="AM85" s="196" t="str">
        <f>MONTH(B85)&amp;"/"&amp;YEAR(B85)</f>
        <v>5/2026</v>
      </c>
      <c r="AN85" s="44">
        <f>WEEKNUM(B85)-WEEKNUM(EOMONTH(B85,-1)+1)+1</f>
        <v>2</v>
      </c>
      <c r="AO85" s="44" t="str">
        <f>MONTH(R85)&amp;"/"&amp;YEAR(R85)</f>
        <v>5/2026</v>
      </c>
      <c r="AP85" s="44">
        <f>WEEKNUM(R85)-WEEKNUM(EOMONTH(R85,-1)+1)+1</f>
        <v>3</v>
      </c>
      <c r="AQ85" s="44">
        <f>IF(AU85="S",IF(Q85="1. Aceitou o programa",R85-B85,0),0)</f>
        <v>6</v>
      </c>
      <c r="AR85" s="44">
        <f>IF(AU85="S",IF(AND(S85&lt;&gt;"",R85&lt;&gt;""),S85-R85,0),0)</f>
        <v>0</v>
      </c>
      <c r="AS85" s="44">
        <f>IF(AU85="S",IF(Q85="1. Aceitou o programa",IF(OR(X85="Não se Aplica",X85=""),IF(OR(W85="Não se Aplica",W85=""),0,W85-V85),AVERAGE(X85-W85,W85-V85)),0),0)</f>
        <v>0</v>
      </c>
      <c r="AT85" s="44">
        <f>IF(AU85="S",IF(AND(Q85="1. Aceitou o programa",AB85="Realizada"),IFERROR(IF(AA85="",0,AA85-R85),0),0),0)</f>
        <v>9.4444444444452529</v>
      </c>
      <c r="AU85" s="44" t="str">
        <f>_xlfn.XLOOKUP(U85,'Lista Suspensa'!$AA$20:$AA$23,'Lista Suspensa'!$AB$20:$AB$23,"N/A")</f>
        <v>S</v>
      </c>
    </row>
    <row r="86" spans="1:47" ht="12" hidden="1" customHeight="1">
      <c r="A86" s="86" t="s">
        <v>47</v>
      </c>
      <c r="B86" s="87">
        <v>46147</v>
      </c>
      <c r="C86" s="88" t="s">
        <v>48</v>
      </c>
      <c r="D86" s="88" t="s">
        <v>49</v>
      </c>
      <c r="E86" s="89">
        <v>79213725</v>
      </c>
      <c r="F86" s="218" t="s">
        <v>319</v>
      </c>
      <c r="G86" s="91">
        <v>58187030534</v>
      </c>
      <c r="H86" s="92">
        <v>25541</v>
      </c>
      <c r="I86" s="88">
        <v>56</v>
      </c>
      <c r="J86" s="88" t="s">
        <v>64</v>
      </c>
      <c r="K86" s="88" t="s">
        <v>52</v>
      </c>
      <c r="L86" s="88" t="s">
        <v>320</v>
      </c>
      <c r="M86" s="88"/>
      <c r="N86" s="88" t="s">
        <v>162</v>
      </c>
      <c r="O86" s="93" t="s">
        <v>321</v>
      </c>
      <c r="P86" s="94" t="s">
        <v>56</v>
      </c>
      <c r="Q86" s="142" t="s">
        <v>57</v>
      </c>
      <c r="R86" s="95"/>
      <c r="S86" s="96">
        <v>46170</v>
      </c>
      <c r="T86" s="96" t="s">
        <v>58</v>
      </c>
      <c r="U86" s="96" t="s">
        <v>59</v>
      </c>
      <c r="V86" s="92">
        <v>46153</v>
      </c>
      <c r="W86" s="92">
        <v>46154</v>
      </c>
      <c r="X86" s="92">
        <v>46164</v>
      </c>
      <c r="Y86" s="97"/>
      <c r="Z86" s="88"/>
      <c r="AA86" s="96"/>
      <c r="AB86" s="88"/>
      <c r="AC86" s="119"/>
      <c r="AD86" s="88"/>
      <c r="AE86" s="88"/>
      <c r="AF86" s="98"/>
      <c r="AG86" s="98"/>
      <c r="AH86" s="98"/>
      <c r="AI86" s="99"/>
      <c r="AJ86" s="99"/>
      <c r="AK86" s="99"/>
      <c r="AL86" s="44" t="s">
        <v>62</v>
      </c>
      <c r="AM86" s="196" t="str">
        <f>MONTH(B86)&amp;"/"&amp;YEAR(B86)</f>
        <v>5/2026</v>
      </c>
      <c r="AN86" s="44">
        <f>WEEKNUM(B86)-WEEKNUM(EOMONTH(B86,-1)+1)+1</f>
        <v>2</v>
      </c>
      <c r="AO86" s="44" t="str">
        <f>MONTH(R86)&amp;"/"&amp;YEAR(R86)</f>
        <v>1/1900</v>
      </c>
      <c r="AP86" s="44" t="e">
        <f>WEEKNUM(R86)-WEEKNUM(EOMONTH(R86,-1)+1)+1</f>
        <v>#NUM!</v>
      </c>
      <c r="AQ86" s="44">
        <f>IF(AU86="S",IF(Q86="1. Aceitou o programa",R86-B86,0),0)</f>
        <v>0</v>
      </c>
      <c r="AR86" s="44">
        <f>IF(AU86="S",IF(AND(S86&lt;&gt;"",R86&lt;&gt;""),S86-R86,0),0)</f>
        <v>0</v>
      </c>
      <c r="AS86" s="44">
        <f>IF(AU86="S",IF(Q86="1. Aceitou o programa",IF(OR(X86="Não se Aplica",X86=""),IF(OR(W86="Não se Aplica",W86=""),0,W86-V86),AVERAGE(X86-W86,W86-V86)),0),0)</f>
        <v>0</v>
      </c>
      <c r="AT86" s="44">
        <f>IF(AU86="S",IF(AND(Q86="1. Aceitou o programa",AB86="Realizada"),IFERROR(IF(AA86="",0,AA86-R86),0),0),0)</f>
        <v>0</v>
      </c>
      <c r="AU86" s="44" t="str">
        <f>_xlfn.XLOOKUP(U86,'Lista Suspensa'!$AA$20:$AA$23,'Lista Suspensa'!$AB$20:$AB$23,"N/A")</f>
        <v>S</v>
      </c>
    </row>
    <row r="87" spans="1:47" ht="12" hidden="1" customHeight="1">
      <c r="A87" s="86" t="s">
        <v>47</v>
      </c>
      <c r="B87" s="87">
        <v>46147</v>
      </c>
      <c r="C87" s="88" t="s">
        <v>48</v>
      </c>
      <c r="D87" s="88" t="s">
        <v>49</v>
      </c>
      <c r="E87" s="89">
        <v>757910491</v>
      </c>
      <c r="F87" s="218" t="s">
        <v>322</v>
      </c>
      <c r="G87" s="91">
        <v>59291214787</v>
      </c>
      <c r="H87" s="92">
        <v>21456</v>
      </c>
      <c r="I87" s="88">
        <v>67</v>
      </c>
      <c r="J87" s="88" t="s">
        <v>64</v>
      </c>
      <c r="K87" s="88" t="s">
        <v>80</v>
      </c>
      <c r="L87" s="88" t="s">
        <v>87</v>
      </c>
      <c r="M87" s="88"/>
      <c r="N87" s="88" t="s">
        <v>54</v>
      </c>
      <c r="O87" s="93" t="s">
        <v>323</v>
      </c>
      <c r="P87" s="94" t="s">
        <v>56</v>
      </c>
      <c r="Q87" s="142" t="s">
        <v>57</v>
      </c>
      <c r="R87" s="95"/>
      <c r="S87" s="96">
        <v>46170</v>
      </c>
      <c r="T87" s="96" t="s">
        <v>58</v>
      </c>
      <c r="U87" s="96" t="s">
        <v>59</v>
      </c>
      <c r="V87" s="92">
        <v>46153</v>
      </c>
      <c r="W87" s="92">
        <v>46154</v>
      </c>
      <c r="X87" s="92">
        <v>46164</v>
      </c>
      <c r="Y87" s="97"/>
      <c r="Z87" s="88"/>
      <c r="AA87" s="96"/>
      <c r="AB87" s="88"/>
      <c r="AC87" s="119"/>
      <c r="AD87" s="88"/>
      <c r="AE87" s="88"/>
      <c r="AF87" s="98"/>
      <c r="AG87" s="98"/>
      <c r="AH87" s="98"/>
      <c r="AI87" s="99"/>
      <c r="AJ87" s="99"/>
      <c r="AK87" s="99"/>
      <c r="AL87" s="44" t="s">
        <v>62</v>
      </c>
      <c r="AM87" s="196" t="str">
        <f>MONTH(B87)&amp;"/"&amp;YEAR(B87)</f>
        <v>5/2026</v>
      </c>
      <c r="AN87" s="44">
        <f>WEEKNUM(B87)-WEEKNUM(EOMONTH(B87,-1)+1)+1</f>
        <v>2</v>
      </c>
      <c r="AO87" s="44" t="str">
        <f>MONTH(R87)&amp;"/"&amp;YEAR(R87)</f>
        <v>1/1900</v>
      </c>
      <c r="AP87" s="44" t="e">
        <f>WEEKNUM(R87)-WEEKNUM(EOMONTH(R87,-1)+1)+1</f>
        <v>#NUM!</v>
      </c>
      <c r="AQ87" s="44">
        <f>IF(AU87="S",IF(Q87="1. Aceitou o programa",R87-B87,0),0)</f>
        <v>0</v>
      </c>
      <c r="AR87" s="44">
        <f>IF(AU87="S",IF(AND(S87&lt;&gt;"",R87&lt;&gt;""),S87-R87,0),0)</f>
        <v>0</v>
      </c>
      <c r="AS87" s="44">
        <f>IF(AU87="S",IF(Q87="1. Aceitou o programa",IF(OR(X87="Não se Aplica",X87=""),IF(OR(W87="Não se Aplica",W87=""),0,W87-V87),AVERAGE(X87-W87,W87-V87)),0),0)</f>
        <v>0</v>
      </c>
      <c r="AT87" s="44">
        <f>IF(AU87="S",IF(AND(Q87="1. Aceitou o programa",AB87="Realizada"),IFERROR(IF(AA87="",0,AA87-R87),0),0),0)</f>
        <v>0</v>
      </c>
      <c r="AU87" s="44" t="str">
        <f>_xlfn.XLOOKUP(U87,'Lista Suspensa'!$AA$20:$AA$23,'Lista Suspensa'!$AB$20:$AB$23,"N/A")</f>
        <v>S</v>
      </c>
    </row>
    <row r="88" spans="1:47" ht="12" hidden="1" customHeight="1">
      <c r="A88" s="86" t="s">
        <v>47</v>
      </c>
      <c r="B88" s="87">
        <v>46147</v>
      </c>
      <c r="C88" s="88" t="s">
        <v>48</v>
      </c>
      <c r="D88" s="88" t="s">
        <v>49</v>
      </c>
      <c r="E88" s="89">
        <v>84599415</v>
      </c>
      <c r="F88" s="218" t="s">
        <v>324</v>
      </c>
      <c r="G88" s="91">
        <v>33862010759</v>
      </c>
      <c r="H88" s="92">
        <v>12228</v>
      </c>
      <c r="I88" s="88">
        <v>92</v>
      </c>
      <c r="J88" s="88" t="s">
        <v>64</v>
      </c>
      <c r="K88" s="88" t="s">
        <v>80</v>
      </c>
      <c r="L88" s="88" t="s">
        <v>87</v>
      </c>
      <c r="M88" s="88"/>
      <c r="N88" s="88" t="s">
        <v>110</v>
      </c>
      <c r="O88" s="93" t="s">
        <v>325</v>
      </c>
      <c r="P88" s="94" t="s">
        <v>56</v>
      </c>
      <c r="Q88" s="142" t="s">
        <v>68</v>
      </c>
      <c r="R88" s="95">
        <v>46153</v>
      </c>
      <c r="S88" s="96"/>
      <c r="T88" s="96" t="s">
        <v>69</v>
      </c>
      <c r="U88" s="96" t="s">
        <v>70</v>
      </c>
      <c r="V88" s="92">
        <v>46153</v>
      </c>
      <c r="W88" s="92" t="s">
        <v>71</v>
      </c>
      <c r="X88" s="92" t="s">
        <v>71</v>
      </c>
      <c r="Y88" s="97"/>
      <c r="Z88" s="88" t="s">
        <v>72</v>
      </c>
      <c r="AA88" s="96" t="s">
        <v>326</v>
      </c>
      <c r="AB88" s="88" t="s">
        <v>74</v>
      </c>
      <c r="AC88" s="119"/>
      <c r="AD88" s="88" t="s">
        <v>113</v>
      </c>
      <c r="AE88" s="88">
        <v>48</v>
      </c>
      <c r="AF88" s="98" t="s">
        <v>285</v>
      </c>
      <c r="AG88" s="98" t="s">
        <v>285</v>
      </c>
      <c r="AH88" s="98" t="s">
        <v>77</v>
      </c>
      <c r="AI88" s="99" t="s">
        <v>61</v>
      </c>
      <c r="AJ88" s="99" t="s">
        <v>61</v>
      </c>
      <c r="AK88" s="99" t="s">
        <v>61</v>
      </c>
      <c r="AL88" s="44" t="s">
        <v>62</v>
      </c>
      <c r="AM88" s="196" t="str">
        <f>MONTH(B88)&amp;"/"&amp;YEAR(B88)</f>
        <v>5/2026</v>
      </c>
      <c r="AN88" s="44">
        <f>WEEKNUM(B88)-WEEKNUM(EOMONTH(B88,-1)+1)+1</f>
        <v>2</v>
      </c>
      <c r="AO88" s="44" t="str">
        <f>MONTH(R88)&amp;"/"&amp;YEAR(R88)</f>
        <v>5/2026</v>
      </c>
      <c r="AP88" s="44">
        <f>WEEKNUM(R88)-WEEKNUM(EOMONTH(R88,-1)+1)+1</f>
        <v>3</v>
      </c>
      <c r="AQ88" s="44">
        <f>IF(AU88="S",IF(Q88="1. Aceitou o programa",R88-B88,0),0)</f>
        <v>6</v>
      </c>
      <c r="AR88" s="44">
        <f>IF(AU88="S",IF(AND(S88&lt;&gt;"",R88&lt;&gt;""),S88-R88,0),0)</f>
        <v>0</v>
      </c>
      <c r="AS88" s="44">
        <f>IF(AU88="S",IF(Q88="1. Aceitou o programa",IF(OR(X88="Não se Aplica",X88=""),IF(OR(W88="Não se Aplica",W88=""),0,W88-V88),AVERAGE(X88-W88,W88-V88)),0),0)</f>
        <v>0</v>
      </c>
      <c r="AT88" s="44">
        <f>IF(AU88="S",IF(AND(Q88="1. Aceitou o programa",AB88="Realizada"),IFERROR(IF(AA88="",0,AA88-R88),0),0),0)</f>
        <v>8.5138888888905058</v>
      </c>
      <c r="AU88" s="44" t="str">
        <f>_xlfn.XLOOKUP(U88,'Lista Suspensa'!$AA$20:$AA$23,'Lista Suspensa'!$AB$20:$AB$23,"N/A")</f>
        <v>S</v>
      </c>
    </row>
    <row r="89" spans="1:47" ht="12" hidden="1" customHeight="1">
      <c r="A89" s="86" t="s">
        <v>47</v>
      </c>
      <c r="B89" s="87">
        <v>46147</v>
      </c>
      <c r="C89" s="88" t="s">
        <v>48</v>
      </c>
      <c r="D89" s="88" t="s">
        <v>49</v>
      </c>
      <c r="E89" s="89">
        <v>809830442</v>
      </c>
      <c r="F89" s="218" t="s">
        <v>327</v>
      </c>
      <c r="G89" s="91">
        <v>23479179860</v>
      </c>
      <c r="H89" s="92">
        <v>28239</v>
      </c>
      <c r="I89" s="88">
        <v>49</v>
      </c>
      <c r="J89" s="88" t="s">
        <v>64</v>
      </c>
      <c r="K89" s="88" t="s">
        <v>52</v>
      </c>
      <c r="L89" s="88" t="s">
        <v>53</v>
      </c>
      <c r="M89" s="88"/>
      <c r="N89" s="88" t="s">
        <v>138</v>
      </c>
      <c r="O89" s="93" t="s">
        <v>328</v>
      </c>
      <c r="P89" s="94" t="s">
        <v>56</v>
      </c>
      <c r="Q89" s="142" t="s">
        <v>68</v>
      </c>
      <c r="R89" s="95">
        <v>46153</v>
      </c>
      <c r="S89" s="96"/>
      <c r="T89" s="96" t="s">
        <v>69</v>
      </c>
      <c r="U89" s="96" t="s">
        <v>70</v>
      </c>
      <c r="V89" s="92">
        <v>46153</v>
      </c>
      <c r="W89" s="92" t="s">
        <v>71</v>
      </c>
      <c r="X89" s="92" t="s">
        <v>71</v>
      </c>
      <c r="Y89" s="97"/>
      <c r="Z89" s="88" t="s">
        <v>72</v>
      </c>
      <c r="AA89" s="96" t="s">
        <v>329</v>
      </c>
      <c r="AB89" s="88" t="s">
        <v>74</v>
      </c>
      <c r="AC89" s="119"/>
      <c r="AD89" s="88" t="s">
        <v>75</v>
      </c>
      <c r="AE89" s="88">
        <v>62</v>
      </c>
      <c r="AF89" s="98" t="s">
        <v>242</v>
      </c>
      <c r="AG89" s="98" t="s">
        <v>242</v>
      </c>
      <c r="AH89" s="98" t="s">
        <v>77</v>
      </c>
      <c r="AI89" s="99" t="s">
        <v>61</v>
      </c>
      <c r="AJ89" s="99" t="s">
        <v>61</v>
      </c>
      <c r="AK89" s="99" t="s">
        <v>61</v>
      </c>
      <c r="AL89" s="44" t="s">
        <v>62</v>
      </c>
      <c r="AM89" s="196" t="str">
        <f>MONTH(B89)&amp;"/"&amp;YEAR(B89)</f>
        <v>5/2026</v>
      </c>
      <c r="AN89" s="44">
        <f>WEEKNUM(B89)-WEEKNUM(EOMONTH(B89,-1)+1)+1</f>
        <v>2</v>
      </c>
      <c r="AO89" s="44" t="str">
        <f>MONTH(R89)&amp;"/"&amp;YEAR(R89)</f>
        <v>5/2026</v>
      </c>
      <c r="AP89" s="44">
        <f>WEEKNUM(R89)-WEEKNUM(EOMONTH(R89,-1)+1)+1</f>
        <v>3</v>
      </c>
      <c r="AQ89" s="44">
        <f>IF(AU89="S",IF(Q89="1. Aceitou o programa",R89-B89,0),0)</f>
        <v>6</v>
      </c>
      <c r="AR89" s="44">
        <f>IF(AU89="S",IF(AND(S89&lt;&gt;"",R89&lt;&gt;""),S89-R89,0),0)</f>
        <v>0</v>
      </c>
      <c r="AS89" s="44">
        <f>IF(AU89="S",IF(Q89="1. Aceitou o programa",IF(OR(X89="Não se Aplica",X89=""),IF(OR(W89="Não se Aplica",W89=""),0,W89-V89),AVERAGE(X89-W89,W89-V89)),0),0)</f>
        <v>0</v>
      </c>
      <c r="AT89" s="44">
        <f>IF(AU89="S",IF(AND(Q89="1. Aceitou o programa",AB89="Realizada"),IFERROR(IF(AA89="",0,AA89-R89),0),0),0)</f>
        <v>8.5</v>
      </c>
      <c r="AU89" s="44" t="str">
        <f>_xlfn.XLOOKUP(U89,'Lista Suspensa'!$AA$20:$AA$23,'Lista Suspensa'!$AB$20:$AB$23,"N/A")</f>
        <v>S</v>
      </c>
    </row>
    <row r="90" spans="1:47" ht="12" hidden="1" customHeight="1">
      <c r="A90" s="86" t="s">
        <v>47</v>
      </c>
      <c r="B90" s="87">
        <v>46147</v>
      </c>
      <c r="C90" s="88" t="s">
        <v>48</v>
      </c>
      <c r="D90" s="88" t="s">
        <v>49</v>
      </c>
      <c r="E90" s="89">
        <v>803091486</v>
      </c>
      <c r="F90" s="218" t="s">
        <v>330</v>
      </c>
      <c r="G90" s="91">
        <v>22784170888</v>
      </c>
      <c r="H90" s="92">
        <v>13378</v>
      </c>
      <c r="I90" s="88">
        <v>89</v>
      </c>
      <c r="J90" s="88" t="s">
        <v>64</v>
      </c>
      <c r="K90" s="88" t="s">
        <v>52</v>
      </c>
      <c r="L90" s="88" t="s">
        <v>195</v>
      </c>
      <c r="M90" s="88"/>
      <c r="N90" s="88" t="s">
        <v>54</v>
      </c>
      <c r="O90" s="93" t="s">
        <v>331</v>
      </c>
      <c r="P90" s="94" t="s">
        <v>56</v>
      </c>
      <c r="Q90" s="142" t="s">
        <v>57</v>
      </c>
      <c r="R90" s="95"/>
      <c r="S90" s="96">
        <v>46170</v>
      </c>
      <c r="T90" s="96" t="s">
        <v>58</v>
      </c>
      <c r="U90" s="96" t="s">
        <v>59</v>
      </c>
      <c r="V90" s="92">
        <v>46153</v>
      </c>
      <c r="W90" s="92">
        <v>46154</v>
      </c>
      <c r="X90" s="92">
        <v>46164</v>
      </c>
      <c r="Y90" s="97"/>
      <c r="Z90" s="88"/>
      <c r="AA90" s="96"/>
      <c r="AB90" s="88"/>
      <c r="AC90" s="119"/>
      <c r="AD90" s="88"/>
      <c r="AE90" s="88"/>
      <c r="AF90" s="98"/>
      <c r="AG90" s="98"/>
      <c r="AH90" s="98"/>
      <c r="AI90" s="99"/>
      <c r="AJ90" s="99"/>
      <c r="AK90" s="99"/>
      <c r="AL90" s="44" t="s">
        <v>62</v>
      </c>
      <c r="AM90" s="196" t="str">
        <f>MONTH(B90)&amp;"/"&amp;YEAR(B90)</f>
        <v>5/2026</v>
      </c>
      <c r="AN90" s="44">
        <f>WEEKNUM(B90)-WEEKNUM(EOMONTH(B90,-1)+1)+1</f>
        <v>2</v>
      </c>
      <c r="AO90" s="44" t="str">
        <f>MONTH(R90)&amp;"/"&amp;YEAR(R90)</f>
        <v>1/1900</v>
      </c>
      <c r="AP90" s="44" t="e">
        <f>WEEKNUM(R90)-WEEKNUM(EOMONTH(R90,-1)+1)+1</f>
        <v>#NUM!</v>
      </c>
      <c r="AQ90" s="44">
        <f>IF(AU90="S",IF(Q90="1. Aceitou o programa",R90-B90,0),0)</f>
        <v>0</v>
      </c>
      <c r="AR90" s="44">
        <f>IF(AU90="S",IF(AND(S90&lt;&gt;"",R90&lt;&gt;""),S90-R90,0),0)</f>
        <v>0</v>
      </c>
      <c r="AS90" s="44">
        <f>IF(AU90="S",IF(Q90="1. Aceitou o programa",IF(OR(X90="Não se Aplica",X90=""),IF(OR(W90="Não se Aplica",W90=""),0,W90-V90),AVERAGE(X90-W90,W90-V90)),0),0)</f>
        <v>0</v>
      </c>
      <c r="AT90" s="44">
        <f>IF(AU90="S",IF(AND(Q90="1. Aceitou o programa",AB90="Realizada"),IFERROR(IF(AA90="",0,AA90-R90),0),0),0)</f>
        <v>0</v>
      </c>
      <c r="AU90" s="44" t="str">
        <f>_xlfn.XLOOKUP(U90,'Lista Suspensa'!$AA$20:$AA$23,'Lista Suspensa'!$AB$20:$AB$23,"N/A")</f>
        <v>S</v>
      </c>
    </row>
    <row r="91" spans="1:47" ht="12" hidden="1" customHeight="1">
      <c r="A91" s="86" t="s">
        <v>47</v>
      </c>
      <c r="B91" s="87">
        <v>46147</v>
      </c>
      <c r="C91" s="88" t="s">
        <v>48</v>
      </c>
      <c r="D91" s="88" t="s">
        <v>49</v>
      </c>
      <c r="E91" s="89">
        <v>86559834</v>
      </c>
      <c r="F91" s="218" t="s">
        <v>332</v>
      </c>
      <c r="G91" s="91">
        <v>49524054787</v>
      </c>
      <c r="H91" s="92">
        <v>20071</v>
      </c>
      <c r="I91" s="88">
        <v>71</v>
      </c>
      <c r="J91" s="88" t="s">
        <v>64</v>
      </c>
      <c r="K91" s="88" t="s">
        <v>80</v>
      </c>
      <c r="L91" s="88" t="s">
        <v>87</v>
      </c>
      <c r="M91" s="88"/>
      <c r="N91" s="88" t="s">
        <v>91</v>
      </c>
      <c r="O91" s="93" t="s">
        <v>333</v>
      </c>
      <c r="P91" s="94" t="s">
        <v>56</v>
      </c>
      <c r="Q91" s="142" t="s">
        <v>334</v>
      </c>
      <c r="R91" s="95">
        <v>46153</v>
      </c>
      <c r="S91" s="96">
        <v>46176</v>
      </c>
      <c r="T91" s="96" t="s">
        <v>69</v>
      </c>
      <c r="U91" s="96" t="s">
        <v>70</v>
      </c>
      <c r="V91" s="92">
        <v>46153</v>
      </c>
      <c r="W91" s="92" t="s">
        <v>71</v>
      </c>
      <c r="X91" s="92" t="s">
        <v>71</v>
      </c>
      <c r="Y91" s="97" t="s">
        <v>335</v>
      </c>
      <c r="Z91" s="88" t="s">
        <v>72</v>
      </c>
      <c r="AA91" s="96">
        <v>46176</v>
      </c>
      <c r="AB91" s="88" t="s">
        <v>74</v>
      </c>
      <c r="AC91" s="119"/>
      <c r="AD91" s="88" t="s">
        <v>97</v>
      </c>
      <c r="AE91" s="88">
        <v>44</v>
      </c>
      <c r="AF91" s="98"/>
      <c r="AG91" s="98"/>
      <c r="AH91" s="98" t="s">
        <v>277</v>
      </c>
      <c r="AI91" s="99" t="s">
        <v>61</v>
      </c>
      <c r="AJ91" s="99" t="s">
        <v>61</v>
      </c>
      <c r="AK91" s="99" t="s">
        <v>61</v>
      </c>
      <c r="AL91" s="44" t="s">
        <v>62</v>
      </c>
      <c r="AM91" s="196" t="str">
        <f>MONTH(B91)&amp;"/"&amp;YEAR(B91)</f>
        <v>5/2026</v>
      </c>
      <c r="AN91" s="44">
        <f>WEEKNUM(B91)-WEEKNUM(EOMONTH(B91,-1)+1)+1</f>
        <v>2</v>
      </c>
      <c r="AO91" s="44" t="str">
        <f>MONTH(R91)&amp;"/"&amp;YEAR(R91)</f>
        <v>5/2026</v>
      </c>
      <c r="AP91" s="44">
        <f>WEEKNUM(R91)-WEEKNUM(EOMONTH(R91,-1)+1)+1</f>
        <v>3</v>
      </c>
      <c r="AQ91" s="44">
        <f>IF(AU91="S",IF(Q91="1. Aceitou o programa",R91-B91,0),0)</f>
        <v>0</v>
      </c>
      <c r="AR91" s="44">
        <f>IF(AU91="S",IF(AND(S91&lt;&gt;"",R91&lt;&gt;""),S91-R91,0),0)</f>
        <v>23</v>
      </c>
      <c r="AS91" s="44">
        <f>IF(AU91="S",IF(Q91="1. Aceitou o programa",IF(OR(X91="Não se Aplica",X91=""),IF(OR(W91="Não se Aplica",W91=""),0,W91-V91),AVERAGE(X91-W91,W91-V91)),0),0)</f>
        <v>0</v>
      </c>
      <c r="AT91" s="44">
        <f>IF(AU91="S",IF(AND(Q91="1. Aceitou o programa",AB91="Realizada"),IFERROR(IF(AA91="",0,AA91-R91),0),0),0)</f>
        <v>0</v>
      </c>
      <c r="AU91" s="44" t="str">
        <f>_xlfn.XLOOKUP(U91,'Lista Suspensa'!$AA$20:$AA$23,'Lista Suspensa'!$AB$20:$AB$23,"N/A")</f>
        <v>S</v>
      </c>
    </row>
    <row r="92" spans="1:47" ht="12" hidden="1" customHeight="1">
      <c r="A92" s="86" t="s">
        <v>47</v>
      </c>
      <c r="B92" s="87">
        <v>46147</v>
      </c>
      <c r="C92" s="88" t="s">
        <v>48</v>
      </c>
      <c r="D92" s="88" t="s">
        <v>49</v>
      </c>
      <c r="E92" s="89">
        <v>759629986</v>
      </c>
      <c r="F92" s="218" t="s">
        <v>336</v>
      </c>
      <c r="G92" s="91">
        <v>62434861768</v>
      </c>
      <c r="H92" s="92">
        <v>21447</v>
      </c>
      <c r="I92" s="88">
        <v>67</v>
      </c>
      <c r="J92" s="88" t="s">
        <v>64</v>
      </c>
      <c r="K92" s="88" t="s">
        <v>80</v>
      </c>
      <c r="L92" s="88" t="s">
        <v>87</v>
      </c>
      <c r="M92" s="88"/>
      <c r="N92" s="88" t="s">
        <v>54</v>
      </c>
      <c r="O92" s="93" t="s">
        <v>337</v>
      </c>
      <c r="P92" s="94" t="s">
        <v>56</v>
      </c>
      <c r="Q92" s="142" t="s">
        <v>57</v>
      </c>
      <c r="R92" s="95"/>
      <c r="S92" s="96">
        <v>46170</v>
      </c>
      <c r="T92" s="96" t="s">
        <v>58</v>
      </c>
      <c r="U92" s="96" t="s">
        <v>59</v>
      </c>
      <c r="V92" s="92">
        <v>46153</v>
      </c>
      <c r="W92" s="92">
        <v>46154</v>
      </c>
      <c r="X92" s="92">
        <v>46164</v>
      </c>
      <c r="Y92" s="97"/>
      <c r="Z92" s="88"/>
      <c r="AA92" s="96"/>
      <c r="AB92" s="88"/>
      <c r="AC92" s="119"/>
      <c r="AD92" s="88"/>
      <c r="AE92" s="88"/>
      <c r="AF92" s="98"/>
      <c r="AG92" s="98"/>
      <c r="AH92" s="98"/>
      <c r="AI92" s="99"/>
      <c r="AJ92" s="99"/>
      <c r="AK92" s="99"/>
      <c r="AL92" s="44" t="s">
        <v>62</v>
      </c>
      <c r="AM92" s="196" t="str">
        <f>MONTH(B92)&amp;"/"&amp;YEAR(B92)</f>
        <v>5/2026</v>
      </c>
      <c r="AN92" s="44">
        <f>WEEKNUM(B92)-WEEKNUM(EOMONTH(B92,-1)+1)+1</f>
        <v>2</v>
      </c>
      <c r="AO92" s="44" t="str">
        <f>MONTH(R92)&amp;"/"&amp;YEAR(R92)</f>
        <v>1/1900</v>
      </c>
      <c r="AP92" s="44" t="e">
        <f>WEEKNUM(R92)-WEEKNUM(EOMONTH(R92,-1)+1)+1</f>
        <v>#NUM!</v>
      </c>
      <c r="AQ92" s="44">
        <f>IF(AU92="S",IF(Q92="1. Aceitou o programa",R92-B92,0),0)</f>
        <v>0</v>
      </c>
      <c r="AR92" s="44">
        <f>IF(AU92="S",IF(AND(S92&lt;&gt;"",R92&lt;&gt;""),S92-R92,0),0)</f>
        <v>0</v>
      </c>
      <c r="AS92" s="44">
        <f>IF(AU92="S",IF(Q92="1. Aceitou o programa",IF(OR(X92="Não se Aplica",X92=""),IF(OR(W92="Não se Aplica",W92=""),0,W92-V92),AVERAGE(X92-W92,W92-V92)),0),0)</f>
        <v>0</v>
      </c>
      <c r="AT92" s="44">
        <f>IF(AU92="S",IF(AND(Q92="1. Aceitou o programa",AB92="Realizada"),IFERROR(IF(AA92="",0,AA92-R92),0),0),0)</f>
        <v>0</v>
      </c>
      <c r="AU92" s="44" t="str">
        <f>_xlfn.XLOOKUP(U92,'Lista Suspensa'!$AA$20:$AA$23,'Lista Suspensa'!$AB$20:$AB$23,"N/A")</f>
        <v>S</v>
      </c>
    </row>
    <row r="93" spans="1:47" ht="12" hidden="1" customHeight="1">
      <c r="A93" s="86" t="s">
        <v>47</v>
      </c>
      <c r="B93" s="87">
        <v>46147</v>
      </c>
      <c r="C93" s="88" t="s">
        <v>48</v>
      </c>
      <c r="D93" s="88" t="s">
        <v>49</v>
      </c>
      <c r="E93" s="89">
        <v>94167043</v>
      </c>
      <c r="F93" s="218" t="s">
        <v>338</v>
      </c>
      <c r="G93" s="91">
        <v>4546194722</v>
      </c>
      <c r="H93" s="92">
        <v>26841</v>
      </c>
      <c r="I93" s="88">
        <v>52</v>
      </c>
      <c r="J93" s="88" t="s">
        <v>51</v>
      </c>
      <c r="K93" s="88" t="s">
        <v>80</v>
      </c>
      <c r="L93" s="88" t="s">
        <v>87</v>
      </c>
      <c r="M93" s="88"/>
      <c r="N93" s="88" t="s">
        <v>223</v>
      </c>
      <c r="O93" s="93" t="s">
        <v>339</v>
      </c>
      <c r="P93" s="94" t="s">
        <v>56</v>
      </c>
      <c r="Q93" s="142" t="s">
        <v>57</v>
      </c>
      <c r="R93" s="95"/>
      <c r="S93" s="96">
        <v>46170</v>
      </c>
      <c r="T93" s="96" t="s">
        <v>58</v>
      </c>
      <c r="U93" s="96" t="s">
        <v>59</v>
      </c>
      <c r="V93" s="92">
        <v>46153</v>
      </c>
      <c r="W93" s="92">
        <v>46154</v>
      </c>
      <c r="X93" s="92">
        <v>46164</v>
      </c>
      <c r="Y93" s="97"/>
      <c r="Z93" s="88"/>
      <c r="AA93" s="96"/>
      <c r="AB93" s="88"/>
      <c r="AC93" s="119"/>
      <c r="AD93" s="88"/>
      <c r="AE93" s="88"/>
      <c r="AF93" s="98"/>
      <c r="AG93" s="98"/>
      <c r="AH93" s="98"/>
      <c r="AI93" s="99"/>
      <c r="AJ93" s="99"/>
      <c r="AK93" s="99"/>
      <c r="AL93" s="44" t="s">
        <v>62</v>
      </c>
      <c r="AM93" s="196" t="str">
        <f>MONTH(B93)&amp;"/"&amp;YEAR(B93)</f>
        <v>5/2026</v>
      </c>
      <c r="AN93" s="44">
        <f>WEEKNUM(B93)-WEEKNUM(EOMONTH(B93,-1)+1)+1</f>
        <v>2</v>
      </c>
      <c r="AO93" s="44" t="str">
        <f>MONTH(R93)&amp;"/"&amp;YEAR(R93)</f>
        <v>1/1900</v>
      </c>
      <c r="AP93" s="44" t="e">
        <f>WEEKNUM(R93)-WEEKNUM(EOMONTH(R93,-1)+1)+1</f>
        <v>#NUM!</v>
      </c>
      <c r="AQ93" s="44">
        <f>IF(AU93="S",IF(Q93="1. Aceitou o programa",R93-B93,0),0)</f>
        <v>0</v>
      </c>
      <c r="AR93" s="44">
        <f>IF(AU93="S",IF(AND(S93&lt;&gt;"",R93&lt;&gt;""),S93-R93,0),0)</f>
        <v>0</v>
      </c>
      <c r="AS93" s="44">
        <f>IF(AU93="S",IF(Q93="1. Aceitou o programa",IF(OR(X93="Não se Aplica",X93=""),IF(OR(W93="Não se Aplica",W93=""),0,W93-V93),AVERAGE(X93-W93,W93-V93)),0),0)</f>
        <v>0</v>
      </c>
      <c r="AT93" s="44">
        <f>IF(AU93="S",IF(AND(Q93="1. Aceitou o programa",AB93="Realizada"),IFERROR(IF(AA93="",0,AA93-R93),0),0),0)</f>
        <v>0</v>
      </c>
      <c r="AU93" s="44" t="str">
        <f>_xlfn.XLOOKUP(U93,'Lista Suspensa'!$AA$20:$AA$23,'Lista Suspensa'!$AB$20:$AB$23,"N/A")</f>
        <v>S</v>
      </c>
    </row>
    <row r="94" spans="1:47" ht="12" hidden="1" customHeight="1">
      <c r="A94" s="86" t="s">
        <v>47</v>
      </c>
      <c r="B94" s="87">
        <v>46147</v>
      </c>
      <c r="C94" s="88" t="s">
        <v>48</v>
      </c>
      <c r="D94" s="88" t="s">
        <v>49</v>
      </c>
      <c r="E94" s="89">
        <v>93881006</v>
      </c>
      <c r="F94" s="218" t="s">
        <v>340</v>
      </c>
      <c r="G94" s="91">
        <v>73564419772</v>
      </c>
      <c r="H94" s="92">
        <v>23036</v>
      </c>
      <c r="I94" s="88">
        <v>63</v>
      </c>
      <c r="J94" s="88" t="s">
        <v>51</v>
      </c>
      <c r="K94" s="88" t="s">
        <v>80</v>
      </c>
      <c r="L94" s="88" t="s">
        <v>341</v>
      </c>
      <c r="M94" s="88"/>
      <c r="N94" s="88" t="s">
        <v>94</v>
      </c>
      <c r="O94" s="93" t="s">
        <v>342</v>
      </c>
      <c r="P94" s="94" t="s">
        <v>56</v>
      </c>
      <c r="Q94" s="142" t="s">
        <v>68</v>
      </c>
      <c r="R94" s="95">
        <v>46154</v>
      </c>
      <c r="S94" s="96"/>
      <c r="T94" s="96" t="s">
        <v>69</v>
      </c>
      <c r="U94" s="96" t="s">
        <v>70</v>
      </c>
      <c r="V94" s="92">
        <v>46153</v>
      </c>
      <c r="W94" s="92">
        <v>46154</v>
      </c>
      <c r="X94" s="92" t="s">
        <v>71</v>
      </c>
      <c r="Y94" s="97"/>
      <c r="Z94" s="88" t="s">
        <v>72</v>
      </c>
      <c r="AA94" s="96" t="s">
        <v>343</v>
      </c>
      <c r="AB94" s="88"/>
      <c r="AC94" s="119">
        <v>46183</v>
      </c>
      <c r="AD94" s="88"/>
      <c r="AE94" s="88"/>
      <c r="AF94" s="98"/>
      <c r="AG94" s="98"/>
      <c r="AH94" s="98"/>
      <c r="AI94" s="99" t="s">
        <v>61</v>
      </c>
      <c r="AJ94" s="99" t="s">
        <v>61</v>
      </c>
      <c r="AK94" s="99" t="s">
        <v>61</v>
      </c>
      <c r="AL94" s="44" t="s">
        <v>62</v>
      </c>
      <c r="AM94" s="196" t="str">
        <f>MONTH(B94)&amp;"/"&amp;YEAR(B94)</f>
        <v>5/2026</v>
      </c>
      <c r="AN94" s="44">
        <f>WEEKNUM(B94)-WEEKNUM(EOMONTH(B94,-1)+1)+1</f>
        <v>2</v>
      </c>
      <c r="AO94" s="44" t="str">
        <f>MONTH(R94)&amp;"/"&amp;YEAR(R94)</f>
        <v>5/2026</v>
      </c>
      <c r="AP94" s="44">
        <f>WEEKNUM(R94)-WEEKNUM(EOMONTH(R94,-1)+1)+1</f>
        <v>3</v>
      </c>
      <c r="AQ94" s="44">
        <f>IF(AU94="S",IF(Q94="1. Aceitou o programa",R94-B94,0),0)</f>
        <v>7</v>
      </c>
      <c r="AR94" s="44">
        <f>IF(AU94="S",IF(AND(S94&lt;&gt;"",R94&lt;&gt;""),S94-R94,0),0)</f>
        <v>0</v>
      </c>
      <c r="AS94" s="44">
        <f>IF(AU94="S",IF(Q94="1. Aceitou o programa",IF(OR(X94="Não se Aplica",X94=""),IF(OR(W94="Não se Aplica",W94=""),0,W94-V94),AVERAGE(X94-W94,W94-V94)),0),0)</f>
        <v>1</v>
      </c>
      <c r="AT94" s="44">
        <f>IF(AU94="S",IF(AND(Q94="1. Aceitou o programa",AB94="Realizada"),IFERROR(IF(AA94="",0,AA94-R94),0),0),0)</f>
        <v>0</v>
      </c>
      <c r="AU94" s="44" t="str">
        <f>_xlfn.XLOOKUP(U94,'Lista Suspensa'!$AA$20:$AA$23,'Lista Suspensa'!$AB$20:$AB$23,"N/A")</f>
        <v>S</v>
      </c>
    </row>
    <row r="95" spans="1:47" ht="12" hidden="1" customHeight="1">
      <c r="A95" s="86" t="s">
        <v>47</v>
      </c>
      <c r="B95" s="87">
        <v>46147</v>
      </c>
      <c r="C95" s="88" t="s">
        <v>48</v>
      </c>
      <c r="D95" s="88" t="s">
        <v>49</v>
      </c>
      <c r="E95" s="89">
        <v>75109659</v>
      </c>
      <c r="F95" s="218" t="s">
        <v>344</v>
      </c>
      <c r="G95" s="91">
        <v>76255840891</v>
      </c>
      <c r="H95" s="92">
        <v>17820</v>
      </c>
      <c r="I95" s="88">
        <v>77</v>
      </c>
      <c r="J95" s="88" t="s">
        <v>51</v>
      </c>
      <c r="K95" s="88" t="s">
        <v>52</v>
      </c>
      <c r="L95" s="88" t="s">
        <v>53</v>
      </c>
      <c r="M95" s="88"/>
      <c r="N95" s="88" t="s">
        <v>110</v>
      </c>
      <c r="O95" s="93" t="s">
        <v>345</v>
      </c>
      <c r="P95" s="94" t="s">
        <v>56</v>
      </c>
      <c r="Q95" s="142" t="s">
        <v>68</v>
      </c>
      <c r="R95" s="95">
        <v>46153</v>
      </c>
      <c r="S95" s="96"/>
      <c r="T95" s="96" t="s">
        <v>69</v>
      </c>
      <c r="U95" s="96" t="s">
        <v>70</v>
      </c>
      <c r="V95" s="92">
        <v>46153</v>
      </c>
      <c r="W95" s="92" t="s">
        <v>71</v>
      </c>
      <c r="X95" s="92" t="s">
        <v>71</v>
      </c>
      <c r="Y95" s="97"/>
      <c r="Z95" s="88" t="s">
        <v>72</v>
      </c>
      <c r="AA95" s="96" t="s">
        <v>346</v>
      </c>
      <c r="AB95" s="88" t="s">
        <v>105</v>
      </c>
      <c r="AC95" s="119">
        <v>46176</v>
      </c>
      <c r="AD95" s="88"/>
      <c r="AE95" s="88"/>
      <c r="AF95" s="98"/>
      <c r="AG95" s="98"/>
      <c r="AH95" s="98"/>
      <c r="AI95" s="99" t="s">
        <v>61</v>
      </c>
      <c r="AJ95" s="99" t="s">
        <v>61</v>
      </c>
      <c r="AK95" s="99" t="s">
        <v>61</v>
      </c>
      <c r="AL95" s="44" t="s">
        <v>62</v>
      </c>
      <c r="AM95" s="196" t="str">
        <f>MONTH(B95)&amp;"/"&amp;YEAR(B95)</f>
        <v>5/2026</v>
      </c>
      <c r="AN95" s="44">
        <f>WEEKNUM(B95)-WEEKNUM(EOMONTH(B95,-1)+1)+1</f>
        <v>2</v>
      </c>
      <c r="AO95" s="44" t="str">
        <f>MONTH(R95)&amp;"/"&amp;YEAR(R95)</f>
        <v>5/2026</v>
      </c>
      <c r="AP95" s="44">
        <f>WEEKNUM(R95)-WEEKNUM(EOMONTH(R95,-1)+1)+1</f>
        <v>3</v>
      </c>
      <c r="AQ95" s="44">
        <f>IF(AU95="S",IF(Q95="1. Aceitou o programa",R95-B95,0),0)</f>
        <v>6</v>
      </c>
      <c r="AR95" s="44">
        <f>IF(AU95="S",IF(AND(S95&lt;&gt;"",R95&lt;&gt;""),S95-R95,0),0)</f>
        <v>0</v>
      </c>
      <c r="AS95" s="44">
        <f>IF(AU95="S",IF(Q95="1. Aceitou o programa",IF(OR(X95="Não se Aplica",X95=""),IF(OR(W95="Não se Aplica",W95=""),0,W95-V95),AVERAGE(X95-W95,W95-V95)),0),0)</f>
        <v>0</v>
      </c>
      <c r="AT95" s="44">
        <f>IF(AU95="S",IF(AND(Q95="1. Aceitou o programa",AB95="Realizada"),IFERROR(IF(AA95="",0,AA95-R95),0),0),0)</f>
        <v>0</v>
      </c>
      <c r="AU95" s="44" t="str">
        <f>_xlfn.XLOOKUP(U95,'Lista Suspensa'!$AA$20:$AA$23,'Lista Suspensa'!$AB$20:$AB$23,"N/A")</f>
        <v>S</v>
      </c>
    </row>
    <row r="96" spans="1:47" ht="12" hidden="1" customHeight="1">
      <c r="A96" s="86" t="s">
        <v>47</v>
      </c>
      <c r="B96" s="87">
        <v>46147</v>
      </c>
      <c r="C96" s="88" t="s">
        <v>48</v>
      </c>
      <c r="D96" s="88" t="s">
        <v>49</v>
      </c>
      <c r="E96" s="89">
        <v>881342459</v>
      </c>
      <c r="F96" s="218" t="s">
        <v>347</v>
      </c>
      <c r="G96" s="91">
        <v>31031137734</v>
      </c>
      <c r="H96" s="92">
        <v>18205</v>
      </c>
      <c r="I96" s="88">
        <v>76</v>
      </c>
      <c r="J96" s="88" t="s">
        <v>51</v>
      </c>
      <c r="K96" s="88" t="s">
        <v>80</v>
      </c>
      <c r="L96" s="88" t="s">
        <v>87</v>
      </c>
      <c r="M96" s="88"/>
      <c r="N96" s="88" t="s">
        <v>223</v>
      </c>
      <c r="O96" s="93" t="s">
        <v>348</v>
      </c>
      <c r="P96" s="94" t="s">
        <v>56</v>
      </c>
      <c r="Q96" s="142" t="s">
        <v>68</v>
      </c>
      <c r="R96" s="95">
        <v>46154</v>
      </c>
      <c r="S96" s="96"/>
      <c r="T96" s="96" t="s">
        <v>69</v>
      </c>
      <c r="U96" s="96" t="s">
        <v>70</v>
      </c>
      <c r="V96" s="92">
        <v>46153</v>
      </c>
      <c r="W96" s="92">
        <v>46154</v>
      </c>
      <c r="X96" s="92" t="s">
        <v>71</v>
      </c>
      <c r="Y96" s="97"/>
      <c r="Z96" s="88" t="s">
        <v>72</v>
      </c>
      <c r="AA96" s="96">
        <v>46161.583333333336</v>
      </c>
      <c r="AB96" s="88"/>
      <c r="AC96" s="119"/>
      <c r="AD96" s="88"/>
      <c r="AE96" s="88"/>
      <c r="AF96" s="98"/>
      <c r="AG96" s="98"/>
      <c r="AH96" s="98"/>
      <c r="AI96" s="99" t="s">
        <v>61</v>
      </c>
      <c r="AJ96" s="99" t="s">
        <v>61</v>
      </c>
      <c r="AK96" s="99" t="s">
        <v>61</v>
      </c>
      <c r="AL96" s="44" t="s">
        <v>62</v>
      </c>
      <c r="AM96" s="196" t="str">
        <f>MONTH(B96)&amp;"/"&amp;YEAR(B96)</f>
        <v>5/2026</v>
      </c>
      <c r="AN96" s="44">
        <f>WEEKNUM(B96)-WEEKNUM(EOMONTH(B96,-1)+1)+1</f>
        <v>2</v>
      </c>
      <c r="AO96" s="44" t="str">
        <f>MONTH(R96)&amp;"/"&amp;YEAR(R96)</f>
        <v>5/2026</v>
      </c>
      <c r="AP96" s="44">
        <f>WEEKNUM(R96)-WEEKNUM(EOMONTH(R96,-1)+1)+1</f>
        <v>3</v>
      </c>
      <c r="AQ96" s="44">
        <f>IF(AU96="S",IF(Q96="1. Aceitou o programa",R96-B96,0),0)</f>
        <v>7</v>
      </c>
      <c r="AR96" s="44">
        <f>IF(AU96="S",IF(AND(S96&lt;&gt;"",R96&lt;&gt;""),S96-R96,0),0)</f>
        <v>0</v>
      </c>
      <c r="AS96" s="44">
        <f>IF(AU96="S",IF(Q96="1. Aceitou o programa",IF(OR(X96="Não se Aplica",X96=""),IF(OR(W96="Não se Aplica",W96=""),0,W96-V96),AVERAGE(X96-W96,W96-V96)),0),0)</f>
        <v>1</v>
      </c>
      <c r="AT96" s="44">
        <f>IF(AU96="S",IF(AND(Q96="1. Aceitou o programa",AB96="Realizada"),IFERROR(IF(AA96="",0,AA96-R96),0),0),0)</f>
        <v>0</v>
      </c>
      <c r="AU96" s="44" t="str">
        <f>_xlfn.XLOOKUP(U96,'Lista Suspensa'!$AA$20:$AA$23,'Lista Suspensa'!$AB$20:$AB$23,"N/A")</f>
        <v>S</v>
      </c>
    </row>
    <row r="97" spans="1:47" ht="12" hidden="1" customHeight="1">
      <c r="A97" s="86" t="s">
        <v>47</v>
      </c>
      <c r="B97" s="87">
        <v>46147</v>
      </c>
      <c r="C97" s="88" t="s">
        <v>48</v>
      </c>
      <c r="D97" s="88" t="s">
        <v>49</v>
      </c>
      <c r="E97" s="89">
        <v>73352715</v>
      </c>
      <c r="F97" s="218" t="s">
        <v>349</v>
      </c>
      <c r="G97" s="91">
        <v>95952713734</v>
      </c>
      <c r="H97" s="92">
        <v>25872</v>
      </c>
      <c r="I97" s="88">
        <v>55</v>
      </c>
      <c r="J97" s="88" t="s">
        <v>51</v>
      </c>
      <c r="K97" s="88" t="s">
        <v>80</v>
      </c>
      <c r="L97" s="88" t="s">
        <v>87</v>
      </c>
      <c r="M97" s="88"/>
      <c r="N97" s="88" t="s">
        <v>110</v>
      </c>
      <c r="O97" s="93" t="s">
        <v>350</v>
      </c>
      <c r="P97" s="94" t="s">
        <v>56</v>
      </c>
      <c r="Q97" s="142" t="s">
        <v>57</v>
      </c>
      <c r="R97" s="95"/>
      <c r="S97" s="96">
        <v>46170</v>
      </c>
      <c r="T97" s="96" t="s">
        <v>58</v>
      </c>
      <c r="U97" s="96" t="s">
        <v>59</v>
      </c>
      <c r="V97" s="92">
        <v>46153</v>
      </c>
      <c r="W97" s="92">
        <v>46154</v>
      </c>
      <c r="X97" s="92">
        <v>46164</v>
      </c>
      <c r="Y97" s="97"/>
      <c r="Z97" s="88"/>
      <c r="AA97" s="96"/>
      <c r="AB97" s="88"/>
      <c r="AC97" s="119"/>
      <c r="AD97" s="88"/>
      <c r="AE97" s="88"/>
      <c r="AF97" s="98"/>
      <c r="AG97" s="98"/>
      <c r="AH97" s="98"/>
      <c r="AI97" s="99"/>
      <c r="AJ97" s="99"/>
      <c r="AK97" s="99"/>
      <c r="AL97" s="44" t="s">
        <v>62</v>
      </c>
      <c r="AM97" s="196" t="str">
        <f>MONTH(B97)&amp;"/"&amp;YEAR(B97)</f>
        <v>5/2026</v>
      </c>
      <c r="AN97" s="44">
        <f>WEEKNUM(B97)-WEEKNUM(EOMONTH(B97,-1)+1)+1</f>
        <v>2</v>
      </c>
      <c r="AO97" s="44" t="str">
        <f>MONTH(R97)&amp;"/"&amp;YEAR(R97)</f>
        <v>1/1900</v>
      </c>
      <c r="AP97" s="44" t="e">
        <f>WEEKNUM(R97)-WEEKNUM(EOMONTH(R97,-1)+1)+1</f>
        <v>#NUM!</v>
      </c>
      <c r="AQ97" s="44">
        <f>IF(AU97="S",IF(Q97="1. Aceitou o programa",R97-B97,0),0)</f>
        <v>0</v>
      </c>
      <c r="AR97" s="44">
        <f>IF(AU97="S",IF(AND(S97&lt;&gt;"",R97&lt;&gt;""),S97-R97,0),0)</f>
        <v>0</v>
      </c>
      <c r="AS97" s="44">
        <f>IF(AU97="S",IF(Q97="1. Aceitou o programa",IF(OR(X97="Não se Aplica",X97=""),IF(OR(W97="Não se Aplica",W97=""),0,W97-V97),AVERAGE(X97-W97,W97-V97)),0),0)</f>
        <v>0</v>
      </c>
      <c r="AT97" s="44">
        <f>IF(AU97="S",IF(AND(Q97="1. Aceitou o programa",AB97="Realizada"),IFERROR(IF(AA97="",0,AA97-R97),0),0),0)</f>
        <v>0</v>
      </c>
      <c r="AU97" s="44" t="str">
        <f>_xlfn.XLOOKUP(U97,'Lista Suspensa'!$AA$20:$AA$23,'Lista Suspensa'!$AB$20:$AB$23,"N/A")</f>
        <v>S</v>
      </c>
    </row>
    <row r="98" spans="1:47" ht="12" hidden="1" customHeight="1">
      <c r="A98" s="86" t="s">
        <v>47</v>
      </c>
      <c r="B98" s="87">
        <v>46147</v>
      </c>
      <c r="C98" s="88" t="s">
        <v>48</v>
      </c>
      <c r="D98" s="88" t="s">
        <v>49</v>
      </c>
      <c r="E98" s="89">
        <v>214959511</v>
      </c>
      <c r="F98" s="218" t="s">
        <v>351</v>
      </c>
      <c r="G98" s="91">
        <v>29021898772</v>
      </c>
      <c r="H98" s="92">
        <v>19164</v>
      </c>
      <c r="I98" s="88">
        <v>73</v>
      </c>
      <c r="J98" s="88" t="s">
        <v>51</v>
      </c>
      <c r="K98" s="88" t="s">
        <v>80</v>
      </c>
      <c r="L98" s="88" t="s">
        <v>87</v>
      </c>
      <c r="M98" s="88"/>
      <c r="N98" s="88" t="s">
        <v>207</v>
      </c>
      <c r="O98" s="93" t="s">
        <v>352</v>
      </c>
      <c r="P98" s="94" t="s">
        <v>56</v>
      </c>
      <c r="Q98" s="142" t="s">
        <v>57</v>
      </c>
      <c r="R98" s="95"/>
      <c r="S98" s="96">
        <v>46170</v>
      </c>
      <c r="T98" s="96" t="s">
        <v>58</v>
      </c>
      <c r="U98" s="96" t="s">
        <v>59</v>
      </c>
      <c r="V98" s="92">
        <v>46153</v>
      </c>
      <c r="W98" s="92">
        <v>46154</v>
      </c>
      <c r="X98" s="92">
        <v>46164</v>
      </c>
      <c r="Y98" s="97"/>
      <c r="Z98" s="88"/>
      <c r="AA98" s="96"/>
      <c r="AB98" s="88"/>
      <c r="AC98" s="119"/>
      <c r="AD98" s="88"/>
      <c r="AE98" s="88"/>
      <c r="AF98" s="98"/>
      <c r="AG98" s="98"/>
      <c r="AH98" s="98"/>
      <c r="AI98" s="99"/>
      <c r="AJ98" s="99"/>
      <c r="AK98" s="99"/>
      <c r="AL98" s="44" t="s">
        <v>62</v>
      </c>
      <c r="AM98" s="196" t="str">
        <f>MONTH(B98)&amp;"/"&amp;YEAR(B98)</f>
        <v>5/2026</v>
      </c>
      <c r="AN98" s="44">
        <f>WEEKNUM(B98)-WEEKNUM(EOMONTH(B98,-1)+1)+1</f>
        <v>2</v>
      </c>
      <c r="AO98" s="44" t="str">
        <f>MONTH(R98)&amp;"/"&amp;YEAR(R98)</f>
        <v>1/1900</v>
      </c>
      <c r="AP98" s="44" t="e">
        <f>WEEKNUM(R98)-WEEKNUM(EOMONTH(R98,-1)+1)+1</f>
        <v>#NUM!</v>
      </c>
      <c r="AQ98" s="44">
        <f>IF(AU98="S",IF(Q98="1. Aceitou o programa",R98-B98,0),0)</f>
        <v>0</v>
      </c>
      <c r="AR98" s="44">
        <f>IF(AU98="S",IF(AND(S98&lt;&gt;"",R98&lt;&gt;""),S98-R98,0),0)</f>
        <v>0</v>
      </c>
      <c r="AS98" s="44">
        <f>IF(AU98="S",IF(Q98="1. Aceitou o programa",IF(OR(X98="Não se Aplica",X98=""),IF(OR(W98="Não se Aplica",W98=""),0,W98-V98),AVERAGE(X98-W98,W98-V98)),0),0)</f>
        <v>0</v>
      </c>
      <c r="AT98" s="44">
        <f>IF(AU98="S",IF(AND(Q98="1. Aceitou o programa",AB98="Realizada"),IFERROR(IF(AA98="",0,AA98-R98),0),0),0)</f>
        <v>0</v>
      </c>
      <c r="AU98" s="44" t="str">
        <f>_xlfn.XLOOKUP(U98,'Lista Suspensa'!$AA$20:$AA$23,'Lista Suspensa'!$AB$20:$AB$23,"N/A")</f>
        <v>S</v>
      </c>
    </row>
    <row r="99" spans="1:47" ht="12" hidden="1" customHeight="1">
      <c r="A99" s="86" t="s">
        <v>47</v>
      </c>
      <c r="B99" s="87">
        <v>46147</v>
      </c>
      <c r="C99" s="88" t="s">
        <v>48</v>
      </c>
      <c r="D99" s="88" t="s">
        <v>49</v>
      </c>
      <c r="E99" s="89">
        <v>460765400</v>
      </c>
      <c r="F99" s="218" t="s">
        <v>353</v>
      </c>
      <c r="G99" s="91">
        <v>43293816649</v>
      </c>
      <c r="H99" s="92">
        <v>22831</v>
      </c>
      <c r="I99" s="88">
        <v>63</v>
      </c>
      <c r="J99" s="88" t="s">
        <v>51</v>
      </c>
      <c r="K99" s="88" t="s">
        <v>52</v>
      </c>
      <c r="L99" s="88" t="s">
        <v>53</v>
      </c>
      <c r="M99" s="88"/>
      <c r="N99" s="88" t="s">
        <v>210</v>
      </c>
      <c r="O99" s="93" t="s">
        <v>354</v>
      </c>
      <c r="P99" s="94" t="s">
        <v>56</v>
      </c>
      <c r="Q99" s="142" t="s">
        <v>68</v>
      </c>
      <c r="R99" s="95">
        <v>46170</v>
      </c>
      <c r="S99" s="96"/>
      <c r="T99" s="96" t="s">
        <v>69</v>
      </c>
      <c r="U99" s="96" t="s">
        <v>70</v>
      </c>
      <c r="V99" s="92">
        <v>46153</v>
      </c>
      <c r="W99" s="92">
        <v>46154</v>
      </c>
      <c r="X99" s="92">
        <v>46164</v>
      </c>
      <c r="Y99" s="97"/>
      <c r="Z99" s="88" t="s">
        <v>72</v>
      </c>
      <c r="AA99" s="96">
        <v>46175</v>
      </c>
      <c r="AB99" s="88" t="s">
        <v>74</v>
      </c>
      <c r="AC99" s="119"/>
      <c r="AD99" s="88" t="s">
        <v>75</v>
      </c>
      <c r="AE99" s="88">
        <v>62</v>
      </c>
      <c r="AF99" s="98"/>
      <c r="AG99" s="98"/>
      <c r="AH99" s="98" t="s">
        <v>77</v>
      </c>
      <c r="AI99" s="99"/>
      <c r="AJ99" s="99" t="s">
        <v>61</v>
      </c>
      <c r="AK99" s="99" t="s">
        <v>78</v>
      </c>
      <c r="AL99" s="44" t="s">
        <v>62</v>
      </c>
      <c r="AM99" s="196" t="str">
        <f>MONTH(B99)&amp;"/"&amp;YEAR(B99)</f>
        <v>5/2026</v>
      </c>
      <c r="AN99" s="44">
        <f>WEEKNUM(B99)-WEEKNUM(EOMONTH(B99,-1)+1)+1</f>
        <v>2</v>
      </c>
      <c r="AO99" s="44" t="str">
        <f>MONTH(R99)&amp;"/"&amp;YEAR(R99)</f>
        <v>5/2026</v>
      </c>
      <c r="AP99" s="44">
        <f>WEEKNUM(R99)-WEEKNUM(EOMONTH(R99,-1)+1)+1</f>
        <v>5</v>
      </c>
      <c r="AQ99" s="44">
        <f>IF(AU99="S",IF(Q99="1. Aceitou o programa",R99-B99,0),0)</f>
        <v>23</v>
      </c>
      <c r="AR99" s="44">
        <f>IF(AU99="S",IF(AND(S99&lt;&gt;"",R99&lt;&gt;""),S99-R99,0),0)</f>
        <v>0</v>
      </c>
      <c r="AS99" s="44">
        <f>IF(AU99="S",IF(Q99="1. Aceitou o programa",IF(OR(X99="Não se Aplica",X99=""),IF(OR(W99="Não se Aplica",W99=""),0,W99-V99),AVERAGE(X99-W99,W99-V99)),0),0)</f>
        <v>5.5</v>
      </c>
      <c r="AT99" s="44">
        <f>IF(AU99="S",IF(AND(Q99="1. Aceitou o programa",AB99="Realizada"),IFERROR(IF(AA99="",0,AA99-R99),0),0),0)</f>
        <v>5</v>
      </c>
      <c r="AU99" s="44" t="str">
        <f>_xlfn.XLOOKUP(U99,'Lista Suspensa'!$AA$20:$AA$23,'Lista Suspensa'!$AB$20:$AB$23,"N/A")</f>
        <v>S</v>
      </c>
    </row>
    <row r="100" spans="1:47" ht="12" hidden="1" customHeight="1">
      <c r="A100" s="86" t="s">
        <v>47</v>
      </c>
      <c r="B100" s="87">
        <v>46147</v>
      </c>
      <c r="C100" s="88" t="s">
        <v>48</v>
      </c>
      <c r="D100" s="88" t="s">
        <v>49</v>
      </c>
      <c r="E100" s="89">
        <v>759256403</v>
      </c>
      <c r="F100" s="218" t="s">
        <v>355</v>
      </c>
      <c r="G100" s="91">
        <v>37061321768</v>
      </c>
      <c r="H100" s="92">
        <v>17673</v>
      </c>
      <c r="I100" s="88">
        <v>77</v>
      </c>
      <c r="J100" s="88" t="s">
        <v>51</v>
      </c>
      <c r="K100" s="88" t="s">
        <v>80</v>
      </c>
      <c r="L100" s="88" t="s">
        <v>87</v>
      </c>
      <c r="M100" s="88"/>
      <c r="N100" s="88" t="s">
        <v>54</v>
      </c>
      <c r="O100" s="93" t="s">
        <v>356</v>
      </c>
      <c r="P100" s="94" t="s">
        <v>56</v>
      </c>
      <c r="Q100" s="142" t="s">
        <v>68</v>
      </c>
      <c r="R100" s="95">
        <v>46153</v>
      </c>
      <c r="S100" s="96"/>
      <c r="T100" s="96" t="s">
        <v>69</v>
      </c>
      <c r="U100" s="96" t="s">
        <v>70</v>
      </c>
      <c r="V100" s="92">
        <v>46153</v>
      </c>
      <c r="W100" s="92" t="s">
        <v>71</v>
      </c>
      <c r="X100" s="92" t="s">
        <v>71</v>
      </c>
      <c r="Y100" s="97"/>
      <c r="Z100" s="88" t="s">
        <v>72</v>
      </c>
      <c r="AA100" s="96" t="s">
        <v>357</v>
      </c>
      <c r="AB100" s="88" t="s">
        <v>74</v>
      </c>
      <c r="AC100" s="119"/>
      <c r="AD100" s="88" t="s">
        <v>113</v>
      </c>
      <c r="AE100" s="88">
        <v>49</v>
      </c>
      <c r="AF100" s="98" t="s">
        <v>85</v>
      </c>
      <c r="AG100" s="98" t="s">
        <v>85</v>
      </c>
      <c r="AH100" s="98" t="s">
        <v>77</v>
      </c>
      <c r="AI100" s="99" t="s">
        <v>61</v>
      </c>
      <c r="AJ100" s="99" t="s">
        <v>61</v>
      </c>
      <c r="AK100" s="99" t="s">
        <v>61</v>
      </c>
      <c r="AL100" s="44" t="s">
        <v>62</v>
      </c>
      <c r="AM100" s="196" t="str">
        <f>MONTH(B100)&amp;"/"&amp;YEAR(B100)</f>
        <v>5/2026</v>
      </c>
      <c r="AN100" s="44">
        <f>WEEKNUM(B100)-WEEKNUM(EOMONTH(B100,-1)+1)+1</f>
        <v>2</v>
      </c>
      <c r="AO100" s="44" t="str">
        <f>MONTH(R100)&amp;"/"&amp;YEAR(R100)</f>
        <v>5/2026</v>
      </c>
      <c r="AP100" s="44">
        <f>WEEKNUM(R100)-WEEKNUM(EOMONTH(R100,-1)+1)+1</f>
        <v>3</v>
      </c>
      <c r="AQ100" s="44">
        <f>IF(AU100="S",IF(Q100="1. Aceitou o programa",R100-B100,0),0)</f>
        <v>6</v>
      </c>
      <c r="AR100" s="44">
        <f>IF(AU100="S",IF(AND(S100&lt;&gt;"",R100&lt;&gt;""),S100-R100,0),0)</f>
        <v>0</v>
      </c>
      <c r="AS100" s="44">
        <f>IF(AU100="S",IF(Q100="1. Aceitou o programa",IF(OR(X100="Não se Aplica",X100=""),IF(OR(W100="Não se Aplica",W100=""),0,W100-V100),AVERAGE(X100-W100,W100-V100)),0),0)</f>
        <v>0</v>
      </c>
      <c r="AT100" s="44">
        <f>IF(AU100="S",IF(AND(Q100="1. Aceitou o programa",AB100="Realizada"),IFERROR(IF(AA100="",0,AA100-R100),0),0),0)</f>
        <v>11.444444444445253</v>
      </c>
      <c r="AU100" s="44" t="str">
        <f>_xlfn.XLOOKUP(U100,'Lista Suspensa'!$AA$20:$AA$23,'Lista Suspensa'!$AB$20:$AB$23,"N/A")</f>
        <v>S</v>
      </c>
    </row>
    <row r="101" spans="1:47" ht="12" hidden="1" customHeight="1">
      <c r="A101" s="86" t="s">
        <v>47</v>
      </c>
      <c r="B101" s="87">
        <v>46147</v>
      </c>
      <c r="C101" s="88" t="s">
        <v>48</v>
      </c>
      <c r="D101" s="88" t="s">
        <v>49</v>
      </c>
      <c r="E101" s="89">
        <v>881386049</v>
      </c>
      <c r="F101" s="218" t="s">
        <v>358</v>
      </c>
      <c r="G101" s="91">
        <v>99392062753</v>
      </c>
      <c r="H101" s="92">
        <v>22149</v>
      </c>
      <c r="I101" s="88">
        <v>65</v>
      </c>
      <c r="J101" s="88" t="s">
        <v>64</v>
      </c>
      <c r="K101" s="88" t="s">
        <v>80</v>
      </c>
      <c r="L101" s="88" t="s">
        <v>257</v>
      </c>
      <c r="M101" s="88"/>
      <c r="N101" s="88" t="s">
        <v>207</v>
      </c>
      <c r="O101" s="93" t="s">
        <v>359</v>
      </c>
      <c r="P101" s="94" t="s">
        <v>56</v>
      </c>
      <c r="Q101" s="142" t="s">
        <v>68</v>
      </c>
      <c r="R101" s="95">
        <v>46153</v>
      </c>
      <c r="S101" s="96"/>
      <c r="T101" s="96" t="s">
        <v>69</v>
      </c>
      <c r="U101" s="96" t="s">
        <v>70</v>
      </c>
      <c r="V101" s="92">
        <v>46153</v>
      </c>
      <c r="W101" s="92" t="s">
        <v>71</v>
      </c>
      <c r="X101" s="92" t="s">
        <v>71</v>
      </c>
      <c r="Y101" s="97"/>
      <c r="Z101" s="88" t="s">
        <v>72</v>
      </c>
      <c r="AA101" s="96" t="s">
        <v>360</v>
      </c>
      <c r="AB101" s="88" t="s">
        <v>74</v>
      </c>
      <c r="AC101" s="119"/>
      <c r="AD101" s="88" t="s">
        <v>75</v>
      </c>
      <c r="AE101" s="88">
        <v>64</v>
      </c>
      <c r="AF101" s="98" t="s">
        <v>85</v>
      </c>
      <c r="AG101" s="98" t="s">
        <v>85</v>
      </c>
      <c r="AH101" s="98" t="s">
        <v>77</v>
      </c>
      <c r="AI101" s="99" t="s">
        <v>61</v>
      </c>
      <c r="AJ101" s="99" t="s">
        <v>61</v>
      </c>
      <c r="AK101" s="99" t="s">
        <v>61</v>
      </c>
      <c r="AL101" s="44" t="s">
        <v>62</v>
      </c>
      <c r="AM101" s="196" t="str">
        <f>MONTH(B101)&amp;"/"&amp;YEAR(B101)</f>
        <v>5/2026</v>
      </c>
      <c r="AN101" s="44">
        <f>WEEKNUM(B101)-WEEKNUM(EOMONTH(B101,-1)+1)+1</f>
        <v>2</v>
      </c>
      <c r="AO101" s="44" t="str">
        <f>MONTH(R101)&amp;"/"&amp;YEAR(R101)</f>
        <v>5/2026</v>
      </c>
      <c r="AP101" s="44">
        <f>WEEKNUM(R101)-WEEKNUM(EOMONTH(R101,-1)+1)+1</f>
        <v>3</v>
      </c>
      <c r="AQ101" s="44">
        <f>IF(AU101="S",IF(Q101="1. Aceitou o programa",R101-B101,0),0)</f>
        <v>6</v>
      </c>
      <c r="AR101" s="44">
        <f>IF(AU101="S",IF(AND(S101&lt;&gt;"",R101&lt;&gt;""),S101-R101,0),0)</f>
        <v>0</v>
      </c>
      <c r="AS101" s="44">
        <f>IF(AU101="S",IF(Q101="1. Aceitou o programa",IF(OR(X101="Não se Aplica",X101=""),IF(OR(W101="Não se Aplica",W101=""),0,W101-V101),AVERAGE(X101-W101,W101-V101)),0),0)</f>
        <v>0</v>
      </c>
      <c r="AT101" s="44">
        <f>IF(AU101="S",IF(AND(Q101="1. Aceitou o programa",AB101="Realizada"),IFERROR(IF(AA101="",0,AA101-R101),0),0),0)</f>
        <v>16.5</v>
      </c>
      <c r="AU101" s="44" t="str">
        <f>_xlfn.XLOOKUP(U101,'Lista Suspensa'!$AA$20:$AA$23,'Lista Suspensa'!$AB$20:$AB$23,"N/A")</f>
        <v>S</v>
      </c>
    </row>
    <row r="102" spans="1:47" ht="12" hidden="1" customHeight="1">
      <c r="A102" s="86" t="s">
        <v>47</v>
      </c>
      <c r="B102" s="87">
        <v>46147</v>
      </c>
      <c r="C102" s="88" t="s">
        <v>48</v>
      </c>
      <c r="D102" s="88" t="s">
        <v>49</v>
      </c>
      <c r="E102" s="89">
        <v>88970930</v>
      </c>
      <c r="F102" s="218" t="s">
        <v>361</v>
      </c>
      <c r="G102" s="91">
        <v>89313143704</v>
      </c>
      <c r="H102" s="92">
        <v>24043</v>
      </c>
      <c r="I102" s="88">
        <v>60</v>
      </c>
      <c r="J102" s="88" t="s">
        <v>64</v>
      </c>
      <c r="K102" s="88" t="s">
        <v>80</v>
      </c>
      <c r="L102" s="88" t="s">
        <v>87</v>
      </c>
      <c r="M102" s="88"/>
      <c r="N102" s="88" t="s">
        <v>94</v>
      </c>
      <c r="O102" s="93" t="s">
        <v>362</v>
      </c>
      <c r="P102" s="94" t="s">
        <v>56</v>
      </c>
      <c r="Q102" s="142" t="s">
        <v>68</v>
      </c>
      <c r="R102" s="95">
        <v>46153</v>
      </c>
      <c r="S102" s="96"/>
      <c r="T102" s="96" t="s">
        <v>69</v>
      </c>
      <c r="U102" s="96" t="s">
        <v>70</v>
      </c>
      <c r="V102" s="92">
        <v>46153</v>
      </c>
      <c r="W102" s="92" t="s">
        <v>71</v>
      </c>
      <c r="X102" s="92" t="s">
        <v>71</v>
      </c>
      <c r="Y102" s="97"/>
      <c r="Z102" s="88" t="s">
        <v>72</v>
      </c>
      <c r="AA102" s="96" t="s">
        <v>363</v>
      </c>
      <c r="AB102" s="88" t="s">
        <v>74</v>
      </c>
      <c r="AC102" s="119"/>
      <c r="AD102" s="88" t="s">
        <v>97</v>
      </c>
      <c r="AE102" s="88">
        <v>54</v>
      </c>
      <c r="AF102" s="98" t="s">
        <v>151</v>
      </c>
      <c r="AG102" s="98" t="s">
        <v>151</v>
      </c>
      <c r="AH102" s="98" t="s">
        <v>77</v>
      </c>
      <c r="AI102" s="99" t="s">
        <v>61</v>
      </c>
      <c r="AJ102" s="99" t="s">
        <v>61</v>
      </c>
      <c r="AK102" s="99" t="s">
        <v>61</v>
      </c>
      <c r="AL102" s="44" t="s">
        <v>62</v>
      </c>
      <c r="AM102" s="196" t="str">
        <f>MONTH(B102)&amp;"/"&amp;YEAR(B102)</f>
        <v>5/2026</v>
      </c>
      <c r="AN102" s="44">
        <f>WEEKNUM(B102)-WEEKNUM(EOMONTH(B102,-1)+1)+1</f>
        <v>2</v>
      </c>
      <c r="AO102" s="44" t="str">
        <f>MONTH(R102)&amp;"/"&amp;YEAR(R102)</f>
        <v>5/2026</v>
      </c>
      <c r="AP102" s="44">
        <f>WEEKNUM(R102)-WEEKNUM(EOMONTH(R102,-1)+1)+1</f>
        <v>3</v>
      </c>
      <c r="AQ102" s="44">
        <f>IF(AU102="S",IF(Q102="1. Aceitou o programa",R102-B102,0),0)</f>
        <v>6</v>
      </c>
      <c r="AR102" s="44">
        <f>IF(AU102="S",IF(AND(S102&lt;&gt;"",R102&lt;&gt;""),S102-R102,0),0)</f>
        <v>0</v>
      </c>
      <c r="AS102" s="44">
        <f>IF(AU102="S",IF(Q102="1. Aceitou o programa",IF(OR(X102="Não se Aplica",X102=""),IF(OR(W102="Não se Aplica",W102=""),0,W102-V102),AVERAGE(X102-W102,W102-V102)),0),0)</f>
        <v>0</v>
      </c>
      <c r="AT102" s="44">
        <f>IF(AU102="S",IF(AND(Q102="1. Aceitou o programa",AB102="Realizada"),IFERROR(IF(AA102="",0,AA102-R102),0),0),0)</f>
        <v>14.638888888890506</v>
      </c>
      <c r="AU102" s="44" t="str">
        <f>_xlfn.XLOOKUP(U102,'Lista Suspensa'!$AA$20:$AA$23,'Lista Suspensa'!$AB$20:$AB$23,"N/A")</f>
        <v>S</v>
      </c>
    </row>
    <row r="103" spans="1:47" ht="12" hidden="1" customHeight="1">
      <c r="A103" s="86" t="s">
        <v>47</v>
      </c>
      <c r="B103" s="87">
        <v>46147</v>
      </c>
      <c r="C103" s="88" t="s">
        <v>48</v>
      </c>
      <c r="D103" s="88" t="s">
        <v>49</v>
      </c>
      <c r="E103" s="89">
        <v>77722273</v>
      </c>
      <c r="F103" s="218" t="s">
        <v>364</v>
      </c>
      <c r="G103" s="91">
        <v>11384889760</v>
      </c>
      <c r="H103" s="92">
        <v>30977</v>
      </c>
      <c r="I103" s="88">
        <v>41</v>
      </c>
      <c r="J103" s="88" t="s">
        <v>51</v>
      </c>
      <c r="K103" s="88" t="s">
        <v>80</v>
      </c>
      <c r="L103" s="88" t="s">
        <v>316</v>
      </c>
      <c r="M103" s="88"/>
      <c r="N103" s="88" t="s">
        <v>91</v>
      </c>
      <c r="O103" s="93" t="s">
        <v>365</v>
      </c>
      <c r="P103" s="94" t="s">
        <v>56</v>
      </c>
      <c r="Q103" s="142" t="s">
        <v>68</v>
      </c>
      <c r="R103" s="95">
        <v>46153</v>
      </c>
      <c r="S103" s="96"/>
      <c r="T103" s="96" t="s">
        <v>69</v>
      </c>
      <c r="U103" s="96" t="s">
        <v>70</v>
      </c>
      <c r="V103" s="92">
        <v>46153</v>
      </c>
      <c r="W103" s="92" t="s">
        <v>71</v>
      </c>
      <c r="X103" s="92" t="s">
        <v>71</v>
      </c>
      <c r="Y103" s="97"/>
      <c r="Z103" s="88" t="s">
        <v>72</v>
      </c>
      <c r="AA103" s="96" t="s">
        <v>366</v>
      </c>
      <c r="AB103" s="88" t="s">
        <v>74</v>
      </c>
      <c r="AC103" s="119"/>
      <c r="AD103" s="88" t="s">
        <v>97</v>
      </c>
      <c r="AE103" s="88">
        <v>51</v>
      </c>
      <c r="AF103" s="98" t="s">
        <v>151</v>
      </c>
      <c r="AG103" s="98" t="s">
        <v>367</v>
      </c>
      <c r="AH103" s="98" t="s">
        <v>77</v>
      </c>
      <c r="AI103" s="99" t="s">
        <v>61</v>
      </c>
      <c r="AJ103" s="99" t="s">
        <v>61</v>
      </c>
      <c r="AK103" s="99" t="s">
        <v>61</v>
      </c>
      <c r="AL103" s="44" t="s">
        <v>62</v>
      </c>
      <c r="AM103" s="196" t="str">
        <f>MONTH(B103)&amp;"/"&amp;YEAR(B103)</f>
        <v>5/2026</v>
      </c>
      <c r="AN103" s="44">
        <f>WEEKNUM(B103)-WEEKNUM(EOMONTH(B103,-1)+1)+1</f>
        <v>2</v>
      </c>
      <c r="AO103" s="44" t="str">
        <f>MONTH(R103)&amp;"/"&amp;YEAR(R103)</f>
        <v>5/2026</v>
      </c>
      <c r="AP103" s="44">
        <f>WEEKNUM(R103)-WEEKNUM(EOMONTH(R103,-1)+1)+1</f>
        <v>3</v>
      </c>
      <c r="AQ103" s="44">
        <f>IF(AU103="S",IF(Q103="1. Aceitou o programa",R103-B103,0),0)</f>
        <v>6</v>
      </c>
      <c r="AR103" s="44">
        <f>IF(AU103="S",IF(AND(S103&lt;&gt;"",R103&lt;&gt;""),S103-R103,0),0)</f>
        <v>0</v>
      </c>
      <c r="AS103" s="44">
        <f>IF(AU103="S",IF(Q103="1. Aceitou o programa",IF(OR(X103="Não se Aplica",X103=""),IF(OR(W103="Não se Aplica",W103=""),0,W103-V103),AVERAGE(X103-W103,W103-V103)),0),0)</f>
        <v>0</v>
      </c>
      <c r="AT103" s="44">
        <f>IF(AU103="S",IF(AND(Q103="1. Aceitou o programa",AB103="Realizada"),IFERROR(IF(AA103="",0,AA103-R103),0),0),0)</f>
        <v>7.625</v>
      </c>
      <c r="AU103" s="44" t="str">
        <f>_xlfn.XLOOKUP(U103,'Lista Suspensa'!$AA$20:$AA$23,'Lista Suspensa'!$AB$20:$AB$23,"N/A")</f>
        <v>S</v>
      </c>
    </row>
    <row r="104" spans="1:47" ht="12" hidden="1" customHeight="1">
      <c r="A104" s="86" t="s">
        <v>47</v>
      </c>
      <c r="B104" s="87">
        <v>46147</v>
      </c>
      <c r="C104" s="88" t="s">
        <v>48</v>
      </c>
      <c r="D104" s="88" t="s">
        <v>49</v>
      </c>
      <c r="E104" s="89">
        <v>86889517</v>
      </c>
      <c r="F104" s="218" t="s">
        <v>368</v>
      </c>
      <c r="G104" s="91">
        <v>11587559889</v>
      </c>
      <c r="H104" s="92">
        <v>26995</v>
      </c>
      <c r="I104" s="88">
        <v>52</v>
      </c>
      <c r="J104" s="88" t="s">
        <v>51</v>
      </c>
      <c r="K104" s="88" t="s">
        <v>52</v>
      </c>
      <c r="L104" s="88" t="s">
        <v>53</v>
      </c>
      <c r="M104" s="88"/>
      <c r="N104" s="88" t="s">
        <v>91</v>
      </c>
      <c r="O104" s="93" t="s">
        <v>369</v>
      </c>
      <c r="P104" s="94" t="s">
        <v>56</v>
      </c>
      <c r="Q104" s="142" t="s">
        <v>68</v>
      </c>
      <c r="R104" s="95">
        <v>46154</v>
      </c>
      <c r="S104" s="96"/>
      <c r="T104" s="96" t="s">
        <v>69</v>
      </c>
      <c r="U104" s="96" t="s">
        <v>70</v>
      </c>
      <c r="V104" s="92">
        <v>46153</v>
      </c>
      <c r="W104" s="92">
        <v>46154</v>
      </c>
      <c r="X104" s="92" t="s">
        <v>71</v>
      </c>
      <c r="Y104" s="97"/>
      <c r="Z104" s="88" t="s">
        <v>72</v>
      </c>
      <c r="AA104" s="96">
        <v>46164.444444444445</v>
      </c>
      <c r="AB104" s="88" t="s">
        <v>74</v>
      </c>
      <c r="AC104" s="119"/>
      <c r="AD104" s="88"/>
      <c r="AE104" s="88"/>
      <c r="AF104" s="98"/>
      <c r="AG104" s="98"/>
      <c r="AH104" s="98"/>
      <c r="AI104" s="99" t="s">
        <v>61</v>
      </c>
      <c r="AJ104" s="99" t="s">
        <v>61</v>
      </c>
      <c r="AK104" s="99" t="s">
        <v>61</v>
      </c>
      <c r="AL104" s="44" t="s">
        <v>62</v>
      </c>
      <c r="AM104" s="196" t="str">
        <f>MONTH(B104)&amp;"/"&amp;YEAR(B104)</f>
        <v>5/2026</v>
      </c>
      <c r="AN104" s="44">
        <f>WEEKNUM(B104)-WEEKNUM(EOMONTH(B104,-1)+1)+1</f>
        <v>2</v>
      </c>
      <c r="AO104" s="44" t="str">
        <f>MONTH(R104)&amp;"/"&amp;YEAR(R104)</f>
        <v>5/2026</v>
      </c>
      <c r="AP104" s="44">
        <f>WEEKNUM(R104)-WEEKNUM(EOMONTH(R104,-1)+1)+1</f>
        <v>3</v>
      </c>
      <c r="AQ104" s="44">
        <f>IF(AU104="S",IF(Q104="1. Aceitou o programa",R104-B104,0),0)</f>
        <v>7</v>
      </c>
      <c r="AR104" s="44">
        <f>IF(AU104="S",IF(AND(S104&lt;&gt;"",R104&lt;&gt;""),S104-R104,0),0)</f>
        <v>0</v>
      </c>
      <c r="AS104" s="44">
        <f>IF(AU104="S",IF(Q104="1. Aceitou o programa",IF(OR(X104="Não se Aplica",X104=""),IF(OR(W104="Não se Aplica",W104=""),0,W104-V104),AVERAGE(X104-W104,W104-V104)),0),0)</f>
        <v>1</v>
      </c>
      <c r="AT104" s="44">
        <f>IF(AU104="S",IF(AND(Q104="1. Aceitou o programa",AB104="Realizada"),IFERROR(IF(AA104="",0,AA104-R104),0),0),0)</f>
        <v>10.444444444445253</v>
      </c>
      <c r="AU104" s="44" t="str">
        <f>_xlfn.XLOOKUP(U104,'Lista Suspensa'!$AA$20:$AA$23,'Lista Suspensa'!$AB$20:$AB$23,"N/A")</f>
        <v>S</v>
      </c>
    </row>
    <row r="105" spans="1:47" ht="12" hidden="1" customHeight="1">
      <c r="A105" s="86" t="s">
        <v>47</v>
      </c>
      <c r="B105" s="87">
        <v>46147</v>
      </c>
      <c r="C105" s="88" t="s">
        <v>48</v>
      </c>
      <c r="D105" s="88" t="s">
        <v>49</v>
      </c>
      <c r="E105" s="89">
        <v>86619257</v>
      </c>
      <c r="F105" s="218" t="s">
        <v>370</v>
      </c>
      <c r="G105" s="91">
        <v>10942858700</v>
      </c>
      <c r="H105" s="92">
        <v>17385</v>
      </c>
      <c r="I105" s="88">
        <v>78</v>
      </c>
      <c r="J105" s="88" t="s">
        <v>64</v>
      </c>
      <c r="K105" s="88" t="s">
        <v>80</v>
      </c>
      <c r="L105" s="88" t="s">
        <v>87</v>
      </c>
      <c r="M105" s="88"/>
      <c r="N105" s="88" t="s">
        <v>122</v>
      </c>
      <c r="O105" s="93" t="s">
        <v>371</v>
      </c>
      <c r="P105" s="94" t="s">
        <v>56</v>
      </c>
      <c r="Q105" s="142" t="s">
        <v>68</v>
      </c>
      <c r="R105" s="95">
        <v>46153</v>
      </c>
      <c r="S105" s="96"/>
      <c r="T105" s="96" t="s">
        <v>69</v>
      </c>
      <c r="U105" s="96" t="s">
        <v>70</v>
      </c>
      <c r="V105" s="92">
        <v>46153</v>
      </c>
      <c r="W105" s="92" t="s">
        <v>71</v>
      </c>
      <c r="X105" s="92" t="s">
        <v>71</v>
      </c>
      <c r="Y105" s="97"/>
      <c r="Z105" s="88" t="s">
        <v>72</v>
      </c>
      <c r="AA105" s="96" t="s">
        <v>372</v>
      </c>
      <c r="AB105" s="88" t="s">
        <v>105</v>
      </c>
      <c r="AC105" s="119">
        <v>46188</v>
      </c>
      <c r="AD105" s="88"/>
      <c r="AE105" s="88"/>
      <c r="AF105" s="98"/>
      <c r="AG105" s="98"/>
      <c r="AH105" s="98"/>
      <c r="AI105" s="99" t="s">
        <v>61</v>
      </c>
      <c r="AJ105" s="99" t="s">
        <v>61</v>
      </c>
      <c r="AK105" s="99" t="s">
        <v>61</v>
      </c>
      <c r="AL105" s="44" t="s">
        <v>62</v>
      </c>
      <c r="AM105" s="196" t="str">
        <f>MONTH(B105)&amp;"/"&amp;YEAR(B105)</f>
        <v>5/2026</v>
      </c>
      <c r="AN105" s="44">
        <f>WEEKNUM(B105)-WEEKNUM(EOMONTH(B105,-1)+1)+1</f>
        <v>2</v>
      </c>
      <c r="AO105" s="44" t="str">
        <f>MONTH(R105)&amp;"/"&amp;YEAR(R105)</f>
        <v>5/2026</v>
      </c>
      <c r="AP105" s="44">
        <f>WEEKNUM(R105)-WEEKNUM(EOMONTH(R105,-1)+1)+1</f>
        <v>3</v>
      </c>
      <c r="AQ105" s="44">
        <f>IF(AU105="S",IF(Q105="1. Aceitou o programa",R105-B105,0),0)</f>
        <v>6</v>
      </c>
      <c r="AR105" s="44">
        <f>IF(AU105="S",IF(AND(S105&lt;&gt;"",R105&lt;&gt;""),S105-R105,0),0)</f>
        <v>0</v>
      </c>
      <c r="AS105" s="44">
        <f>IF(AU105="S",IF(Q105="1. Aceitou o programa",IF(OR(X105="Não se Aplica",X105=""),IF(OR(W105="Não se Aplica",W105=""),0,W105-V105),AVERAGE(X105-W105,W105-V105)),0),0)</f>
        <v>0</v>
      </c>
      <c r="AT105" s="44">
        <f>IF(AU105="S",IF(AND(Q105="1. Aceitou o programa",AB105="Realizada"),IFERROR(IF(AA105="",0,AA105-R105),0),0),0)</f>
        <v>0</v>
      </c>
      <c r="AU105" s="44" t="str">
        <f>_xlfn.XLOOKUP(U105,'Lista Suspensa'!$AA$20:$AA$23,'Lista Suspensa'!$AB$20:$AB$23,"N/A")</f>
        <v>S</v>
      </c>
    </row>
    <row r="106" spans="1:47" ht="12" hidden="1" customHeight="1">
      <c r="A106" s="86" t="s">
        <v>47</v>
      </c>
      <c r="B106" s="87">
        <v>46147</v>
      </c>
      <c r="C106" s="88" t="s">
        <v>48</v>
      </c>
      <c r="D106" s="88" t="s">
        <v>49</v>
      </c>
      <c r="E106" s="89">
        <v>773713948</v>
      </c>
      <c r="F106" s="218" t="s">
        <v>373</v>
      </c>
      <c r="G106" s="91">
        <v>25065424853</v>
      </c>
      <c r="H106" s="92">
        <v>14019</v>
      </c>
      <c r="I106" s="88">
        <v>87</v>
      </c>
      <c r="J106" s="88" t="s">
        <v>51</v>
      </c>
      <c r="K106" s="88" t="s">
        <v>52</v>
      </c>
      <c r="L106" s="88" t="s">
        <v>53</v>
      </c>
      <c r="M106" s="88"/>
      <c r="N106" s="88" t="s">
        <v>210</v>
      </c>
      <c r="O106" s="93" t="s">
        <v>374</v>
      </c>
      <c r="P106" s="94" t="s">
        <v>56</v>
      </c>
      <c r="Q106" s="142" t="s">
        <v>57</v>
      </c>
      <c r="R106" s="95"/>
      <c r="S106" s="96">
        <v>46170</v>
      </c>
      <c r="T106" s="96" t="s">
        <v>58</v>
      </c>
      <c r="U106" s="96" t="s">
        <v>59</v>
      </c>
      <c r="V106" s="92">
        <v>46153</v>
      </c>
      <c r="W106" s="92">
        <v>46154</v>
      </c>
      <c r="X106" s="92">
        <v>46164</v>
      </c>
      <c r="Y106" s="97"/>
      <c r="Z106" s="88"/>
      <c r="AA106" s="96"/>
      <c r="AB106" s="88"/>
      <c r="AC106" s="119"/>
      <c r="AD106" s="88"/>
      <c r="AE106" s="88"/>
      <c r="AF106" s="98"/>
      <c r="AG106" s="98"/>
      <c r="AH106" s="98"/>
      <c r="AI106" s="99"/>
      <c r="AJ106" s="99"/>
      <c r="AK106" s="99"/>
      <c r="AL106" s="44" t="s">
        <v>62</v>
      </c>
      <c r="AM106" s="196" t="str">
        <f>MONTH(B106)&amp;"/"&amp;YEAR(B106)</f>
        <v>5/2026</v>
      </c>
      <c r="AN106" s="44">
        <f>WEEKNUM(B106)-WEEKNUM(EOMONTH(B106,-1)+1)+1</f>
        <v>2</v>
      </c>
      <c r="AO106" s="44" t="str">
        <f>MONTH(R106)&amp;"/"&amp;YEAR(R106)</f>
        <v>1/1900</v>
      </c>
      <c r="AP106" s="44" t="e">
        <f>WEEKNUM(R106)-WEEKNUM(EOMONTH(R106,-1)+1)+1</f>
        <v>#NUM!</v>
      </c>
      <c r="AQ106" s="44">
        <f>IF(AU106="S",IF(Q106="1. Aceitou o programa",R106-B106,0),0)</f>
        <v>0</v>
      </c>
      <c r="AR106" s="44">
        <f>IF(AU106="S",IF(AND(S106&lt;&gt;"",R106&lt;&gt;""),S106-R106,0),0)</f>
        <v>0</v>
      </c>
      <c r="AS106" s="44">
        <f>IF(AU106="S",IF(Q106="1. Aceitou o programa",IF(OR(X106="Não se Aplica",X106=""),IF(OR(W106="Não se Aplica",W106=""),0,W106-V106),AVERAGE(X106-W106,W106-V106)),0),0)</f>
        <v>0</v>
      </c>
      <c r="AT106" s="44">
        <f>IF(AU106="S",IF(AND(Q106="1. Aceitou o programa",AB106="Realizada"),IFERROR(IF(AA106="",0,AA106-R106),0),0),0)</f>
        <v>0</v>
      </c>
      <c r="AU106" s="44" t="str">
        <f>_xlfn.XLOOKUP(U106,'Lista Suspensa'!$AA$20:$AA$23,'Lista Suspensa'!$AB$20:$AB$23,"N/A")</f>
        <v>S</v>
      </c>
    </row>
    <row r="107" spans="1:47" ht="12" hidden="1" customHeight="1">
      <c r="A107" s="86" t="s">
        <v>47</v>
      </c>
      <c r="B107" s="87">
        <v>46147</v>
      </c>
      <c r="C107" s="88" t="s">
        <v>48</v>
      </c>
      <c r="D107" s="88" t="s">
        <v>49</v>
      </c>
      <c r="E107" s="89">
        <v>481975055</v>
      </c>
      <c r="F107" s="218" t="s">
        <v>375</v>
      </c>
      <c r="G107" s="91">
        <v>6862949713</v>
      </c>
      <c r="H107" s="92">
        <v>14630</v>
      </c>
      <c r="I107" s="88">
        <v>86</v>
      </c>
      <c r="J107" s="88" t="s">
        <v>64</v>
      </c>
      <c r="K107" s="88" t="s">
        <v>80</v>
      </c>
      <c r="L107" s="88" t="s">
        <v>87</v>
      </c>
      <c r="M107" s="88"/>
      <c r="N107" s="88" t="s">
        <v>138</v>
      </c>
      <c r="O107" s="93" t="s">
        <v>376</v>
      </c>
      <c r="P107" s="94" t="s">
        <v>56</v>
      </c>
      <c r="Q107" s="142" t="s">
        <v>68</v>
      </c>
      <c r="R107" s="95">
        <v>46153</v>
      </c>
      <c r="S107" s="96"/>
      <c r="T107" s="96" t="s">
        <v>69</v>
      </c>
      <c r="U107" s="96" t="s">
        <v>70</v>
      </c>
      <c r="V107" s="92">
        <v>46153</v>
      </c>
      <c r="W107" s="92" t="s">
        <v>71</v>
      </c>
      <c r="X107" s="92" t="s">
        <v>71</v>
      </c>
      <c r="Y107" s="97"/>
      <c r="Z107" s="88" t="s">
        <v>72</v>
      </c>
      <c r="AA107" s="96" t="s">
        <v>377</v>
      </c>
      <c r="AB107" s="88" t="s">
        <v>74</v>
      </c>
      <c r="AC107" s="119"/>
      <c r="AD107" s="88" t="s">
        <v>75</v>
      </c>
      <c r="AE107" s="88">
        <v>62</v>
      </c>
      <c r="AF107" s="98" t="s">
        <v>85</v>
      </c>
      <c r="AG107" s="98" t="s">
        <v>85</v>
      </c>
      <c r="AH107" s="98" t="s">
        <v>152</v>
      </c>
      <c r="AI107" s="99" t="s">
        <v>61</v>
      </c>
      <c r="AJ107" s="99" t="s">
        <v>61</v>
      </c>
      <c r="AK107" s="99" t="s">
        <v>61</v>
      </c>
      <c r="AL107" s="44" t="s">
        <v>62</v>
      </c>
      <c r="AM107" s="196" t="str">
        <f>MONTH(B107)&amp;"/"&amp;YEAR(B107)</f>
        <v>5/2026</v>
      </c>
      <c r="AN107" s="44">
        <f>WEEKNUM(B107)-WEEKNUM(EOMONTH(B107,-1)+1)+1</f>
        <v>2</v>
      </c>
      <c r="AO107" s="44" t="str">
        <f>MONTH(R107)&amp;"/"&amp;YEAR(R107)</f>
        <v>5/2026</v>
      </c>
      <c r="AP107" s="44">
        <f>WEEKNUM(R107)-WEEKNUM(EOMONTH(R107,-1)+1)+1</f>
        <v>3</v>
      </c>
      <c r="AQ107" s="44">
        <f>IF(AU107="S",IF(Q107="1. Aceitou o programa",R107-B107,0),0)</f>
        <v>6</v>
      </c>
      <c r="AR107" s="44">
        <f>IF(AU107="S",IF(AND(S107&lt;&gt;"",R107&lt;&gt;""),S107-R107,0),0)</f>
        <v>0</v>
      </c>
      <c r="AS107" s="44">
        <f>IF(AU107="S",IF(Q107="1. Aceitou o programa",IF(OR(X107="Não se Aplica",X107=""),IF(OR(W107="Não se Aplica",W107=""),0,W107-V107),AVERAGE(X107-W107,W107-V107)),0),0)</f>
        <v>0</v>
      </c>
      <c r="AT107" s="44">
        <f>IF(AU107="S",IF(AND(Q107="1. Aceitou o programa",AB107="Realizada"),IFERROR(IF(AA107="",0,AA107-R107),0),0),0)</f>
        <v>14.666666666664241</v>
      </c>
      <c r="AU107" s="44" t="str">
        <f>_xlfn.XLOOKUP(U107,'Lista Suspensa'!$AA$20:$AA$23,'Lista Suspensa'!$AB$20:$AB$23,"N/A")</f>
        <v>S</v>
      </c>
    </row>
    <row r="108" spans="1:47" ht="12" hidden="1" customHeight="1">
      <c r="A108" s="86" t="s">
        <v>47</v>
      </c>
      <c r="B108" s="87">
        <v>46147</v>
      </c>
      <c r="C108" s="88" t="s">
        <v>48</v>
      </c>
      <c r="D108" s="88" t="s">
        <v>49</v>
      </c>
      <c r="E108" s="89">
        <v>914395289</v>
      </c>
      <c r="F108" s="218" t="s">
        <v>378</v>
      </c>
      <c r="G108" s="91">
        <v>59292989715</v>
      </c>
      <c r="H108" s="92">
        <v>21796</v>
      </c>
      <c r="I108" s="88">
        <v>66</v>
      </c>
      <c r="J108" s="88" t="s">
        <v>51</v>
      </c>
      <c r="K108" s="88" t="s">
        <v>80</v>
      </c>
      <c r="L108" s="88" t="s">
        <v>87</v>
      </c>
      <c r="M108" s="88"/>
      <c r="N108" s="88" t="s">
        <v>207</v>
      </c>
      <c r="O108" s="93" t="s">
        <v>379</v>
      </c>
      <c r="P108" s="94" t="s">
        <v>56</v>
      </c>
      <c r="Q108" s="142" t="s">
        <v>57</v>
      </c>
      <c r="R108" s="95"/>
      <c r="S108" s="96">
        <v>46170</v>
      </c>
      <c r="T108" s="96" t="s">
        <v>58</v>
      </c>
      <c r="U108" s="96" t="s">
        <v>59</v>
      </c>
      <c r="V108" s="92">
        <v>46153</v>
      </c>
      <c r="W108" s="92">
        <v>46154</v>
      </c>
      <c r="X108" s="92">
        <v>46164</v>
      </c>
      <c r="Y108" s="97"/>
      <c r="Z108" s="88"/>
      <c r="AA108" s="96"/>
      <c r="AB108" s="88"/>
      <c r="AC108" s="119"/>
      <c r="AD108" s="88"/>
      <c r="AE108" s="88"/>
      <c r="AF108" s="98"/>
      <c r="AG108" s="98"/>
      <c r="AH108" s="98"/>
      <c r="AI108" s="99"/>
      <c r="AJ108" s="99"/>
      <c r="AK108" s="99"/>
      <c r="AL108" s="44" t="s">
        <v>62</v>
      </c>
      <c r="AM108" s="196" t="str">
        <f>MONTH(B108)&amp;"/"&amp;YEAR(B108)</f>
        <v>5/2026</v>
      </c>
      <c r="AN108" s="44">
        <f>WEEKNUM(B108)-WEEKNUM(EOMONTH(B108,-1)+1)+1</f>
        <v>2</v>
      </c>
      <c r="AO108" s="44" t="str">
        <f>MONTH(R108)&amp;"/"&amp;YEAR(R108)</f>
        <v>1/1900</v>
      </c>
      <c r="AP108" s="44" t="e">
        <f>WEEKNUM(R108)-WEEKNUM(EOMONTH(R108,-1)+1)+1</f>
        <v>#NUM!</v>
      </c>
      <c r="AQ108" s="44">
        <f>IF(AU108="S",IF(Q108="1. Aceitou o programa",R108-B108,0),0)</f>
        <v>0</v>
      </c>
      <c r="AR108" s="44">
        <f>IF(AU108="S",IF(AND(S108&lt;&gt;"",R108&lt;&gt;""),S108-R108,0),0)</f>
        <v>0</v>
      </c>
      <c r="AS108" s="44">
        <f>IF(AU108="S",IF(Q108="1. Aceitou o programa",IF(OR(X108="Não se Aplica",X108=""),IF(OR(W108="Não se Aplica",W108=""),0,W108-V108),AVERAGE(X108-W108,W108-V108)),0),0)</f>
        <v>0</v>
      </c>
      <c r="AT108" s="44">
        <f>IF(AU108="S",IF(AND(Q108="1. Aceitou o programa",AB108="Realizada"),IFERROR(IF(AA108="",0,AA108-R108),0),0),0)</f>
        <v>0</v>
      </c>
      <c r="AU108" s="44" t="str">
        <f>_xlfn.XLOOKUP(U108,'Lista Suspensa'!$AA$20:$AA$23,'Lista Suspensa'!$AB$20:$AB$23,"N/A")</f>
        <v>S</v>
      </c>
    </row>
    <row r="109" spans="1:47" ht="12" hidden="1" customHeight="1">
      <c r="A109" s="86" t="s">
        <v>47</v>
      </c>
      <c r="B109" s="87">
        <v>46147</v>
      </c>
      <c r="C109" s="88" t="s">
        <v>48</v>
      </c>
      <c r="D109" s="88" t="s">
        <v>49</v>
      </c>
      <c r="E109" s="89">
        <v>78204874</v>
      </c>
      <c r="F109" s="218" t="s">
        <v>380</v>
      </c>
      <c r="G109" s="91">
        <v>46139796768</v>
      </c>
      <c r="H109" s="92">
        <v>20862</v>
      </c>
      <c r="I109" s="88">
        <v>69</v>
      </c>
      <c r="J109" s="88" t="s">
        <v>51</v>
      </c>
      <c r="K109" s="88" t="s">
        <v>80</v>
      </c>
      <c r="L109" s="88" t="s">
        <v>87</v>
      </c>
      <c r="M109" s="88"/>
      <c r="N109" s="88" t="s">
        <v>91</v>
      </c>
      <c r="O109" s="93" t="s">
        <v>381</v>
      </c>
      <c r="P109" s="94" t="s">
        <v>56</v>
      </c>
      <c r="Q109" s="142" t="s">
        <v>57</v>
      </c>
      <c r="R109" s="95"/>
      <c r="S109" s="96">
        <v>46170</v>
      </c>
      <c r="T109" s="96" t="s">
        <v>58</v>
      </c>
      <c r="U109" s="96" t="s">
        <v>59</v>
      </c>
      <c r="V109" s="92">
        <v>46153</v>
      </c>
      <c r="W109" s="92">
        <v>46154</v>
      </c>
      <c r="X109" s="92">
        <v>46164</v>
      </c>
      <c r="Y109" s="97"/>
      <c r="Z109" s="88"/>
      <c r="AA109" s="96"/>
      <c r="AB109" s="88"/>
      <c r="AC109" s="119"/>
      <c r="AD109" s="88"/>
      <c r="AE109" s="88"/>
      <c r="AF109" s="98"/>
      <c r="AG109" s="98"/>
      <c r="AH109" s="98"/>
      <c r="AI109" s="99"/>
      <c r="AJ109" s="99"/>
      <c r="AK109" s="99"/>
      <c r="AL109" s="44" t="s">
        <v>62</v>
      </c>
      <c r="AM109" s="196" t="str">
        <f>MONTH(B109)&amp;"/"&amp;YEAR(B109)</f>
        <v>5/2026</v>
      </c>
      <c r="AN109" s="44">
        <f>WEEKNUM(B109)-WEEKNUM(EOMONTH(B109,-1)+1)+1</f>
        <v>2</v>
      </c>
      <c r="AO109" s="44" t="str">
        <f>MONTH(R109)&amp;"/"&amp;YEAR(R109)</f>
        <v>1/1900</v>
      </c>
      <c r="AP109" s="44" t="e">
        <f>WEEKNUM(R109)-WEEKNUM(EOMONTH(R109,-1)+1)+1</f>
        <v>#NUM!</v>
      </c>
      <c r="AQ109" s="44">
        <f>IF(AU109="S",IF(Q109="1. Aceitou o programa",R109-B109,0),0)</f>
        <v>0</v>
      </c>
      <c r="AR109" s="44">
        <f>IF(AU109="S",IF(AND(S109&lt;&gt;"",R109&lt;&gt;""),S109-R109,0),0)</f>
        <v>0</v>
      </c>
      <c r="AS109" s="44">
        <f>IF(AU109="S",IF(Q109="1. Aceitou o programa",IF(OR(X109="Não se Aplica",X109=""),IF(OR(W109="Não se Aplica",W109=""),0,W109-V109),AVERAGE(X109-W109,W109-V109)),0),0)</f>
        <v>0</v>
      </c>
      <c r="AT109" s="44">
        <f>IF(AU109="S",IF(AND(Q109="1. Aceitou o programa",AB109="Realizada"),IFERROR(IF(AA109="",0,AA109-R109),0),0),0)</f>
        <v>0</v>
      </c>
      <c r="AU109" s="44" t="str">
        <f>_xlfn.XLOOKUP(U109,'Lista Suspensa'!$AA$20:$AA$23,'Lista Suspensa'!$AB$20:$AB$23,"N/A")</f>
        <v>S</v>
      </c>
    </row>
    <row r="110" spans="1:47" ht="12" hidden="1" customHeight="1">
      <c r="A110" s="86" t="s">
        <v>47</v>
      </c>
      <c r="B110" s="87">
        <v>46147</v>
      </c>
      <c r="C110" s="88" t="s">
        <v>48</v>
      </c>
      <c r="D110" s="88" t="s">
        <v>49</v>
      </c>
      <c r="E110" s="89">
        <v>81158104</v>
      </c>
      <c r="F110" s="218" t="s">
        <v>382</v>
      </c>
      <c r="G110" s="91">
        <v>92461778787</v>
      </c>
      <c r="H110" s="92">
        <v>24413</v>
      </c>
      <c r="I110" s="88">
        <v>59</v>
      </c>
      <c r="J110" s="88" t="s">
        <v>51</v>
      </c>
      <c r="K110" s="88" t="s">
        <v>80</v>
      </c>
      <c r="L110" s="88" t="s">
        <v>257</v>
      </c>
      <c r="M110" s="88"/>
      <c r="N110" s="88" t="s">
        <v>118</v>
      </c>
      <c r="O110" s="93" t="s">
        <v>383</v>
      </c>
      <c r="P110" s="94" t="s">
        <v>56</v>
      </c>
      <c r="Q110" s="142" t="s">
        <v>57</v>
      </c>
      <c r="R110" s="95"/>
      <c r="S110" s="96">
        <v>46170</v>
      </c>
      <c r="T110" s="96" t="s">
        <v>58</v>
      </c>
      <c r="U110" s="96" t="s">
        <v>59</v>
      </c>
      <c r="V110" s="92">
        <v>46153</v>
      </c>
      <c r="W110" s="92">
        <v>46154</v>
      </c>
      <c r="X110" s="92">
        <v>46164</v>
      </c>
      <c r="Y110" s="97"/>
      <c r="Z110" s="88"/>
      <c r="AA110" s="96"/>
      <c r="AB110" s="88"/>
      <c r="AC110" s="119"/>
      <c r="AD110" s="88"/>
      <c r="AE110" s="88"/>
      <c r="AF110" s="98"/>
      <c r="AG110" s="98"/>
      <c r="AH110" s="98"/>
      <c r="AI110" s="99"/>
      <c r="AJ110" s="99"/>
      <c r="AK110" s="99"/>
      <c r="AL110" s="44" t="s">
        <v>62</v>
      </c>
      <c r="AM110" s="196" t="str">
        <f>MONTH(B110)&amp;"/"&amp;YEAR(B110)</f>
        <v>5/2026</v>
      </c>
      <c r="AN110" s="44">
        <f>WEEKNUM(B110)-WEEKNUM(EOMONTH(B110,-1)+1)+1</f>
        <v>2</v>
      </c>
      <c r="AO110" s="44" t="str">
        <f>MONTH(R110)&amp;"/"&amp;YEAR(R110)</f>
        <v>1/1900</v>
      </c>
      <c r="AP110" s="44" t="e">
        <f>WEEKNUM(R110)-WEEKNUM(EOMONTH(R110,-1)+1)+1</f>
        <v>#NUM!</v>
      </c>
      <c r="AQ110" s="44">
        <f>IF(AU110="S",IF(Q110="1. Aceitou o programa",R110-B110,0),0)</f>
        <v>0</v>
      </c>
      <c r="AR110" s="44">
        <f>IF(AU110="S",IF(AND(S110&lt;&gt;"",R110&lt;&gt;""),S110-R110,0),0)</f>
        <v>0</v>
      </c>
      <c r="AS110" s="44">
        <f>IF(AU110="S",IF(Q110="1. Aceitou o programa",IF(OR(X110="Não se Aplica",X110=""),IF(OR(W110="Não se Aplica",W110=""),0,W110-V110),AVERAGE(X110-W110,W110-V110)),0),0)</f>
        <v>0</v>
      </c>
      <c r="AT110" s="44">
        <f>IF(AU110="S",IF(AND(Q110="1. Aceitou o programa",AB110="Realizada"),IFERROR(IF(AA110="",0,AA110-R110),0),0),0)</f>
        <v>0</v>
      </c>
      <c r="AU110" s="44" t="str">
        <f>_xlfn.XLOOKUP(U110,'Lista Suspensa'!$AA$20:$AA$23,'Lista Suspensa'!$AB$20:$AB$23,"N/A")</f>
        <v>S</v>
      </c>
    </row>
    <row r="111" spans="1:47" ht="12" hidden="1" customHeight="1">
      <c r="A111" s="86" t="s">
        <v>47</v>
      </c>
      <c r="B111" s="87">
        <v>46147</v>
      </c>
      <c r="C111" s="88" t="s">
        <v>48</v>
      </c>
      <c r="D111" s="88" t="s">
        <v>49</v>
      </c>
      <c r="E111" s="89">
        <v>451767144</v>
      </c>
      <c r="F111" s="218" t="s">
        <v>384</v>
      </c>
      <c r="G111" s="91">
        <v>57446890878</v>
      </c>
      <c r="H111" s="92">
        <v>15675</v>
      </c>
      <c r="I111" s="88">
        <v>83</v>
      </c>
      <c r="J111" s="88" t="s">
        <v>51</v>
      </c>
      <c r="K111" s="88" t="s">
        <v>52</v>
      </c>
      <c r="L111" s="88" t="s">
        <v>53</v>
      </c>
      <c r="M111" s="88"/>
      <c r="N111" s="88" t="s">
        <v>223</v>
      </c>
      <c r="O111" s="93" t="s">
        <v>385</v>
      </c>
      <c r="P111" s="94" t="s">
        <v>56</v>
      </c>
      <c r="Q111" s="142" t="s">
        <v>68</v>
      </c>
      <c r="R111" s="95">
        <v>46153</v>
      </c>
      <c r="S111" s="96"/>
      <c r="T111" s="96" t="s">
        <v>69</v>
      </c>
      <c r="U111" s="96" t="s">
        <v>70</v>
      </c>
      <c r="V111" s="92">
        <v>46153</v>
      </c>
      <c r="W111" s="92" t="s">
        <v>71</v>
      </c>
      <c r="X111" s="92" t="s">
        <v>71</v>
      </c>
      <c r="Y111" s="97"/>
      <c r="Z111" s="88" t="s">
        <v>72</v>
      </c>
      <c r="AA111" s="96" t="s">
        <v>386</v>
      </c>
      <c r="AB111" s="88" t="s">
        <v>74</v>
      </c>
      <c r="AC111" s="119">
        <v>46188</v>
      </c>
      <c r="AD111" s="88"/>
      <c r="AE111" s="88"/>
      <c r="AF111" s="98"/>
      <c r="AG111" s="98"/>
      <c r="AH111" s="98"/>
      <c r="AI111" s="99" t="s">
        <v>61</v>
      </c>
      <c r="AJ111" s="99" t="s">
        <v>61</v>
      </c>
      <c r="AK111" s="99" t="s">
        <v>61</v>
      </c>
      <c r="AL111" s="44" t="s">
        <v>62</v>
      </c>
      <c r="AM111" s="196" t="str">
        <f>MONTH(B111)&amp;"/"&amp;YEAR(B111)</f>
        <v>5/2026</v>
      </c>
      <c r="AN111" s="44">
        <f>WEEKNUM(B111)-WEEKNUM(EOMONTH(B111,-1)+1)+1</f>
        <v>2</v>
      </c>
      <c r="AO111" s="44" t="str">
        <f>MONTH(R111)&amp;"/"&amp;YEAR(R111)</f>
        <v>5/2026</v>
      </c>
      <c r="AP111" s="44">
        <f>WEEKNUM(R111)-WEEKNUM(EOMONTH(R111,-1)+1)+1</f>
        <v>3</v>
      </c>
      <c r="AQ111" s="44">
        <f>IF(AU111="S",IF(Q111="1. Aceitou o programa",R111-B111,0),0)</f>
        <v>6</v>
      </c>
      <c r="AR111" s="44">
        <f>IF(AU111="S",IF(AND(S111&lt;&gt;"",R111&lt;&gt;""),S111-R111,0),0)</f>
        <v>0</v>
      </c>
      <c r="AS111" s="44">
        <f>IF(AU111="S",IF(Q111="1. Aceitou o programa",IF(OR(X111="Não se Aplica",X111=""),IF(OR(W111="Não se Aplica",W111=""),0,W111-V111),AVERAGE(X111-W111,W111-V111)),0),0)</f>
        <v>0</v>
      </c>
      <c r="AT111" s="44">
        <f>IF(AU111="S",IF(AND(Q111="1. Aceitou o programa",AB111="Realizada"),IFERROR(IF(AA111="",0,AA111-R111),0),0),0)</f>
        <v>9.4027777777810115</v>
      </c>
      <c r="AU111" s="44" t="str">
        <f>_xlfn.XLOOKUP(U111,'Lista Suspensa'!$AA$20:$AA$23,'Lista Suspensa'!$AB$20:$AB$23,"N/A")</f>
        <v>S</v>
      </c>
    </row>
    <row r="112" spans="1:47" ht="12" hidden="1" customHeight="1">
      <c r="A112" s="86" t="s">
        <v>47</v>
      </c>
      <c r="B112" s="87">
        <v>46147</v>
      </c>
      <c r="C112" s="88" t="s">
        <v>48</v>
      </c>
      <c r="D112" s="88" t="s">
        <v>49</v>
      </c>
      <c r="E112" s="89">
        <v>752488210</v>
      </c>
      <c r="F112" s="218" t="s">
        <v>387</v>
      </c>
      <c r="G112" s="91">
        <v>42558824791</v>
      </c>
      <c r="H112" s="92">
        <v>18538</v>
      </c>
      <c r="I112" s="88">
        <v>75</v>
      </c>
      <c r="J112" s="88" t="s">
        <v>51</v>
      </c>
      <c r="K112" s="88" t="s">
        <v>80</v>
      </c>
      <c r="L112" s="88" t="s">
        <v>87</v>
      </c>
      <c r="M112" s="88"/>
      <c r="N112" s="88" t="s">
        <v>54</v>
      </c>
      <c r="O112" s="93" t="s">
        <v>388</v>
      </c>
      <c r="P112" s="94" t="s">
        <v>56</v>
      </c>
      <c r="Q112" s="142" t="s">
        <v>57</v>
      </c>
      <c r="R112" s="95"/>
      <c r="S112" s="96">
        <v>46170</v>
      </c>
      <c r="T112" s="96" t="s">
        <v>58</v>
      </c>
      <c r="U112" s="96" t="s">
        <v>59</v>
      </c>
      <c r="V112" s="92">
        <v>46153</v>
      </c>
      <c r="W112" s="92">
        <v>46154</v>
      </c>
      <c r="X112" s="92">
        <v>46164</v>
      </c>
      <c r="Y112" s="97"/>
      <c r="Z112" s="88"/>
      <c r="AA112" s="96"/>
      <c r="AB112" s="88"/>
      <c r="AC112" s="119"/>
      <c r="AD112" s="88"/>
      <c r="AE112" s="88"/>
      <c r="AF112" s="98"/>
      <c r="AG112" s="98"/>
      <c r="AH112" s="98"/>
      <c r="AI112" s="99"/>
      <c r="AJ112" s="99"/>
      <c r="AK112" s="99"/>
      <c r="AL112" s="44" t="s">
        <v>62</v>
      </c>
      <c r="AM112" s="196" t="str">
        <f>MONTH(B112)&amp;"/"&amp;YEAR(B112)</f>
        <v>5/2026</v>
      </c>
      <c r="AN112" s="44">
        <f>WEEKNUM(B112)-WEEKNUM(EOMONTH(B112,-1)+1)+1</f>
        <v>2</v>
      </c>
      <c r="AO112" s="44" t="str">
        <f>MONTH(R112)&amp;"/"&amp;YEAR(R112)</f>
        <v>1/1900</v>
      </c>
      <c r="AP112" s="44" t="e">
        <f>WEEKNUM(R112)-WEEKNUM(EOMONTH(R112,-1)+1)+1</f>
        <v>#NUM!</v>
      </c>
      <c r="AQ112" s="44">
        <f>IF(AU112="S",IF(Q112="1. Aceitou o programa",R112-B112,0),0)</f>
        <v>0</v>
      </c>
      <c r="AR112" s="44">
        <f>IF(AU112="S",IF(AND(S112&lt;&gt;"",R112&lt;&gt;""),S112-R112,0),0)</f>
        <v>0</v>
      </c>
      <c r="AS112" s="44">
        <f>IF(AU112="S",IF(Q112="1. Aceitou o programa",IF(OR(X112="Não se Aplica",X112=""),IF(OR(W112="Não se Aplica",W112=""),0,W112-V112),AVERAGE(X112-W112,W112-V112)),0),0)</f>
        <v>0</v>
      </c>
      <c r="AT112" s="44">
        <f>IF(AU112="S",IF(AND(Q112="1. Aceitou o programa",AB112="Realizada"),IFERROR(IF(AA112="",0,AA112-R112),0),0),0)</f>
        <v>0</v>
      </c>
      <c r="AU112" s="44" t="str">
        <f>_xlfn.XLOOKUP(U112,'Lista Suspensa'!$AA$20:$AA$23,'Lista Suspensa'!$AB$20:$AB$23,"N/A")</f>
        <v>S</v>
      </c>
    </row>
    <row r="113" spans="1:47" ht="12" hidden="1" customHeight="1">
      <c r="A113" s="86" t="s">
        <v>47</v>
      </c>
      <c r="B113" s="87">
        <v>46147</v>
      </c>
      <c r="C113" s="88" t="s">
        <v>48</v>
      </c>
      <c r="D113" s="88" t="s">
        <v>49</v>
      </c>
      <c r="E113" s="89">
        <v>76103303</v>
      </c>
      <c r="F113" s="218" t="s">
        <v>389</v>
      </c>
      <c r="G113" s="91">
        <v>58214909791</v>
      </c>
      <c r="H113" s="92">
        <v>20905</v>
      </c>
      <c r="I113" s="88">
        <v>69</v>
      </c>
      <c r="J113" s="88" t="s">
        <v>64</v>
      </c>
      <c r="K113" s="88" t="s">
        <v>80</v>
      </c>
      <c r="L113" s="88" t="s">
        <v>142</v>
      </c>
      <c r="M113" s="88"/>
      <c r="N113" s="88" t="s">
        <v>110</v>
      </c>
      <c r="O113" s="93" t="s">
        <v>390</v>
      </c>
      <c r="P113" s="94" t="s">
        <v>56</v>
      </c>
      <c r="Q113" s="142" t="s">
        <v>57</v>
      </c>
      <c r="R113" s="95"/>
      <c r="S113" s="96">
        <v>46170</v>
      </c>
      <c r="T113" s="96" t="s">
        <v>58</v>
      </c>
      <c r="U113" s="96" t="s">
        <v>59</v>
      </c>
      <c r="V113" s="92">
        <v>46153</v>
      </c>
      <c r="W113" s="92">
        <v>46154</v>
      </c>
      <c r="X113" s="92">
        <v>46164</v>
      </c>
      <c r="Y113" s="97"/>
      <c r="Z113" s="88"/>
      <c r="AA113" s="96"/>
      <c r="AB113" s="88"/>
      <c r="AC113" s="119"/>
      <c r="AD113" s="88"/>
      <c r="AE113" s="88"/>
      <c r="AF113" s="98"/>
      <c r="AG113" s="98"/>
      <c r="AH113" s="98"/>
      <c r="AI113" s="99"/>
      <c r="AJ113" s="99"/>
      <c r="AK113" s="99"/>
      <c r="AL113" s="44" t="s">
        <v>62</v>
      </c>
      <c r="AM113" s="196" t="str">
        <f>MONTH(B113)&amp;"/"&amp;YEAR(B113)</f>
        <v>5/2026</v>
      </c>
      <c r="AN113" s="44">
        <f>WEEKNUM(B113)-WEEKNUM(EOMONTH(B113,-1)+1)+1</f>
        <v>2</v>
      </c>
      <c r="AO113" s="44" t="str">
        <f>MONTH(R113)&amp;"/"&amp;YEAR(R113)</f>
        <v>1/1900</v>
      </c>
      <c r="AP113" s="44" t="e">
        <f>WEEKNUM(R113)-WEEKNUM(EOMONTH(R113,-1)+1)+1</f>
        <v>#NUM!</v>
      </c>
      <c r="AQ113" s="44">
        <f>IF(AU113="S",IF(Q113="1. Aceitou o programa",R113-B113,0),0)</f>
        <v>0</v>
      </c>
      <c r="AR113" s="44">
        <f>IF(AU113="S",IF(AND(S113&lt;&gt;"",R113&lt;&gt;""),S113-R113,0),0)</f>
        <v>0</v>
      </c>
      <c r="AS113" s="44">
        <f>IF(AU113="S",IF(Q113="1. Aceitou o programa",IF(OR(X113="Não se Aplica",X113=""),IF(OR(W113="Não se Aplica",W113=""),0,W113-V113),AVERAGE(X113-W113,W113-V113)),0),0)</f>
        <v>0</v>
      </c>
      <c r="AT113" s="44">
        <f>IF(AU113="S",IF(AND(Q113="1. Aceitou o programa",AB113="Realizada"),IFERROR(IF(AA113="",0,AA113-R113),0),0),0)</f>
        <v>0</v>
      </c>
      <c r="AU113" s="44" t="str">
        <f>_xlfn.XLOOKUP(U113,'Lista Suspensa'!$AA$20:$AA$23,'Lista Suspensa'!$AB$20:$AB$23,"N/A")</f>
        <v>S</v>
      </c>
    </row>
    <row r="114" spans="1:47" ht="12" hidden="1" customHeight="1">
      <c r="A114" s="86" t="s">
        <v>47</v>
      </c>
      <c r="B114" s="87">
        <v>46147</v>
      </c>
      <c r="C114" s="88" t="s">
        <v>48</v>
      </c>
      <c r="D114" s="88" t="s">
        <v>49</v>
      </c>
      <c r="E114" s="89">
        <v>82141472</v>
      </c>
      <c r="F114" s="218" t="s">
        <v>391</v>
      </c>
      <c r="G114" s="91">
        <v>40159485720</v>
      </c>
      <c r="H114" s="92">
        <v>20311</v>
      </c>
      <c r="I114" s="88">
        <v>70</v>
      </c>
      <c r="J114" s="88" t="s">
        <v>51</v>
      </c>
      <c r="K114" s="88" t="s">
        <v>80</v>
      </c>
      <c r="L114" s="88" t="s">
        <v>87</v>
      </c>
      <c r="M114" s="88"/>
      <c r="N114" s="88" t="s">
        <v>91</v>
      </c>
      <c r="O114" s="93" t="s">
        <v>392</v>
      </c>
      <c r="P114" s="94" t="s">
        <v>56</v>
      </c>
      <c r="Q114" s="142" t="s">
        <v>68</v>
      </c>
      <c r="R114" s="95">
        <v>46154</v>
      </c>
      <c r="S114" s="96"/>
      <c r="T114" s="96" t="s">
        <v>69</v>
      </c>
      <c r="U114" s="96" t="s">
        <v>70</v>
      </c>
      <c r="V114" s="92">
        <v>46153</v>
      </c>
      <c r="W114" s="92">
        <v>46154</v>
      </c>
      <c r="X114" s="92" t="s">
        <v>71</v>
      </c>
      <c r="Y114" s="97"/>
      <c r="Z114" s="88" t="s">
        <v>72</v>
      </c>
      <c r="AA114" s="96">
        <v>46163.527777777781</v>
      </c>
      <c r="AB114" s="88"/>
      <c r="AC114" s="119"/>
      <c r="AD114" s="88"/>
      <c r="AE114" s="88"/>
      <c r="AF114" s="98"/>
      <c r="AG114" s="98"/>
      <c r="AH114" s="98"/>
      <c r="AI114" s="99" t="s">
        <v>61</v>
      </c>
      <c r="AJ114" s="99" t="s">
        <v>61</v>
      </c>
      <c r="AK114" s="99" t="s">
        <v>61</v>
      </c>
      <c r="AL114" s="44" t="s">
        <v>62</v>
      </c>
      <c r="AM114" s="196" t="str">
        <f>MONTH(B114)&amp;"/"&amp;YEAR(B114)</f>
        <v>5/2026</v>
      </c>
      <c r="AN114" s="44">
        <f>WEEKNUM(B114)-WEEKNUM(EOMONTH(B114,-1)+1)+1</f>
        <v>2</v>
      </c>
      <c r="AO114" s="44" t="str">
        <f>MONTH(R114)&amp;"/"&amp;YEAR(R114)</f>
        <v>5/2026</v>
      </c>
      <c r="AP114" s="44">
        <f>WEEKNUM(R114)-WEEKNUM(EOMONTH(R114,-1)+1)+1</f>
        <v>3</v>
      </c>
      <c r="AQ114" s="44">
        <f>IF(AU114="S",IF(Q114="1. Aceitou o programa",R114-B114,0),0)</f>
        <v>7</v>
      </c>
      <c r="AR114" s="44">
        <f>IF(AU114="S",IF(AND(S114&lt;&gt;"",R114&lt;&gt;""),S114-R114,0),0)</f>
        <v>0</v>
      </c>
      <c r="AS114" s="44">
        <f>IF(AU114="S",IF(Q114="1. Aceitou o programa",IF(OR(X114="Não se Aplica",X114=""),IF(OR(W114="Não se Aplica",W114=""),0,W114-V114),AVERAGE(X114-W114,W114-V114)),0),0)</f>
        <v>1</v>
      </c>
      <c r="AT114" s="44">
        <f>IF(AU114="S",IF(AND(Q114="1. Aceitou o programa",AB114="Realizada"),IFERROR(IF(AA114="",0,AA114-R114),0),0),0)</f>
        <v>0</v>
      </c>
      <c r="AU114" s="44" t="str">
        <f>_xlfn.XLOOKUP(U114,'Lista Suspensa'!$AA$20:$AA$23,'Lista Suspensa'!$AB$20:$AB$23,"N/A")</f>
        <v>S</v>
      </c>
    </row>
    <row r="115" spans="1:47" ht="12" hidden="1" customHeight="1">
      <c r="A115" s="86" t="s">
        <v>47</v>
      </c>
      <c r="B115" s="87">
        <v>46147</v>
      </c>
      <c r="C115" s="88" t="s">
        <v>48</v>
      </c>
      <c r="D115" s="88" t="s">
        <v>49</v>
      </c>
      <c r="E115" s="89">
        <v>301215790</v>
      </c>
      <c r="F115" s="218" t="s">
        <v>393</v>
      </c>
      <c r="G115" s="91">
        <v>66024307853</v>
      </c>
      <c r="H115" s="92">
        <v>13611</v>
      </c>
      <c r="I115" s="88">
        <v>89</v>
      </c>
      <c r="J115" s="88" t="s">
        <v>51</v>
      </c>
      <c r="K115" s="88" t="s">
        <v>52</v>
      </c>
      <c r="L115" s="88" t="s">
        <v>53</v>
      </c>
      <c r="M115" s="88"/>
      <c r="N115" s="88" t="s">
        <v>99</v>
      </c>
      <c r="O115" s="93" t="s">
        <v>394</v>
      </c>
      <c r="P115" s="94" t="s">
        <v>56</v>
      </c>
      <c r="Q115" s="142" t="s">
        <v>57</v>
      </c>
      <c r="R115" s="95"/>
      <c r="S115" s="96">
        <v>46170</v>
      </c>
      <c r="T115" s="96" t="s">
        <v>58</v>
      </c>
      <c r="U115" s="96" t="s">
        <v>59</v>
      </c>
      <c r="V115" s="92">
        <v>46153</v>
      </c>
      <c r="W115" s="92">
        <v>46154</v>
      </c>
      <c r="X115" s="92">
        <v>46164</v>
      </c>
      <c r="Y115" s="97"/>
      <c r="Z115" s="88"/>
      <c r="AA115" s="96"/>
      <c r="AB115" s="88"/>
      <c r="AC115" s="119"/>
      <c r="AD115" s="88"/>
      <c r="AE115" s="88"/>
      <c r="AF115" s="98"/>
      <c r="AG115" s="98"/>
      <c r="AH115" s="98"/>
      <c r="AI115" s="99"/>
      <c r="AJ115" s="99"/>
      <c r="AK115" s="99"/>
      <c r="AL115" s="44" t="s">
        <v>62</v>
      </c>
      <c r="AM115" s="196" t="str">
        <f>MONTH(B115)&amp;"/"&amp;YEAR(B115)</f>
        <v>5/2026</v>
      </c>
      <c r="AN115" s="44">
        <f>WEEKNUM(B115)-WEEKNUM(EOMONTH(B115,-1)+1)+1</f>
        <v>2</v>
      </c>
      <c r="AO115" s="44" t="str">
        <f>MONTH(R115)&amp;"/"&amp;YEAR(R115)</f>
        <v>1/1900</v>
      </c>
      <c r="AP115" s="44" t="e">
        <f>WEEKNUM(R115)-WEEKNUM(EOMONTH(R115,-1)+1)+1</f>
        <v>#NUM!</v>
      </c>
      <c r="AQ115" s="44">
        <f>IF(AU115="S",IF(Q115="1. Aceitou o programa",R115-B115,0),0)</f>
        <v>0</v>
      </c>
      <c r="AR115" s="44">
        <f>IF(AU115="S",IF(AND(S115&lt;&gt;"",R115&lt;&gt;""),S115-R115,0),0)</f>
        <v>0</v>
      </c>
      <c r="AS115" s="44">
        <f>IF(AU115="S",IF(Q115="1. Aceitou o programa",IF(OR(X115="Não se Aplica",X115=""),IF(OR(W115="Não se Aplica",W115=""),0,W115-V115),AVERAGE(X115-W115,W115-V115)),0),0)</f>
        <v>0</v>
      </c>
      <c r="AT115" s="44">
        <f>IF(AU115="S",IF(AND(Q115="1. Aceitou o programa",AB115="Realizada"),IFERROR(IF(AA115="",0,AA115-R115),0),0),0)</f>
        <v>0</v>
      </c>
      <c r="AU115" s="44" t="str">
        <f>_xlfn.XLOOKUP(U115,'Lista Suspensa'!$AA$20:$AA$23,'Lista Suspensa'!$AB$20:$AB$23,"N/A")</f>
        <v>S</v>
      </c>
    </row>
    <row r="116" spans="1:47" ht="12" hidden="1" customHeight="1">
      <c r="A116" s="86" t="s">
        <v>47</v>
      </c>
      <c r="B116" s="87">
        <v>46147</v>
      </c>
      <c r="C116" s="88" t="s">
        <v>48</v>
      </c>
      <c r="D116" s="88" t="s">
        <v>49</v>
      </c>
      <c r="E116" s="89">
        <v>86023266</v>
      </c>
      <c r="F116" s="218" t="s">
        <v>395</v>
      </c>
      <c r="G116" s="91">
        <v>79484310710</v>
      </c>
      <c r="H116" s="92">
        <v>23652</v>
      </c>
      <c r="I116" s="88">
        <v>61</v>
      </c>
      <c r="J116" s="88" t="s">
        <v>51</v>
      </c>
      <c r="K116" s="88" t="s">
        <v>80</v>
      </c>
      <c r="L116" s="88" t="s">
        <v>87</v>
      </c>
      <c r="M116" s="88"/>
      <c r="N116" s="88" t="s">
        <v>122</v>
      </c>
      <c r="O116" s="93" t="s">
        <v>396</v>
      </c>
      <c r="P116" s="94" t="s">
        <v>56</v>
      </c>
      <c r="Q116" s="142" t="s">
        <v>68</v>
      </c>
      <c r="R116" s="95">
        <v>46153</v>
      </c>
      <c r="S116" s="96"/>
      <c r="T116" s="96" t="s">
        <v>69</v>
      </c>
      <c r="U116" s="96" t="s">
        <v>70</v>
      </c>
      <c r="V116" s="92">
        <v>46153</v>
      </c>
      <c r="W116" s="92" t="s">
        <v>71</v>
      </c>
      <c r="X116" s="92" t="s">
        <v>71</v>
      </c>
      <c r="Y116" s="97"/>
      <c r="Z116" s="88" t="s">
        <v>72</v>
      </c>
      <c r="AA116" s="96" t="s">
        <v>397</v>
      </c>
      <c r="AB116" s="88" t="s">
        <v>74</v>
      </c>
      <c r="AC116" s="119"/>
      <c r="AD116" s="88" t="s">
        <v>75</v>
      </c>
      <c r="AE116" s="88">
        <v>64</v>
      </c>
      <c r="AF116" s="98" t="s">
        <v>85</v>
      </c>
      <c r="AG116" s="98" t="s">
        <v>85</v>
      </c>
      <c r="AH116" s="98" t="s">
        <v>77</v>
      </c>
      <c r="AI116" s="99" t="s">
        <v>61</v>
      </c>
      <c r="AJ116" s="99" t="s">
        <v>61</v>
      </c>
      <c r="AK116" s="99" t="s">
        <v>61</v>
      </c>
      <c r="AL116" s="44" t="s">
        <v>62</v>
      </c>
      <c r="AM116" s="196" t="str">
        <f>MONTH(B116)&amp;"/"&amp;YEAR(B116)</f>
        <v>5/2026</v>
      </c>
      <c r="AN116" s="44">
        <f>WEEKNUM(B116)-WEEKNUM(EOMONTH(B116,-1)+1)+1</f>
        <v>2</v>
      </c>
      <c r="AO116" s="44" t="str">
        <f>MONTH(R116)&amp;"/"&amp;YEAR(R116)</f>
        <v>5/2026</v>
      </c>
      <c r="AP116" s="44">
        <f>WEEKNUM(R116)-WEEKNUM(EOMONTH(R116,-1)+1)+1</f>
        <v>3</v>
      </c>
      <c r="AQ116" s="44">
        <f>IF(AU116="S",IF(Q116="1. Aceitou o programa",R116-B116,0),0)</f>
        <v>6</v>
      </c>
      <c r="AR116" s="44">
        <f>IF(AU116="S",IF(AND(S116&lt;&gt;"",R116&lt;&gt;""),S116-R116,0),0)</f>
        <v>0</v>
      </c>
      <c r="AS116" s="44">
        <f>IF(AU116="S",IF(Q116="1. Aceitou o programa",IF(OR(X116="Não se Aplica",X116=""),IF(OR(W116="Não se Aplica",W116=""),0,W116-V116),AVERAGE(X116-W116,W116-V116)),0),0)</f>
        <v>0</v>
      </c>
      <c r="AT116" s="44">
        <f>IF(AU116="S",IF(AND(Q116="1. Aceitou o programa",AB116="Realizada"),IFERROR(IF(AA116="",0,AA116-R116),0),0),0)</f>
        <v>7.6944444444452529</v>
      </c>
      <c r="AU116" s="44" t="str">
        <f>_xlfn.XLOOKUP(U116,'Lista Suspensa'!$AA$20:$AA$23,'Lista Suspensa'!$AB$20:$AB$23,"N/A")</f>
        <v>S</v>
      </c>
    </row>
    <row r="117" spans="1:47" ht="12" hidden="1" customHeight="1">
      <c r="A117" s="86" t="s">
        <v>47</v>
      </c>
      <c r="B117" s="87">
        <v>46147</v>
      </c>
      <c r="C117" s="88" t="s">
        <v>48</v>
      </c>
      <c r="D117" s="88" t="s">
        <v>49</v>
      </c>
      <c r="E117" s="89">
        <v>72281489</v>
      </c>
      <c r="F117" s="218" t="s">
        <v>398</v>
      </c>
      <c r="G117" s="91">
        <v>44322925715</v>
      </c>
      <c r="H117" s="92">
        <v>20752</v>
      </c>
      <c r="I117" s="88">
        <v>69</v>
      </c>
      <c r="J117" s="88" t="s">
        <v>51</v>
      </c>
      <c r="K117" s="88" t="s">
        <v>80</v>
      </c>
      <c r="L117" s="88" t="s">
        <v>87</v>
      </c>
      <c r="M117" s="88"/>
      <c r="N117" s="88" t="s">
        <v>110</v>
      </c>
      <c r="O117" s="93" t="s">
        <v>399</v>
      </c>
      <c r="P117" s="94" t="s">
        <v>56</v>
      </c>
      <c r="Q117" s="142" t="s">
        <v>68</v>
      </c>
      <c r="R117" s="95">
        <v>46153</v>
      </c>
      <c r="S117" s="96"/>
      <c r="T117" s="96" t="s">
        <v>69</v>
      </c>
      <c r="U117" s="96" t="s">
        <v>70</v>
      </c>
      <c r="V117" s="92">
        <v>46153</v>
      </c>
      <c r="W117" s="92" t="s">
        <v>71</v>
      </c>
      <c r="X117" s="92" t="s">
        <v>71</v>
      </c>
      <c r="Y117" s="97"/>
      <c r="Z117" s="88" t="s">
        <v>72</v>
      </c>
      <c r="AA117" s="96" t="s">
        <v>400</v>
      </c>
      <c r="AB117" s="88" t="s">
        <v>105</v>
      </c>
      <c r="AC117" s="119">
        <v>46176</v>
      </c>
      <c r="AD117" s="88"/>
      <c r="AE117" s="88"/>
      <c r="AF117" s="98"/>
      <c r="AG117" s="98"/>
      <c r="AH117" s="98"/>
      <c r="AI117" s="99" t="s">
        <v>61</v>
      </c>
      <c r="AJ117" s="99" t="s">
        <v>61</v>
      </c>
      <c r="AK117" s="99" t="s">
        <v>61</v>
      </c>
      <c r="AL117" s="44" t="s">
        <v>62</v>
      </c>
      <c r="AM117" s="196" t="str">
        <f>MONTH(B117)&amp;"/"&amp;YEAR(B117)</f>
        <v>5/2026</v>
      </c>
      <c r="AN117" s="44">
        <f>WEEKNUM(B117)-WEEKNUM(EOMONTH(B117,-1)+1)+1</f>
        <v>2</v>
      </c>
      <c r="AO117" s="44" t="str">
        <f>MONTH(R117)&amp;"/"&amp;YEAR(R117)</f>
        <v>5/2026</v>
      </c>
      <c r="AP117" s="44">
        <f>WEEKNUM(R117)-WEEKNUM(EOMONTH(R117,-1)+1)+1</f>
        <v>3</v>
      </c>
      <c r="AQ117" s="44">
        <f>IF(AU117="S",IF(Q117="1. Aceitou o programa",R117-B117,0),0)</f>
        <v>6</v>
      </c>
      <c r="AR117" s="44">
        <f>IF(AU117="S",IF(AND(S117&lt;&gt;"",R117&lt;&gt;""),S117-R117,0),0)</f>
        <v>0</v>
      </c>
      <c r="AS117" s="44">
        <f>IF(AU117="S",IF(Q117="1. Aceitou o programa",IF(OR(X117="Não se Aplica",X117=""),IF(OR(W117="Não se Aplica",W117=""),0,W117-V117),AVERAGE(X117-W117,W117-V117)),0),0)</f>
        <v>0</v>
      </c>
      <c r="AT117" s="44">
        <f>IF(AU117="S",IF(AND(Q117="1. Aceitou o programa",AB117="Realizada"),IFERROR(IF(AA117="",0,AA117-R117),0),0),0)</f>
        <v>0</v>
      </c>
      <c r="AU117" s="44" t="str">
        <f>_xlfn.XLOOKUP(U117,'Lista Suspensa'!$AA$20:$AA$23,'Lista Suspensa'!$AB$20:$AB$23,"N/A")</f>
        <v>S</v>
      </c>
    </row>
    <row r="118" spans="1:47" ht="12" hidden="1" customHeight="1">
      <c r="A118" s="86" t="s">
        <v>47</v>
      </c>
      <c r="B118" s="87">
        <v>46147</v>
      </c>
      <c r="C118" s="88" t="s">
        <v>48</v>
      </c>
      <c r="D118" s="88" t="s">
        <v>49</v>
      </c>
      <c r="E118" s="89">
        <v>86150596</v>
      </c>
      <c r="F118" s="218" t="s">
        <v>401</v>
      </c>
      <c r="G118" s="91">
        <v>34365877704</v>
      </c>
      <c r="H118" s="92">
        <v>17490</v>
      </c>
      <c r="I118" s="88">
        <v>78</v>
      </c>
      <c r="J118" s="88" t="s">
        <v>51</v>
      </c>
      <c r="K118" s="88" t="s">
        <v>80</v>
      </c>
      <c r="L118" s="88" t="s">
        <v>87</v>
      </c>
      <c r="M118" s="88"/>
      <c r="N118" s="88" t="s">
        <v>91</v>
      </c>
      <c r="O118" s="93" t="s">
        <v>402</v>
      </c>
      <c r="P118" s="94" t="s">
        <v>56</v>
      </c>
      <c r="Q118" s="142" t="s">
        <v>68</v>
      </c>
      <c r="R118" s="95">
        <v>46153</v>
      </c>
      <c r="S118" s="96"/>
      <c r="T118" s="96" t="s">
        <v>69</v>
      </c>
      <c r="U118" s="96" t="s">
        <v>70</v>
      </c>
      <c r="V118" s="92">
        <v>46153</v>
      </c>
      <c r="W118" s="92" t="s">
        <v>71</v>
      </c>
      <c r="X118" s="92" t="s">
        <v>71</v>
      </c>
      <c r="Y118" s="97"/>
      <c r="Z118" s="88" t="s">
        <v>72</v>
      </c>
      <c r="AA118" s="96" t="s">
        <v>403</v>
      </c>
      <c r="AB118" s="88" t="s">
        <v>74</v>
      </c>
      <c r="AC118" s="88"/>
      <c r="AD118" s="88" t="s">
        <v>97</v>
      </c>
      <c r="AE118" s="88">
        <v>58</v>
      </c>
      <c r="AF118" s="98" t="s">
        <v>85</v>
      </c>
      <c r="AG118" s="98" t="s">
        <v>85</v>
      </c>
      <c r="AH118" s="98" t="s">
        <v>77</v>
      </c>
      <c r="AI118" s="99" t="s">
        <v>61</v>
      </c>
      <c r="AJ118" s="99" t="s">
        <v>61</v>
      </c>
      <c r="AK118" s="99" t="s">
        <v>61</v>
      </c>
      <c r="AL118" s="44" t="s">
        <v>62</v>
      </c>
      <c r="AM118" s="196" t="str">
        <f>MONTH(B118)&amp;"/"&amp;YEAR(B118)</f>
        <v>5/2026</v>
      </c>
      <c r="AN118" s="44">
        <f>WEEKNUM(B118)-WEEKNUM(EOMONTH(B118,-1)+1)+1</f>
        <v>2</v>
      </c>
      <c r="AO118" s="44" t="str">
        <f>MONTH(R118)&amp;"/"&amp;YEAR(R118)</f>
        <v>5/2026</v>
      </c>
      <c r="AP118" s="44">
        <f>WEEKNUM(R118)-WEEKNUM(EOMONTH(R118,-1)+1)+1</f>
        <v>3</v>
      </c>
      <c r="AQ118" s="44">
        <f>IF(AU118="S",IF(Q118="1. Aceitou o programa",R118-B118,0),0)</f>
        <v>6</v>
      </c>
      <c r="AR118" s="44">
        <f>IF(AU118="S",IF(AND(S118&lt;&gt;"",R118&lt;&gt;""),S118-R118,0),0)</f>
        <v>0</v>
      </c>
      <c r="AS118" s="44">
        <f>IF(AU118="S",IF(Q118="1. Aceitou o programa",IF(OR(X118="Não se Aplica",X118=""),IF(OR(W118="Não se Aplica",W118=""),0,W118-V118),AVERAGE(X118-W118,W118-V118)),0),0)</f>
        <v>0</v>
      </c>
      <c r="AT118" s="44">
        <f>IF(AU118="S",IF(AND(Q118="1. Aceitou o programa",AC118="Realizada"),IFERROR(IF(AA118="",0,AA118-R118),0),0),0)</f>
        <v>0</v>
      </c>
      <c r="AU118" s="44" t="str">
        <f>_xlfn.XLOOKUP(U118,'Lista Suspensa'!$AA$20:$AA$23,'Lista Suspensa'!$AB$20:$AB$23,"N/A")</f>
        <v>S</v>
      </c>
    </row>
    <row r="119" spans="1:47" ht="12" hidden="1" customHeight="1">
      <c r="A119" s="86" t="s">
        <v>47</v>
      </c>
      <c r="B119" s="87">
        <v>46147</v>
      </c>
      <c r="C119" s="88" t="s">
        <v>48</v>
      </c>
      <c r="D119" s="88" t="s">
        <v>49</v>
      </c>
      <c r="E119" s="89">
        <v>86797385</v>
      </c>
      <c r="F119" s="218" t="s">
        <v>404</v>
      </c>
      <c r="G119" s="91">
        <v>65604091634</v>
      </c>
      <c r="H119" s="92">
        <v>22997</v>
      </c>
      <c r="I119" s="88">
        <v>63</v>
      </c>
      <c r="J119" s="88" t="s">
        <v>51</v>
      </c>
      <c r="K119" s="88" t="s">
        <v>80</v>
      </c>
      <c r="L119" s="88" t="s">
        <v>405</v>
      </c>
      <c r="M119" s="88"/>
      <c r="N119" s="88" t="s">
        <v>54</v>
      </c>
      <c r="O119" s="93" t="s">
        <v>406</v>
      </c>
      <c r="P119" s="94" t="s">
        <v>56</v>
      </c>
      <c r="Q119" s="142" t="s">
        <v>68</v>
      </c>
      <c r="R119" s="95">
        <v>46153</v>
      </c>
      <c r="S119" s="96"/>
      <c r="T119" s="96" t="s">
        <v>69</v>
      </c>
      <c r="U119" s="96" t="s">
        <v>70</v>
      </c>
      <c r="V119" s="92">
        <v>46153</v>
      </c>
      <c r="W119" s="92" t="s">
        <v>71</v>
      </c>
      <c r="X119" s="92" t="s">
        <v>71</v>
      </c>
      <c r="Y119" s="97"/>
      <c r="Z119" s="88" t="s">
        <v>72</v>
      </c>
      <c r="AA119" s="96" t="s">
        <v>407</v>
      </c>
      <c r="AB119" s="88" t="s">
        <v>105</v>
      </c>
      <c r="AC119" s="119">
        <v>46189</v>
      </c>
      <c r="AD119" s="88"/>
      <c r="AE119" s="88"/>
      <c r="AF119" s="98"/>
      <c r="AG119" s="98"/>
      <c r="AH119" s="98"/>
      <c r="AI119" s="99" t="s">
        <v>61</v>
      </c>
      <c r="AJ119" s="99" t="s">
        <v>61</v>
      </c>
      <c r="AK119" s="99" t="s">
        <v>61</v>
      </c>
      <c r="AL119" s="44" t="s">
        <v>62</v>
      </c>
      <c r="AM119" s="196" t="str">
        <f>MONTH(B119)&amp;"/"&amp;YEAR(B119)</f>
        <v>5/2026</v>
      </c>
      <c r="AN119" s="44">
        <f>WEEKNUM(B119)-WEEKNUM(EOMONTH(B119,-1)+1)+1</f>
        <v>2</v>
      </c>
      <c r="AO119" s="44" t="str">
        <f>MONTH(R119)&amp;"/"&amp;YEAR(R119)</f>
        <v>5/2026</v>
      </c>
      <c r="AP119" s="44">
        <f>WEEKNUM(R119)-WEEKNUM(EOMONTH(R119,-1)+1)+1</f>
        <v>3</v>
      </c>
      <c r="AQ119" s="44">
        <f>IF(AU119="S",IF(Q119="1. Aceitou o programa",R119-B119,0),0)</f>
        <v>6</v>
      </c>
      <c r="AR119" s="44">
        <f>IF(AU119="S",IF(AND(S119&lt;&gt;"",R119&lt;&gt;""),S119-R119,0),0)</f>
        <v>0</v>
      </c>
      <c r="AS119" s="44">
        <f>IF(AU119="S",IF(Q119="1. Aceitou o programa",IF(OR(X119="Não se Aplica",X119=""),IF(OR(W119="Não se Aplica",W119=""),0,W119-V119),AVERAGE(X119-W119,W119-V119)),0),0)</f>
        <v>0</v>
      </c>
      <c r="AT119" s="44">
        <f>IF(AU119="S",IF(AND(Q119="1. Aceitou o programa",AB119="Realizada"),IFERROR(IF(AA119="",0,AA119-R119),0),0),0)</f>
        <v>0</v>
      </c>
      <c r="AU119" s="44" t="str">
        <f>_xlfn.XLOOKUP(U119,'Lista Suspensa'!$AA$20:$AA$23,'Lista Suspensa'!$AB$20:$AB$23,"N/A")</f>
        <v>S</v>
      </c>
    </row>
    <row r="120" spans="1:47" ht="12" hidden="1" customHeight="1">
      <c r="A120" s="86" t="s">
        <v>47</v>
      </c>
      <c r="B120" s="87">
        <v>46147</v>
      </c>
      <c r="C120" s="88" t="s">
        <v>48</v>
      </c>
      <c r="D120" s="88" t="s">
        <v>49</v>
      </c>
      <c r="E120" s="89">
        <v>81820282</v>
      </c>
      <c r="F120" s="218" t="s">
        <v>408</v>
      </c>
      <c r="G120" s="91">
        <v>65043286768</v>
      </c>
      <c r="H120" s="92">
        <v>22195</v>
      </c>
      <c r="I120" s="88">
        <v>65</v>
      </c>
      <c r="J120" s="88" t="s">
        <v>51</v>
      </c>
      <c r="K120" s="88" t="s">
        <v>80</v>
      </c>
      <c r="L120" s="88" t="s">
        <v>186</v>
      </c>
      <c r="M120" s="88"/>
      <c r="N120" s="88" t="s">
        <v>118</v>
      </c>
      <c r="O120" s="93" t="s">
        <v>409</v>
      </c>
      <c r="P120" s="94" t="s">
        <v>56</v>
      </c>
      <c r="Q120" s="142" t="s">
        <v>57</v>
      </c>
      <c r="R120" s="95"/>
      <c r="S120" s="96">
        <v>46170</v>
      </c>
      <c r="T120" s="96" t="s">
        <v>58</v>
      </c>
      <c r="U120" s="96" t="s">
        <v>59</v>
      </c>
      <c r="V120" s="92">
        <v>46153</v>
      </c>
      <c r="W120" s="92">
        <v>46154</v>
      </c>
      <c r="X120" s="92">
        <v>46164</v>
      </c>
      <c r="Y120" s="97"/>
      <c r="Z120" s="88"/>
      <c r="AA120" s="96"/>
      <c r="AB120" s="88"/>
      <c r="AC120" s="119"/>
      <c r="AD120" s="88"/>
      <c r="AE120" s="88"/>
      <c r="AF120" s="98"/>
      <c r="AG120" s="98"/>
      <c r="AH120" s="98"/>
      <c r="AI120" s="99"/>
      <c r="AJ120" s="99"/>
      <c r="AK120" s="99"/>
      <c r="AL120" s="44" t="s">
        <v>62</v>
      </c>
      <c r="AM120" s="196" t="str">
        <f>MONTH(B120)&amp;"/"&amp;YEAR(B120)</f>
        <v>5/2026</v>
      </c>
      <c r="AN120" s="44">
        <f>WEEKNUM(B120)-WEEKNUM(EOMONTH(B120,-1)+1)+1</f>
        <v>2</v>
      </c>
      <c r="AO120" s="44" t="str">
        <f>MONTH(R120)&amp;"/"&amp;YEAR(R120)</f>
        <v>1/1900</v>
      </c>
      <c r="AP120" s="44" t="e">
        <f>WEEKNUM(R120)-WEEKNUM(EOMONTH(R120,-1)+1)+1</f>
        <v>#NUM!</v>
      </c>
      <c r="AQ120" s="44">
        <f>IF(AU120="S",IF(Q120="1. Aceitou o programa",R120-B120,0),0)</f>
        <v>0</v>
      </c>
      <c r="AR120" s="44">
        <f>IF(AU120="S",IF(AND(S120&lt;&gt;"",R120&lt;&gt;""),S120-R120,0),0)</f>
        <v>0</v>
      </c>
      <c r="AS120" s="44">
        <f>IF(AU120="S",IF(Q120="1. Aceitou o programa",IF(OR(X120="Não se Aplica",X120=""),IF(OR(W120="Não se Aplica",W120=""),0,W120-V120),AVERAGE(X120-W120,W120-V120)),0),0)</f>
        <v>0</v>
      </c>
      <c r="AT120" s="44">
        <f>IF(AU120="S",IF(AND(Q120="1. Aceitou o programa",AB120="Realizada"),IFERROR(IF(AA120="",0,AA120-R120),0),0),0)</f>
        <v>0</v>
      </c>
      <c r="AU120" s="44" t="str">
        <f>_xlfn.XLOOKUP(U120,'Lista Suspensa'!$AA$20:$AA$23,'Lista Suspensa'!$AB$20:$AB$23,"N/A")</f>
        <v>S</v>
      </c>
    </row>
    <row r="121" spans="1:47" ht="12" hidden="1" customHeight="1">
      <c r="A121" s="86" t="s">
        <v>47</v>
      </c>
      <c r="B121" s="87">
        <v>46147</v>
      </c>
      <c r="C121" s="88" t="s">
        <v>48</v>
      </c>
      <c r="D121" s="88" t="s">
        <v>49</v>
      </c>
      <c r="E121" s="89">
        <v>743833562</v>
      </c>
      <c r="F121" s="218" t="s">
        <v>410</v>
      </c>
      <c r="G121" s="91">
        <v>90247337749</v>
      </c>
      <c r="H121" s="92">
        <v>24161</v>
      </c>
      <c r="I121" s="88">
        <v>60</v>
      </c>
      <c r="J121" s="88" t="s">
        <v>51</v>
      </c>
      <c r="K121" s="88" t="s">
        <v>80</v>
      </c>
      <c r="L121" s="88" t="s">
        <v>87</v>
      </c>
      <c r="M121" s="88"/>
      <c r="N121" s="88" t="s">
        <v>138</v>
      </c>
      <c r="O121" s="93" t="s">
        <v>411</v>
      </c>
      <c r="P121" s="94" t="s">
        <v>56</v>
      </c>
      <c r="Q121" s="142" t="s">
        <v>68</v>
      </c>
      <c r="R121" s="95">
        <v>46154</v>
      </c>
      <c r="S121" s="96"/>
      <c r="T121" s="96" t="s">
        <v>69</v>
      </c>
      <c r="U121" s="96" t="s">
        <v>70</v>
      </c>
      <c r="V121" s="92">
        <v>46153</v>
      </c>
      <c r="W121" s="92">
        <v>46154</v>
      </c>
      <c r="X121" s="92" t="s">
        <v>71</v>
      </c>
      <c r="Y121" s="97"/>
      <c r="Z121" s="88" t="s">
        <v>72</v>
      </c>
      <c r="AA121" s="96" t="s">
        <v>412</v>
      </c>
      <c r="AB121" s="88" t="s">
        <v>105</v>
      </c>
      <c r="AC121" s="119">
        <v>46176</v>
      </c>
      <c r="AD121" s="88"/>
      <c r="AE121" s="88"/>
      <c r="AF121" s="98"/>
      <c r="AG121" s="98"/>
      <c r="AH121" s="98"/>
      <c r="AI121" s="99" t="s">
        <v>61</v>
      </c>
      <c r="AJ121" s="99" t="s">
        <v>61</v>
      </c>
      <c r="AK121" s="99" t="s">
        <v>61</v>
      </c>
      <c r="AL121" s="44" t="s">
        <v>62</v>
      </c>
      <c r="AM121" s="196" t="str">
        <f>MONTH(B121)&amp;"/"&amp;YEAR(B121)</f>
        <v>5/2026</v>
      </c>
      <c r="AN121" s="44">
        <f>WEEKNUM(B121)-WEEKNUM(EOMONTH(B121,-1)+1)+1</f>
        <v>2</v>
      </c>
      <c r="AO121" s="44" t="str">
        <f>MONTH(R121)&amp;"/"&amp;YEAR(R121)</f>
        <v>5/2026</v>
      </c>
      <c r="AP121" s="44">
        <f>WEEKNUM(R121)-WEEKNUM(EOMONTH(R121,-1)+1)+1</f>
        <v>3</v>
      </c>
      <c r="AQ121" s="44">
        <f>IF(AU121="S",IF(Q121="1. Aceitou o programa",R121-B121,0),0)</f>
        <v>7</v>
      </c>
      <c r="AR121" s="44">
        <f>IF(AU121="S",IF(AND(S121&lt;&gt;"",R121&lt;&gt;""),S121-R121,0),0)</f>
        <v>0</v>
      </c>
      <c r="AS121" s="44">
        <f>IF(AU121="S",IF(Q121="1. Aceitou o programa",IF(OR(X121="Não se Aplica",X121=""),IF(OR(W121="Não se Aplica",W121=""),0,W121-V121),AVERAGE(X121-W121,W121-V121)),0),0)</f>
        <v>1</v>
      </c>
      <c r="AT121" s="44">
        <f>IF(AU121="S",IF(AND(Q121="1. Aceitou o programa",AB121="Realizada"),IFERROR(IF(AA121="",0,AA121-R121),0),0),0)</f>
        <v>0</v>
      </c>
      <c r="AU121" s="44" t="str">
        <f>_xlfn.XLOOKUP(U121,'Lista Suspensa'!$AA$20:$AA$23,'Lista Suspensa'!$AB$20:$AB$23,"N/A")</f>
        <v>S</v>
      </c>
    </row>
    <row r="122" spans="1:47" ht="12" hidden="1" customHeight="1">
      <c r="A122" s="86" t="s">
        <v>47</v>
      </c>
      <c r="B122" s="87">
        <v>46147</v>
      </c>
      <c r="C122" s="88" t="s">
        <v>48</v>
      </c>
      <c r="D122" s="88" t="s">
        <v>49</v>
      </c>
      <c r="E122" s="89">
        <v>84261722</v>
      </c>
      <c r="F122" s="218" t="s">
        <v>413</v>
      </c>
      <c r="G122" s="91">
        <v>47669993553</v>
      </c>
      <c r="H122" s="92">
        <v>25067</v>
      </c>
      <c r="I122" s="88">
        <v>57</v>
      </c>
      <c r="J122" s="88" t="s">
        <v>51</v>
      </c>
      <c r="K122" s="88" t="s">
        <v>52</v>
      </c>
      <c r="L122" s="88" t="s">
        <v>414</v>
      </c>
      <c r="M122" s="88"/>
      <c r="N122" s="88" t="s">
        <v>162</v>
      </c>
      <c r="O122" s="93" t="s">
        <v>415</v>
      </c>
      <c r="P122" s="94" t="s">
        <v>56</v>
      </c>
      <c r="Q122" s="142" t="s">
        <v>68</v>
      </c>
      <c r="R122" s="95">
        <v>46153</v>
      </c>
      <c r="S122" s="96"/>
      <c r="T122" s="96" t="s">
        <v>69</v>
      </c>
      <c r="U122" s="96" t="s">
        <v>70</v>
      </c>
      <c r="V122" s="92">
        <v>46153</v>
      </c>
      <c r="W122" s="92" t="s">
        <v>71</v>
      </c>
      <c r="X122" s="92" t="s">
        <v>71</v>
      </c>
      <c r="Y122" s="97"/>
      <c r="Z122" s="88" t="s">
        <v>72</v>
      </c>
      <c r="AA122" s="96" t="s">
        <v>416</v>
      </c>
      <c r="AB122" s="88" t="s">
        <v>105</v>
      </c>
      <c r="AC122" s="119">
        <v>46176</v>
      </c>
      <c r="AD122" s="88"/>
      <c r="AE122" s="88"/>
      <c r="AF122" s="98"/>
      <c r="AG122" s="98"/>
      <c r="AH122" s="98"/>
      <c r="AI122" s="99" t="s">
        <v>61</v>
      </c>
      <c r="AJ122" s="99" t="s">
        <v>61</v>
      </c>
      <c r="AK122" s="99" t="s">
        <v>61</v>
      </c>
      <c r="AL122" s="44" t="s">
        <v>62</v>
      </c>
      <c r="AM122" s="196" t="str">
        <f>MONTH(B122)&amp;"/"&amp;YEAR(B122)</f>
        <v>5/2026</v>
      </c>
      <c r="AN122" s="44">
        <f>WEEKNUM(B122)-WEEKNUM(EOMONTH(B122,-1)+1)+1</f>
        <v>2</v>
      </c>
      <c r="AO122" s="44" t="str">
        <f>MONTH(R122)&amp;"/"&amp;YEAR(R122)</f>
        <v>5/2026</v>
      </c>
      <c r="AP122" s="44">
        <f>WEEKNUM(R122)-WEEKNUM(EOMONTH(R122,-1)+1)+1</f>
        <v>3</v>
      </c>
      <c r="AQ122" s="44">
        <f>IF(AU122="S",IF(Q122="1. Aceitou o programa",R122-B122,0),0)</f>
        <v>6</v>
      </c>
      <c r="AR122" s="44">
        <f>IF(AU122="S",IF(AND(S122&lt;&gt;"",R122&lt;&gt;""),S122-R122,0),0)</f>
        <v>0</v>
      </c>
      <c r="AS122" s="44">
        <f>IF(AU122="S",IF(Q122="1. Aceitou o programa",IF(OR(X122="Não se Aplica",X122=""),IF(OR(W122="Não se Aplica",W122=""),0,W122-V122),AVERAGE(X122-W122,W122-V122)),0),0)</f>
        <v>0</v>
      </c>
      <c r="AT122" s="44">
        <f>IF(AU122="S",IF(AND(Q122="1. Aceitou o programa",AB122="Realizada"),IFERROR(IF(AA122="",0,AA122-R122),0),0),0)</f>
        <v>0</v>
      </c>
      <c r="AU122" s="44" t="str">
        <f>_xlfn.XLOOKUP(U122,'Lista Suspensa'!$AA$20:$AA$23,'Lista Suspensa'!$AB$20:$AB$23,"N/A")</f>
        <v>S</v>
      </c>
    </row>
    <row r="123" spans="1:47" ht="12" hidden="1" customHeight="1">
      <c r="A123" s="86" t="s">
        <v>47</v>
      </c>
      <c r="B123" s="87">
        <v>46147</v>
      </c>
      <c r="C123" s="88" t="s">
        <v>48</v>
      </c>
      <c r="D123" s="88" t="s">
        <v>49</v>
      </c>
      <c r="E123" s="89">
        <v>96180047</v>
      </c>
      <c r="F123" s="218" t="s">
        <v>417</v>
      </c>
      <c r="G123" s="91">
        <v>9832719763</v>
      </c>
      <c r="H123" s="92">
        <v>30489</v>
      </c>
      <c r="I123" s="88">
        <v>42</v>
      </c>
      <c r="J123" s="88" t="s">
        <v>51</v>
      </c>
      <c r="K123" s="88" t="s">
        <v>80</v>
      </c>
      <c r="L123" s="88" t="s">
        <v>87</v>
      </c>
      <c r="M123" s="88"/>
      <c r="N123" s="88" t="s">
        <v>143</v>
      </c>
      <c r="O123" s="93" t="s">
        <v>418</v>
      </c>
      <c r="P123" s="94" t="s">
        <v>56</v>
      </c>
      <c r="Q123" s="142" t="s">
        <v>68</v>
      </c>
      <c r="R123" s="95">
        <v>46153</v>
      </c>
      <c r="S123" s="96"/>
      <c r="T123" s="96" t="s">
        <v>69</v>
      </c>
      <c r="U123" s="96" t="s">
        <v>70</v>
      </c>
      <c r="V123" s="92">
        <v>46153</v>
      </c>
      <c r="W123" s="92" t="s">
        <v>71</v>
      </c>
      <c r="X123" s="92" t="s">
        <v>71</v>
      </c>
      <c r="Y123" s="97"/>
      <c r="Z123" s="88" t="s">
        <v>72</v>
      </c>
      <c r="AA123" s="96" t="s">
        <v>419</v>
      </c>
      <c r="AB123" s="88"/>
      <c r="AC123" s="119"/>
      <c r="AD123" s="88"/>
      <c r="AE123" s="88"/>
      <c r="AF123" s="98"/>
      <c r="AG123" s="98"/>
      <c r="AH123" s="98"/>
      <c r="AI123" s="99" t="s">
        <v>61</v>
      </c>
      <c r="AJ123" s="99" t="s">
        <v>61</v>
      </c>
      <c r="AK123" s="99" t="s">
        <v>61</v>
      </c>
      <c r="AL123" s="44" t="s">
        <v>62</v>
      </c>
      <c r="AM123" s="196" t="str">
        <f>MONTH(B123)&amp;"/"&amp;YEAR(B123)</f>
        <v>5/2026</v>
      </c>
      <c r="AN123" s="44">
        <f>WEEKNUM(B123)-WEEKNUM(EOMONTH(B123,-1)+1)+1</f>
        <v>2</v>
      </c>
      <c r="AO123" s="44" t="str">
        <f>MONTH(R123)&amp;"/"&amp;YEAR(R123)</f>
        <v>5/2026</v>
      </c>
      <c r="AP123" s="44">
        <f>WEEKNUM(R123)-WEEKNUM(EOMONTH(R123,-1)+1)+1</f>
        <v>3</v>
      </c>
      <c r="AQ123" s="44">
        <f>IF(AU123="S",IF(Q123="1. Aceitou o programa",R123-B123,0),0)</f>
        <v>6</v>
      </c>
      <c r="AR123" s="44">
        <f>IF(AU123="S",IF(AND(S123&lt;&gt;"",R123&lt;&gt;""),S123-R123,0),0)</f>
        <v>0</v>
      </c>
      <c r="AS123" s="44">
        <f>IF(AU123="S",IF(Q123="1. Aceitou o programa",IF(OR(X123="Não se Aplica",X123=""),IF(OR(W123="Não se Aplica",W123=""),0,W123-V123),AVERAGE(X123-W123,W123-V123)),0),0)</f>
        <v>0</v>
      </c>
      <c r="AT123" s="44">
        <f>IF(AU123="S",IF(AND(Q123="1. Aceitou o programa",AB123="Realizada"),IFERROR(IF(AA123="",0,AA123-R123),0),0),0)</f>
        <v>0</v>
      </c>
      <c r="AU123" s="44" t="str">
        <f>_xlfn.XLOOKUP(U123,'Lista Suspensa'!$AA$20:$AA$23,'Lista Suspensa'!$AB$20:$AB$23,"N/A")</f>
        <v>S</v>
      </c>
    </row>
    <row r="124" spans="1:47" ht="12" hidden="1" customHeight="1">
      <c r="A124" s="86" t="s">
        <v>47</v>
      </c>
      <c r="B124" s="87">
        <v>46147</v>
      </c>
      <c r="C124" s="88" t="s">
        <v>48</v>
      </c>
      <c r="D124" s="88" t="s">
        <v>49</v>
      </c>
      <c r="E124" s="89">
        <v>86619182</v>
      </c>
      <c r="F124" s="218" t="s">
        <v>420</v>
      </c>
      <c r="G124" s="91">
        <v>17123070968</v>
      </c>
      <c r="H124" s="92">
        <v>18742</v>
      </c>
      <c r="I124" s="88">
        <v>75</v>
      </c>
      <c r="J124" s="88" t="s">
        <v>51</v>
      </c>
      <c r="K124" s="88" t="s">
        <v>80</v>
      </c>
      <c r="L124" s="88" t="s">
        <v>87</v>
      </c>
      <c r="M124" s="88"/>
      <c r="N124" s="88" t="s">
        <v>122</v>
      </c>
      <c r="O124" s="93" t="s">
        <v>421</v>
      </c>
      <c r="P124" s="94" t="s">
        <v>56</v>
      </c>
      <c r="Q124" s="142" t="s">
        <v>68</v>
      </c>
      <c r="R124" s="95">
        <v>46170</v>
      </c>
      <c r="S124" s="96"/>
      <c r="T124" s="96" t="s">
        <v>69</v>
      </c>
      <c r="U124" s="96" t="s">
        <v>70</v>
      </c>
      <c r="V124" s="92">
        <v>46153</v>
      </c>
      <c r="W124" s="92">
        <v>46154</v>
      </c>
      <c r="X124" s="92">
        <v>46164</v>
      </c>
      <c r="Y124" s="97"/>
      <c r="Z124" s="88" t="s">
        <v>72</v>
      </c>
      <c r="AA124" s="96">
        <v>46174</v>
      </c>
      <c r="AB124" s="88"/>
      <c r="AC124" s="119">
        <v>46174</v>
      </c>
      <c r="AD124" s="88"/>
      <c r="AE124" s="88"/>
      <c r="AF124" s="98"/>
      <c r="AG124" s="98"/>
      <c r="AH124" s="98"/>
      <c r="AI124" s="99"/>
      <c r="AJ124" s="99" t="s">
        <v>61</v>
      </c>
      <c r="AK124" s="99" t="s">
        <v>78</v>
      </c>
      <c r="AL124" s="44" t="s">
        <v>62</v>
      </c>
      <c r="AM124" s="196" t="str">
        <f>MONTH(B124)&amp;"/"&amp;YEAR(B124)</f>
        <v>5/2026</v>
      </c>
      <c r="AN124" s="44">
        <f>WEEKNUM(B124)-WEEKNUM(EOMONTH(B124,-1)+1)+1</f>
        <v>2</v>
      </c>
      <c r="AO124" s="44" t="str">
        <f>MONTH(R124)&amp;"/"&amp;YEAR(R124)</f>
        <v>5/2026</v>
      </c>
      <c r="AP124" s="44">
        <f>WEEKNUM(R124)-WEEKNUM(EOMONTH(R124,-1)+1)+1</f>
        <v>5</v>
      </c>
      <c r="AQ124" s="44">
        <f>IF(AU124="S",IF(Q124="1. Aceitou o programa",R124-B124,0),0)</f>
        <v>23</v>
      </c>
      <c r="AR124" s="44">
        <f>IF(AU124="S",IF(AND(S124&lt;&gt;"",R124&lt;&gt;""),S124-R124,0),0)</f>
        <v>0</v>
      </c>
      <c r="AS124" s="44">
        <f>IF(AU124="S",IF(Q124="1. Aceitou o programa",IF(OR(X124="Não se Aplica",X124=""),IF(OR(W124="Não se Aplica",W124=""),0,W124-V124),AVERAGE(X124-W124,W124-V124)),0),0)</f>
        <v>5.5</v>
      </c>
      <c r="AT124" s="44">
        <f>IF(AU124="S",IF(AND(Q124="1. Aceitou o programa",AB124="Realizada"),IFERROR(IF(AA124="",0,AA124-R124),0),0),0)</f>
        <v>0</v>
      </c>
      <c r="AU124" s="44" t="str">
        <f>_xlfn.XLOOKUP(U124,'Lista Suspensa'!$AA$20:$AA$23,'Lista Suspensa'!$AB$20:$AB$23,"N/A")</f>
        <v>S</v>
      </c>
    </row>
    <row r="125" spans="1:47" ht="12" hidden="1" customHeight="1">
      <c r="A125" s="86" t="s">
        <v>47</v>
      </c>
      <c r="B125" s="87">
        <v>46147</v>
      </c>
      <c r="C125" s="88" t="s">
        <v>48</v>
      </c>
      <c r="D125" s="88" t="s">
        <v>49</v>
      </c>
      <c r="E125" s="111">
        <v>978489322</v>
      </c>
      <c r="F125" s="218" t="s">
        <v>422</v>
      </c>
      <c r="G125" s="91">
        <v>5222672891</v>
      </c>
      <c r="H125" s="92">
        <v>15317</v>
      </c>
      <c r="I125" s="88">
        <v>84</v>
      </c>
      <c r="J125" s="88" t="s">
        <v>51</v>
      </c>
      <c r="K125" s="88" t="s">
        <v>80</v>
      </c>
      <c r="L125" s="88" t="s">
        <v>87</v>
      </c>
      <c r="M125" s="88"/>
      <c r="N125" s="88" t="s">
        <v>223</v>
      </c>
      <c r="O125" s="93" t="s">
        <v>423</v>
      </c>
      <c r="P125" s="94" t="s">
        <v>56</v>
      </c>
      <c r="Q125" s="142" t="s">
        <v>68</v>
      </c>
      <c r="R125" s="95">
        <v>46163</v>
      </c>
      <c r="S125" s="96"/>
      <c r="T125" s="96" t="s">
        <v>69</v>
      </c>
      <c r="U125" s="96" t="s">
        <v>70</v>
      </c>
      <c r="V125" s="92">
        <v>46153</v>
      </c>
      <c r="W125" s="92">
        <v>46154</v>
      </c>
      <c r="X125" s="92">
        <v>46160</v>
      </c>
      <c r="Y125" s="97"/>
      <c r="Z125" s="88" t="s">
        <v>72</v>
      </c>
      <c r="AA125" s="96">
        <v>46171.652777777781</v>
      </c>
      <c r="AB125" s="88"/>
      <c r="AC125" s="119"/>
      <c r="AD125" s="88"/>
      <c r="AE125" s="88"/>
      <c r="AF125" s="98"/>
      <c r="AG125" s="98"/>
      <c r="AH125" s="98"/>
      <c r="AI125" s="99"/>
      <c r="AJ125" s="99" t="s">
        <v>61</v>
      </c>
      <c r="AK125" s="99" t="s">
        <v>61</v>
      </c>
      <c r="AL125" s="44" t="s">
        <v>62</v>
      </c>
      <c r="AM125" s="196" t="str">
        <f>MONTH(B125)&amp;"/"&amp;YEAR(B125)</f>
        <v>5/2026</v>
      </c>
      <c r="AN125" s="44">
        <f>WEEKNUM(B125)-WEEKNUM(EOMONTH(B125,-1)+1)+1</f>
        <v>2</v>
      </c>
      <c r="AO125" s="44" t="str">
        <f>MONTH(R125)&amp;"/"&amp;YEAR(R125)</f>
        <v>5/2026</v>
      </c>
      <c r="AP125" s="44">
        <f>WEEKNUM(R125)-WEEKNUM(EOMONTH(R125,-1)+1)+1</f>
        <v>4</v>
      </c>
      <c r="AQ125" s="44">
        <f>IF(AU125="S",IF(Q125="1. Aceitou o programa",R125-B125,0),0)</f>
        <v>16</v>
      </c>
      <c r="AR125" s="44">
        <f>IF(AU125="S",IF(AND(S125&lt;&gt;"",R125&lt;&gt;""),S125-R125,0),0)</f>
        <v>0</v>
      </c>
      <c r="AS125" s="44">
        <f>IF(AU125="S",IF(Q125="1. Aceitou o programa",IF(OR(X125="Não se Aplica",X125=""),IF(OR(W125="Não se Aplica",W125=""),0,W125-V125),AVERAGE(X125-W125,W125-V125)),0),0)</f>
        <v>3.5</v>
      </c>
      <c r="AT125" s="44">
        <f>IF(AU125="S",IF(AND(Q125="1. Aceitou o programa",AB125="Realizada"),IFERROR(IF(AA125="",0,AA125-R125),0),0),0)</f>
        <v>0</v>
      </c>
      <c r="AU125" s="44" t="str">
        <f>_xlfn.XLOOKUP(U125,'Lista Suspensa'!$AA$20:$AA$23,'Lista Suspensa'!$AB$20:$AB$23,"N/A")</f>
        <v>S</v>
      </c>
    </row>
    <row r="126" spans="1:47" ht="12" hidden="1" customHeight="1">
      <c r="A126" s="86" t="s">
        <v>47</v>
      </c>
      <c r="B126" s="87">
        <v>46147</v>
      </c>
      <c r="C126" s="88" t="s">
        <v>48</v>
      </c>
      <c r="D126" s="88" t="s">
        <v>49</v>
      </c>
      <c r="E126" s="89">
        <v>89910479</v>
      </c>
      <c r="F126" s="218" t="s">
        <v>424</v>
      </c>
      <c r="G126" s="91">
        <v>45323780797</v>
      </c>
      <c r="H126" s="92">
        <v>19636</v>
      </c>
      <c r="I126" s="88">
        <v>72</v>
      </c>
      <c r="J126" s="88" t="s">
        <v>51</v>
      </c>
      <c r="K126" s="88" t="s">
        <v>80</v>
      </c>
      <c r="L126" s="88" t="s">
        <v>81</v>
      </c>
      <c r="M126" s="88"/>
      <c r="N126" s="88" t="s">
        <v>82</v>
      </c>
      <c r="O126" s="93" t="s">
        <v>425</v>
      </c>
      <c r="P126" s="94" t="s">
        <v>56</v>
      </c>
      <c r="Q126" s="142" t="s">
        <v>68</v>
      </c>
      <c r="R126" s="95">
        <v>46154</v>
      </c>
      <c r="S126" s="96"/>
      <c r="T126" s="96" t="s">
        <v>69</v>
      </c>
      <c r="U126" s="96" t="s">
        <v>70</v>
      </c>
      <c r="V126" s="92">
        <v>46153</v>
      </c>
      <c r="W126" s="92">
        <v>46154</v>
      </c>
      <c r="X126" s="92" t="s">
        <v>71</v>
      </c>
      <c r="Y126" s="97"/>
      <c r="Z126" s="88" t="s">
        <v>72</v>
      </c>
      <c r="AA126" s="96">
        <v>46188</v>
      </c>
      <c r="AB126" s="88" t="s">
        <v>105</v>
      </c>
      <c r="AC126" s="119">
        <v>46198</v>
      </c>
      <c r="AD126" s="88"/>
      <c r="AE126" s="88"/>
      <c r="AF126" s="98"/>
      <c r="AG126" s="98"/>
      <c r="AH126" s="98"/>
      <c r="AI126" s="99" t="s">
        <v>61</v>
      </c>
      <c r="AJ126" s="99" t="s">
        <v>61</v>
      </c>
      <c r="AK126" s="99" t="s">
        <v>61</v>
      </c>
      <c r="AL126" s="44" t="s">
        <v>62</v>
      </c>
      <c r="AM126" s="196" t="str">
        <f>MONTH(B126)&amp;"/"&amp;YEAR(B126)</f>
        <v>5/2026</v>
      </c>
      <c r="AN126" s="44">
        <f>WEEKNUM(B126)-WEEKNUM(EOMONTH(B126,-1)+1)+1</f>
        <v>2</v>
      </c>
      <c r="AO126" s="44" t="str">
        <f>MONTH(R126)&amp;"/"&amp;YEAR(R126)</f>
        <v>5/2026</v>
      </c>
      <c r="AP126" s="44">
        <f>WEEKNUM(R126)-WEEKNUM(EOMONTH(R126,-1)+1)+1</f>
        <v>3</v>
      </c>
      <c r="AQ126" s="44">
        <f>IF(AU126="S",IF(Q126="1. Aceitou o programa",R126-B126,0),0)</f>
        <v>7</v>
      </c>
      <c r="AR126" s="44">
        <f>IF(AU126="S",IF(AND(S126&lt;&gt;"",R126&lt;&gt;""),S126-R126,0),0)</f>
        <v>0</v>
      </c>
      <c r="AS126" s="44">
        <f>IF(AU126="S",IF(Q126="1. Aceitou o programa",IF(OR(X126="Não se Aplica",X126=""),IF(OR(W126="Não se Aplica",W126=""),0,W126-V126),AVERAGE(X126-W126,W126-V126)),0),0)</f>
        <v>1</v>
      </c>
      <c r="AT126" s="44">
        <f>IF(AU126="S",IF(AND(Q126="1. Aceitou o programa",AB126="Realizada"),IFERROR(IF(AA126="",0,AA126-R126),0),0),0)</f>
        <v>0</v>
      </c>
      <c r="AU126" s="44" t="str">
        <f>_xlfn.XLOOKUP(U126,'Lista Suspensa'!$AA$20:$AA$23,'Lista Suspensa'!$AB$20:$AB$23,"N/A")</f>
        <v>S</v>
      </c>
    </row>
    <row r="127" spans="1:47" ht="12" hidden="1" customHeight="1">
      <c r="A127" s="86" t="s">
        <v>47</v>
      </c>
      <c r="B127" s="87">
        <v>46147</v>
      </c>
      <c r="C127" s="88" t="s">
        <v>48</v>
      </c>
      <c r="D127" s="88" t="s">
        <v>49</v>
      </c>
      <c r="E127" s="89">
        <v>451630220</v>
      </c>
      <c r="F127" s="218" t="s">
        <v>426</v>
      </c>
      <c r="G127" s="91">
        <v>99793229853</v>
      </c>
      <c r="H127" s="92">
        <v>19238</v>
      </c>
      <c r="I127" s="88">
        <v>73</v>
      </c>
      <c r="J127" s="88" t="s">
        <v>51</v>
      </c>
      <c r="K127" s="88" t="s">
        <v>52</v>
      </c>
      <c r="L127" s="88" t="s">
        <v>53</v>
      </c>
      <c r="M127" s="88"/>
      <c r="N127" s="88" t="s">
        <v>223</v>
      </c>
      <c r="O127" s="93" t="s">
        <v>427</v>
      </c>
      <c r="P127" s="94" t="s">
        <v>56</v>
      </c>
      <c r="Q127" s="142" t="s">
        <v>57</v>
      </c>
      <c r="R127" s="95"/>
      <c r="S127" s="96">
        <v>46170</v>
      </c>
      <c r="T127" s="96" t="s">
        <v>58</v>
      </c>
      <c r="U127" s="96" t="s">
        <v>59</v>
      </c>
      <c r="V127" s="92">
        <v>46153</v>
      </c>
      <c r="W127" s="92">
        <v>46154</v>
      </c>
      <c r="X127" s="92">
        <v>46164</v>
      </c>
      <c r="Y127" s="97"/>
      <c r="Z127" s="88"/>
      <c r="AA127" s="96"/>
      <c r="AB127" s="88"/>
      <c r="AC127" s="119"/>
      <c r="AD127" s="88"/>
      <c r="AE127" s="88"/>
      <c r="AF127" s="98"/>
      <c r="AG127" s="98"/>
      <c r="AH127" s="98"/>
      <c r="AI127" s="99"/>
      <c r="AJ127" s="99"/>
      <c r="AK127" s="99"/>
      <c r="AL127" s="44" t="s">
        <v>62</v>
      </c>
      <c r="AM127" s="196" t="str">
        <f>MONTH(B127)&amp;"/"&amp;YEAR(B127)</f>
        <v>5/2026</v>
      </c>
      <c r="AN127" s="44">
        <f>WEEKNUM(B127)-WEEKNUM(EOMONTH(B127,-1)+1)+1</f>
        <v>2</v>
      </c>
      <c r="AO127" s="44" t="str">
        <f>MONTH(R127)&amp;"/"&amp;YEAR(R127)</f>
        <v>1/1900</v>
      </c>
      <c r="AP127" s="44" t="e">
        <f>WEEKNUM(R127)-WEEKNUM(EOMONTH(R127,-1)+1)+1</f>
        <v>#NUM!</v>
      </c>
      <c r="AQ127" s="44">
        <f>IF(AU127="S",IF(Q127="1. Aceitou o programa",R127-B127,0),0)</f>
        <v>0</v>
      </c>
      <c r="AR127" s="44">
        <f>IF(AU127="S",IF(AND(S127&lt;&gt;"",R127&lt;&gt;""),S127-R127,0),0)</f>
        <v>0</v>
      </c>
      <c r="AS127" s="44">
        <f>IF(AU127="S",IF(Q127="1. Aceitou o programa",IF(OR(X127="Não se Aplica",X127=""),IF(OR(W127="Não se Aplica",W127=""),0,W127-V127),AVERAGE(X127-W127,W127-V127)),0),0)</f>
        <v>0</v>
      </c>
      <c r="AT127" s="44">
        <f>IF(AU127="S",IF(AND(Q127="1. Aceitou o programa",AB127="Realizada"),IFERROR(IF(AA127="",0,AA127-R127),0),0),0)</f>
        <v>0</v>
      </c>
      <c r="AU127" s="44" t="str">
        <f>_xlfn.XLOOKUP(U127,'Lista Suspensa'!$AA$20:$AA$23,'Lista Suspensa'!$AB$20:$AB$23,"N/A")</f>
        <v>S</v>
      </c>
    </row>
    <row r="128" spans="1:47" ht="12" hidden="1" customHeight="1">
      <c r="A128" s="86" t="s">
        <v>47</v>
      </c>
      <c r="B128" s="87">
        <v>46147</v>
      </c>
      <c r="C128" s="88" t="s">
        <v>48</v>
      </c>
      <c r="D128" s="88" t="s">
        <v>49</v>
      </c>
      <c r="E128" s="89">
        <v>86760563</v>
      </c>
      <c r="F128" s="218" t="s">
        <v>428</v>
      </c>
      <c r="G128" s="91">
        <v>17952468987</v>
      </c>
      <c r="H128" s="92">
        <v>17256</v>
      </c>
      <c r="I128" s="88">
        <v>79</v>
      </c>
      <c r="J128" s="88" t="s">
        <v>51</v>
      </c>
      <c r="K128" s="88" t="s">
        <v>80</v>
      </c>
      <c r="L128" s="88" t="s">
        <v>87</v>
      </c>
      <c r="M128" s="88"/>
      <c r="N128" s="88" t="s">
        <v>91</v>
      </c>
      <c r="O128" s="93" t="s">
        <v>429</v>
      </c>
      <c r="P128" s="94" t="s">
        <v>56</v>
      </c>
      <c r="Q128" s="142" t="s">
        <v>57</v>
      </c>
      <c r="R128" s="95"/>
      <c r="S128" s="96">
        <v>46170</v>
      </c>
      <c r="T128" s="96" t="s">
        <v>58</v>
      </c>
      <c r="U128" s="96" t="s">
        <v>59</v>
      </c>
      <c r="V128" s="92">
        <v>46153</v>
      </c>
      <c r="W128" s="92">
        <v>46154</v>
      </c>
      <c r="X128" s="92">
        <v>46164</v>
      </c>
      <c r="Y128" s="97"/>
      <c r="Z128" s="88"/>
      <c r="AA128" s="96"/>
      <c r="AB128" s="88"/>
      <c r="AC128" s="119"/>
      <c r="AD128" s="88"/>
      <c r="AE128" s="88"/>
      <c r="AF128" s="98"/>
      <c r="AG128" s="98"/>
      <c r="AH128" s="98"/>
      <c r="AI128" s="99"/>
      <c r="AJ128" s="99"/>
      <c r="AK128" s="99"/>
      <c r="AL128" s="44" t="s">
        <v>62</v>
      </c>
      <c r="AM128" s="196" t="str">
        <f>MONTH(B128)&amp;"/"&amp;YEAR(B128)</f>
        <v>5/2026</v>
      </c>
      <c r="AN128" s="44">
        <f>WEEKNUM(B128)-WEEKNUM(EOMONTH(B128,-1)+1)+1</f>
        <v>2</v>
      </c>
      <c r="AO128" s="44" t="str">
        <f>MONTH(R128)&amp;"/"&amp;YEAR(R128)</f>
        <v>1/1900</v>
      </c>
      <c r="AP128" s="44" t="e">
        <f>WEEKNUM(R128)-WEEKNUM(EOMONTH(R128,-1)+1)+1</f>
        <v>#NUM!</v>
      </c>
      <c r="AQ128" s="44">
        <f>IF(AU128="S",IF(Q128="1. Aceitou o programa",R128-B128,0),0)</f>
        <v>0</v>
      </c>
      <c r="AR128" s="44">
        <f>IF(AU128="S",IF(AND(S128&lt;&gt;"",R128&lt;&gt;""),S128-R128,0),0)</f>
        <v>0</v>
      </c>
      <c r="AS128" s="44">
        <f>IF(AU128="S",IF(Q128="1. Aceitou o programa",IF(OR(X128="Não se Aplica",X128=""),IF(OR(W128="Não se Aplica",W128=""),0,W128-V128),AVERAGE(X128-W128,W128-V128)),0),0)</f>
        <v>0</v>
      </c>
      <c r="AT128" s="44">
        <f>IF(AU128="S",IF(AND(Q128="1. Aceitou o programa",AB128="Realizada"),IFERROR(IF(AA128="",0,AA128-R128),0),0),0)</f>
        <v>0</v>
      </c>
      <c r="AU128" s="44" t="str">
        <f>_xlfn.XLOOKUP(U128,'Lista Suspensa'!$AA$20:$AA$23,'Lista Suspensa'!$AB$20:$AB$23,"N/A")</f>
        <v>S</v>
      </c>
    </row>
    <row r="129" spans="1:47" ht="12" hidden="1" customHeight="1">
      <c r="A129" s="86" t="s">
        <v>47</v>
      </c>
      <c r="B129" s="87">
        <v>46147</v>
      </c>
      <c r="C129" s="88" t="s">
        <v>48</v>
      </c>
      <c r="D129" s="88" t="s">
        <v>49</v>
      </c>
      <c r="E129" s="89">
        <v>87553089</v>
      </c>
      <c r="F129" s="218" t="s">
        <v>430</v>
      </c>
      <c r="G129" s="91">
        <v>60387122753</v>
      </c>
      <c r="H129" s="92">
        <v>22014</v>
      </c>
      <c r="I129" s="88">
        <v>66</v>
      </c>
      <c r="J129" s="88" t="s">
        <v>51</v>
      </c>
      <c r="K129" s="88" t="s">
        <v>80</v>
      </c>
      <c r="L129" s="88" t="s">
        <v>87</v>
      </c>
      <c r="M129" s="88"/>
      <c r="N129" s="88" t="s">
        <v>122</v>
      </c>
      <c r="O129" s="93" t="s">
        <v>431</v>
      </c>
      <c r="P129" s="94" t="s">
        <v>56</v>
      </c>
      <c r="Q129" s="142" t="s">
        <v>57</v>
      </c>
      <c r="R129" s="95"/>
      <c r="S129" s="96">
        <v>46170</v>
      </c>
      <c r="T129" s="96" t="s">
        <v>58</v>
      </c>
      <c r="U129" s="96" t="s">
        <v>59</v>
      </c>
      <c r="V129" s="92">
        <v>46153</v>
      </c>
      <c r="W129" s="92">
        <v>46154</v>
      </c>
      <c r="X129" s="92">
        <v>46164</v>
      </c>
      <c r="Y129" s="97"/>
      <c r="Z129" s="88"/>
      <c r="AA129" s="96"/>
      <c r="AB129" s="88"/>
      <c r="AC129" s="119"/>
      <c r="AD129" s="88"/>
      <c r="AE129" s="88"/>
      <c r="AF129" s="98"/>
      <c r="AG129" s="98"/>
      <c r="AH129" s="98"/>
      <c r="AI129" s="99"/>
      <c r="AJ129" s="99"/>
      <c r="AK129" s="99"/>
      <c r="AL129" s="44" t="s">
        <v>62</v>
      </c>
      <c r="AM129" s="196" t="str">
        <f>MONTH(B129)&amp;"/"&amp;YEAR(B129)</f>
        <v>5/2026</v>
      </c>
      <c r="AN129" s="44">
        <f>WEEKNUM(B129)-WEEKNUM(EOMONTH(B129,-1)+1)+1</f>
        <v>2</v>
      </c>
      <c r="AO129" s="44" t="str">
        <f>MONTH(R129)&amp;"/"&amp;YEAR(R129)</f>
        <v>1/1900</v>
      </c>
      <c r="AP129" s="44" t="e">
        <f>WEEKNUM(R129)-WEEKNUM(EOMONTH(R129,-1)+1)+1</f>
        <v>#NUM!</v>
      </c>
      <c r="AQ129" s="44">
        <f>IF(AU129="S",IF(Q129="1. Aceitou o programa",R129-B129,0),0)</f>
        <v>0</v>
      </c>
      <c r="AR129" s="44">
        <f>IF(AU129="S",IF(AND(S129&lt;&gt;"",R129&lt;&gt;""),S129-R129,0),0)</f>
        <v>0</v>
      </c>
      <c r="AS129" s="44">
        <f>IF(AU129="S",IF(Q129="1. Aceitou o programa",IF(OR(X129="Não se Aplica",X129=""),IF(OR(W129="Não se Aplica",W129=""),0,W129-V129),AVERAGE(X129-W129,W129-V129)),0),0)</f>
        <v>0</v>
      </c>
      <c r="AT129" s="44">
        <f>IF(AU129="S",IF(AND(Q129="1. Aceitou o programa",AB129="Realizada"),IFERROR(IF(AA129="",0,AA129-R129),0),0),0)</f>
        <v>0</v>
      </c>
      <c r="AU129" s="44" t="str">
        <f>_xlfn.XLOOKUP(U129,'Lista Suspensa'!$AA$20:$AA$23,'Lista Suspensa'!$AB$20:$AB$23,"N/A")</f>
        <v>S</v>
      </c>
    </row>
    <row r="130" spans="1:47" ht="12" hidden="1" customHeight="1">
      <c r="A130" s="86" t="s">
        <v>47</v>
      </c>
      <c r="B130" s="87">
        <v>46147</v>
      </c>
      <c r="C130" s="88" t="s">
        <v>48</v>
      </c>
      <c r="D130" s="88" t="s">
        <v>49</v>
      </c>
      <c r="E130" s="89">
        <v>94094307</v>
      </c>
      <c r="F130" s="218" t="s">
        <v>432</v>
      </c>
      <c r="G130" s="91">
        <v>7271761454</v>
      </c>
      <c r="H130" s="92">
        <v>32709</v>
      </c>
      <c r="I130" s="88">
        <v>36</v>
      </c>
      <c r="J130" s="88" t="s">
        <v>64</v>
      </c>
      <c r="K130" s="88" t="s">
        <v>52</v>
      </c>
      <c r="L130" s="88" t="s">
        <v>433</v>
      </c>
      <c r="M130" s="88"/>
      <c r="N130" s="88" t="s">
        <v>91</v>
      </c>
      <c r="O130" s="93" t="s">
        <v>434</v>
      </c>
      <c r="P130" s="94" t="s">
        <v>56</v>
      </c>
      <c r="Q130" s="142" t="s">
        <v>68</v>
      </c>
      <c r="R130" s="95">
        <v>46153</v>
      </c>
      <c r="S130" s="96"/>
      <c r="T130" s="96" t="s">
        <v>69</v>
      </c>
      <c r="U130" s="96" t="s">
        <v>70</v>
      </c>
      <c r="V130" s="92">
        <v>46153</v>
      </c>
      <c r="W130" s="92" t="s">
        <v>71</v>
      </c>
      <c r="X130" s="92" t="s">
        <v>71</v>
      </c>
      <c r="Y130" s="97"/>
      <c r="Z130" s="88" t="s">
        <v>72</v>
      </c>
      <c r="AA130" s="96">
        <v>46108.625</v>
      </c>
      <c r="AB130" s="88" t="s">
        <v>74</v>
      </c>
      <c r="AC130" s="119"/>
      <c r="AD130" s="88"/>
      <c r="AE130" s="88"/>
      <c r="AF130" s="98"/>
      <c r="AG130" s="98"/>
      <c r="AH130" s="98"/>
      <c r="AI130" s="99" t="s">
        <v>61</v>
      </c>
      <c r="AJ130" s="99" t="s">
        <v>61</v>
      </c>
      <c r="AK130" s="99" t="s">
        <v>61</v>
      </c>
      <c r="AL130" s="44" t="s">
        <v>62</v>
      </c>
      <c r="AM130" s="196" t="str">
        <f>MONTH(B130)&amp;"/"&amp;YEAR(B130)</f>
        <v>5/2026</v>
      </c>
      <c r="AN130" s="44">
        <f>WEEKNUM(B130)-WEEKNUM(EOMONTH(B130,-1)+1)+1</f>
        <v>2</v>
      </c>
      <c r="AO130" s="44" t="str">
        <f>MONTH(R130)&amp;"/"&amp;YEAR(R130)</f>
        <v>5/2026</v>
      </c>
      <c r="AP130" s="44">
        <f>WEEKNUM(R130)-WEEKNUM(EOMONTH(R130,-1)+1)+1</f>
        <v>3</v>
      </c>
      <c r="AQ130" s="44">
        <f>IF(AU130="S",IF(Q130="1. Aceitou o programa",R130-B130,0),0)</f>
        <v>6</v>
      </c>
      <c r="AR130" s="44">
        <f>IF(AU130="S",IF(AND(S130&lt;&gt;"",R130&lt;&gt;""),S130-R130,0),0)</f>
        <v>0</v>
      </c>
      <c r="AS130" s="44">
        <f>IF(AU130="S",IF(Q130="1. Aceitou o programa",IF(OR(X130="Não se Aplica",X130=""),IF(OR(W130="Não se Aplica",W130=""),0,W130-V130),AVERAGE(X130-W130,W130-V130)),0),0)</f>
        <v>0</v>
      </c>
      <c r="AT130" s="44">
        <f>IF(AU130="S",IF(AND(Q130="1. Aceitou o programa",AB130="Realizada"),IFERROR(IF(AA130="",0,AA130-R130),0),0),0)</f>
        <v>-44.375</v>
      </c>
      <c r="AU130" s="44" t="str">
        <f>_xlfn.XLOOKUP(U130,'Lista Suspensa'!$AA$20:$AA$23,'Lista Suspensa'!$AB$20:$AB$23,"N/A")</f>
        <v>S</v>
      </c>
    </row>
    <row r="131" spans="1:47" ht="12" hidden="1" customHeight="1">
      <c r="A131" s="86" t="s">
        <v>47</v>
      </c>
      <c r="B131" s="87">
        <v>46147</v>
      </c>
      <c r="C131" s="88" t="s">
        <v>48</v>
      </c>
      <c r="D131" s="88" t="s">
        <v>49</v>
      </c>
      <c r="E131" s="89">
        <v>744956633</v>
      </c>
      <c r="F131" s="218" t="s">
        <v>435</v>
      </c>
      <c r="G131" s="91">
        <v>15983376705</v>
      </c>
      <c r="H131" s="92">
        <v>33800</v>
      </c>
      <c r="I131" s="88">
        <v>33</v>
      </c>
      <c r="J131" s="88" t="s">
        <v>64</v>
      </c>
      <c r="K131" s="88" t="s">
        <v>80</v>
      </c>
      <c r="L131" s="88" t="s">
        <v>142</v>
      </c>
      <c r="M131" s="88"/>
      <c r="N131" s="88" t="s">
        <v>138</v>
      </c>
      <c r="O131" s="93" t="s">
        <v>436</v>
      </c>
      <c r="P131" s="94" t="s">
        <v>56</v>
      </c>
      <c r="Q131" s="142" t="s">
        <v>68</v>
      </c>
      <c r="R131" s="95">
        <v>46153</v>
      </c>
      <c r="S131" s="96"/>
      <c r="T131" s="96" t="s">
        <v>69</v>
      </c>
      <c r="U131" s="96" t="s">
        <v>70</v>
      </c>
      <c r="V131" s="92">
        <v>46153</v>
      </c>
      <c r="W131" s="92" t="s">
        <v>71</v>
      </c>
      <c r="X131" s="92" t="s">
        <v>71</v>
      </c>
      <c r="Y131" s="97"/>
      <c r="Z131" s="88" t="s">
        <v>72</v>
      </c>
      <c r="AA131" s="96" t="s">
        <v>437</v>
      </c>
      <c r="AB131" s="88" t="s">
        <v>74</v>
      </c>
      <c r="AC131" s="119"/>
      <c r="AD131" s="88" t="s">
        <v>75</v>
      </c>
      <c r="AE131" s="88">
        <v>62</v>
      </c>
      <c r="AF131" s="98" t="s">
        <v>85</v>
      </c>
      <c r="AG131" s="98" t="s">
        <v>85</v>
      </c>
      <c r="AH131" s="98" t="s">
        <v>77</v>
      </c>
      <c r="AI131" s="99" t="s">
        <v>61</v>
      </c>
      <c r="AJ131" s="99" t="s">
        <v>61</v>
      </c>
      <c r="AK131" s="99" t="s">
        <v>61</v>
      </c>
      <c r="AL131" s="44" t="s">
        <v>62</v>
      </c>
      <c r="AM131" s="196" t="str">
        <f>MONTH(B131)&amp;"/"&amp;YEAR(B131)</f>
        <v>5/2026</v>
      </c>
      <c r="AN131" s="44">
        <f>WEEKNUM(B131)-WEEKNUM(EOMONTH(B131,-1)+1)+1</f>
        <v>2</v>
      </c>
      <c r="AO131" s="44" t="str">
        <f>MONTH(R131)&amp;"/"&amp;YEAR(R131)</f>
        <v>5/2026</v>
      </c>
      <c r="AP131" s="44">
        <f>WEEKNUM(R131)-WEEKNUM(EOMONTH(R131,-1)+1)+1</f>
        <v>3</v>
      </c>
      <c r="AQ131" s="44">
        <f>IF(AU131="S",IF(Q131="1. Aceitou o programa",R131-B131,0),0)</f>
        <v>6</v>
      </c>
      <c r="AR131" s="44">
        <f>IF(AU131="S",IF(AND(S131&lt;&gt;"",R131&lt;&gt;""),S131-R131,0),0)</f>
        <v>0</v>
      </c>
      <c r="AS131" s="44">
        <f>IF(AU131="S",IF(Q131="1. Aceitou o programa",IF(OR(X131="Não se Aplica",X131=""),IF(OR(W131="Não se Aplica",W131=""),0,W131-V131),AVERAGE(X131-W131,W131-V131)),0),0)</f>
        <v>0</v>
      </c>
      <c r="AT131" s="44">
        <f>IF(AU131="S",IF(AND(Q131="1. Aceitou o programa",AB131="Realizada"),IFERROR(IF(AA131="",0,AA131-R131),0),0),0)</f>
        <v>11.416666666664241</v>
      </c>
      <c r="AU131" s="44" t="str">
        <f>_xlfn.XLOOKUP(U131,'Lista Suspensa'!$AA$20:$AA$23,'Lista Suspensa'!$AB$20:$AB$23,"N/A")</f>
        <v>S</v>
      </c>
    </row>
    <row r="132" spans="1:47" ht="12" hidden="1" customHeight="1">
      <c r="A132" s="86" t="s">
        <v>47</v>
      </c>
      <c r="B132" s="87">
        <v>46147</v>
      </c>
      <c r="C132" s="88" t="s">
        <v>48</v>
      </c>
      <c r="D132" s="88" t="s">
        <v>49</v>
      </c>
      <c r="E132" s="89">
        <v>74249864</v>
      </c>
      <c r="F132" s="218" t="s">
        <v>438</v>
      </c>
      <c r="G132" s="91">
        <v>44244282734</v>
      </c>
      <c r="H132" s="92">
        <v>19925</v>
      </c>
      <c r="I132" s="88">
        <v>71</v>
      </c>
      <c r="J132" s="88" t="s">
        <v>64</v>
      </c>
      <c r="K132" s="88" t="s">
        <v>80</v>
      </c>
      <c r="L132" s="88" t="s">
        <v>87</v>
      </c>
      <c r="M132" s="88"/>
      <c r="N132" s="88" t="s">
        <v>110</v>
      </c>
      <c r="O132" s="93" t="s">
        <v>439</v>
      </c>
      <c r="P132" s="94" t="s">
        <v>56</v>
      </c>
      <c r="Q132" s="142" t="s">
        <v>68</v>
      </c>
      <c r="R132" s="95">
        <v>46153</v>
      </c>
      <c r="S132" s="96"/>
      <c r="T132" s="96" t="s">
        <v>69</v>
      </c>
      <c r="U132" s="96" t="s">
        <v>70</v>
      </c>
      <c r="V132" s="92">
        <v>46153</v>
      </c>
      <c r="W132" s="92" t="s">
        <v>71</v>
      </c>
      <c r="X132" s="92" t="s">
        <v>71</v>
      </c>
      <c r="Y132" s="97"/>
      <c r="Z132" s="88" t="s">
        <v>72</v>
      </c>
      <c r="AA132" s="96" t="s">
        <v>440</v>
      </c>
      <c r="AB132" s="88" t="s">
        <v>74</v>
      </c>
      <c r="AC132" s="119"/>
      <c r="AD132" s="88" t="s">
        <v>75</v>
      </c>
      <c r="AE132" s="88">
        <v>61</v>
      </c>
      <c r="AF132" s="98" t="s">
        <v>85</v>
      </c>
      <c r="AG132" s="98" t="s">
        <v>85</v>
      </c>
      <c r="AH132" s="98" t="s">
        <v>77</v>
      </c>
      <c r="AI132" s="99" t="s">
        <v>61</v>
      </c>
      <c r="AJ132" s="99" t="s">
        <v>61</v>
      </c>
      <c r="AK132" s="99" t="s">
        <v>61</v>
      </c>
      <c r="AL132" s="44" t="s">
        <v>62</v>
      </c>
      <c r="AM132" s="196" t="str">
        <f>MONTH(B132)&amp;"/"&amp;YEAR(B132)</f>
        <v>5/2026</v>
      </c>
      <c r="AN132" s="44">
        <f>WEEKNUM(B132)-WEEKNUM(EOMONTH(B132,-1)+1)+1</f>
        <v>2</v>
      </c>
      <c r="AO132" s="44" t="str">
        <f>MONTH(R132)&amp;"/"&amp;YEAR(R132)</f>
        <v>5/2026</v>
      </c>
      <c r="AP132" s="44">
        <f>WEEKNUM(R132)-WEEKNUM(EOMONTH(R132,-1)+1)+1</f>
        <v>3</v>
      </c>
      <c r="AQ132" s="44">
        <f>IF(AU132="S",IF(Q132="1. Aceitou o programa",R132-B132,0),0)</f>
        <v>6</v>
      </c>
      <c r="AR132" s="44">
        <f>IF(AU132="S",IF(AND(S132&lt;&gt;"",R132&lt;&gt;""),S132-R132,0),0)</f>
        <v>0</v>
      </c>
      <c r="AS132" s="44">
        <f>IF(AU132="S",IF(Q132="1. Aceitou o programa",IF(OR(X132="Não se Aplica",X132=""),IF(OR(W132="Não se Aplica",W132=""),0,W132-V132),AVERAGE(X132-W132,W132-V132)),0),0)</f>
        <v>0</v>
      </c>
      <c r="AT132" s="44">
        <f>IF(AU132="S",IF(AND(Q132="1. Aceitou o programa",AB132="Realizada"),IFERROR(IF(AA132="",0,AA132-R132),0),0),0)</f>
        <v>14.611111111109494</v>
      </c>
      <c r="AU132" s="44" t="str">
        <f>_xlfn.XLOOKUP(U132,'Lista Suspensa'!$AA$20:$AA$23,'Lista Suspensa'!$AB$20:$AB$23,"N/A")</f>
        <v>S</v>
      </c>
    </row>
    <row r="133" spans="1:47" ht="12" hidden="1" customHeight="1">
      <c r="A133" s="86" t="s">
        <v>47</v>
      </c>
      <c r="B133" s="87">
        <v>46147</v>
      </c>
      <c r="C133" s="88" t="s">
        <v>48</v>
      </c>
      <c r="D133" s="88" t="s">
        <v>49</v>
      </c>
      <c r="E133" s="89">
        <v>84673948</v>
      </c>
      <c r="F133" s="218" t="s">
        <v>441</v>
      </c>
      <c r="G133" s="91">
        <v>79383238704</v>
      </c>
      <c r="H133" s="92">
        <v>22391</v>
      </c>
      <c r="I133" s="88">
        <v>65</v>
      </c>
      <c r="J133" s="88" t="s">
        <v>64</v>
      </c>
      <c r="K133" s="88" t="s">
        <v>80</v>
      </c>
      <c r="L133" s="88" t="s">
        <v>257</v>
      </c>
      <c r="M133" s="88"/>
      <c r="N133" s="88" t="s">
        <v>110</v>
      </c>
      <c r="O133" s="93" t="s">
        <v>442</v>
      </c>
      <c r="P133" s="94" t="s">
        <v>56</v>
      </c>
      <c r="Q133" s="142" t="s">
        <v>443</v>
      </c>
      <c r="R133" s="95">
        <v>46153</v>
      </c>
      <c r="S133" s="96"/>
      <c r="T133" s="96" t="s">
        <v>69</v>
      </c>
      <c r="U133" s="96" t="s">
        <v>70</v>
      </c>
      <c r="V133" s="92">
        <v>46153</v>
      </c>
      <c r="W133" s="92" t="s">
        <v>71</v>
      </c>
      <c r="X133" s="92" t="s">
        <v>71</v>
      </c>
      <c r="Y133" s="97"/>
      <c r="Z133" s="88" t="s">
        <v>72</v>
      </c>
      <c r="AA133" s="96">
        <v>46175</v>
      </c>
      <c r="AB133" s="88" t="s">
        <v>74</v>
      </c>
      <c r="AC133" s="119"/>
      <c r="AD133" s="88"/>
      <c r="AE133" s="88"/>
      <c r="AF133" s="98"/>
      <c r="AG133" s="98"/>
      <c r="AH133" s="98"/>
      <c r="AI133" s="99" t="s">
        <v>61</v>
      </c>
      <c r="AJ133" s="99" t="s">
        <v>61</v>
      </c>
      <c r="AK133" s="99" t="s">
        <v>61</v>
      </c>
      <c r="AL133" s="44" t="s">
        <v>62</v>
      </c>
      <c r="AM133" s="196" t="str">
        <f>MONTH(B133)&amp;"/"&amp;YEAR(B133)</f>
        <v>5/2026</v>
      </c>
      <c r="AN133" s="44">
        <f>WEEKNUM(B133)-WEEKNUM(EOMONTH(B133,-1)+1)+1</f>
        <v>2</v>
      </c>
      <c r="AO133" s="44" t="str">
        <f>MONTH(R133)&amp;"/"&amp;YEAR(R133)</f>
        <v>5/2026</v>
      </c>
      <c r="AP133" s="44">
        <f>WEEKNUM(R133)-WEEKNUM(EOMONTH(R133,-1)+1)+1</f>
        <v>3</v>
      </c>
      <c r="AQ133" s="44">
        <f>IF(AU133="S",IF(Q133="1. Aceitou o programa",R133-B133,0),0)</f>
        <v>0</v>
      </c>
      <c r="AR133" s="44">
        <f>IF(AU133="S",IF(AND(S133&lt;&gt;"",R133&lt;&gt;""),S133-R133,0),0)</f>
        <v>0</v>
      </c>
      <c r="AS133" s="44">
        <f>IF(AU133="S",IF(Q133="1. Aceitou o programa",IF(OR(X133="Não se Aplica",X133=""),IF(OR(W133="Não se Aplica",W133=""),0,W133-V133),AVERAGE(X133-W133,W133-V133)),0),0)</f>
        <v>0</v>
      </c>
      <c r="AT133" s="44">
        <f>IF(AU133="S",IF(AND(Q133="1. Aceitou o programa",AB133="Realizada"),IFERROR(IF(AA133="",0,AA133-R133),0),0),0)</f>
        <v>0</v>
      </c>
      <c r="AU133" s="44" t="str">
        <f>_xlfn.XLOOKUP(U133,'Lista Suspensa'!$AA$20:$AA$23,'Lista Suspensa'!$AB$20:$AB$23,"N/A")</f>
        <v>S</v>
      </c>
    </row>
    <row r="134" spans="1:47" ht="12" hidden="1" customHeight="1">
      <c r="A134" s="86" t="s">
        <v>47</v>
      </c>
      <c r="B134" s="87">
        <v>46147</v>
      </c>
      <c r="C134" s="88" t="s">
        <v>48</v>
      </c>
      <c r="D134" s="88" t="s">
        <v>49</v>
      </c>
      <c r="E134" s="89">
        <v>757210180</v>
      </c>
      <c r="F134" s="218" t="s">
        <v>444</v>
      </c>
      <c r="G134" s="91">
        <v>1805057774</v>
      </c>
      <c r="H134" s="92">
        <v>16963</v>
      </c>
      <c r="I134" s="88">
        <v>79</v>
      </c>
      <c r="J134" s="88" t="s">
        <v>51</v>
      </c>
      <c r="K134" s="88" t="s">
        <v>80</v>
      </c>
      <c r="L134" s="88" t="s">
        <v>87</v>
      </c>
      <c r="M134" s="88"/>
      <c r="N134" s="88" t="s">
        <v>54</v>
      </c>
      <c r="O134" s="93" t="s">
        <v>445</v>
      </c>
      <c r="P134" s="94" t="s">
        <v>56</v>
      </c>
      <c r="Q134" s="142" t="s">
        <v>68</v>
      </c>
      <c r="R134" s="95">
        <v>46153</v>
      </c>
      <c r="S134" s="96"/>
      <c r="T134" s="96" t="s">
        <v>69</v>
      </c>
      <c r="U134" s="96" t="s">
        <v>70</v>
      </c>
      <c r="V134" s="92">
        <v>46153</v>
      </c>
      <c r="W134" s="92" t="s">
        <v>71</v>
      </c>
      <c r="X134" s="92" t="s">
        <v>71</v>
      </c>
      <c r="Y134" s="97"/>
      <c r="Z134" s="88" t="s">
        <v>72</v>
      </c>
      <c r="AA134" s="96" t="s">
        <v>446</v>
      </c>
      <c r="AB134" s="88" t="s">
        <v>74</v>
      </c>
      <c r="AC134" s="119"/>
      <c r="AD134" s="88" t="s">
        <v>75</v>
      </c>
      <c r="AE134" s="88">
        <v>60</v>
      </c>
      <c r="AF134" s="98" t="s">
        <v>85</v>
      </c>
      <c r="AG134" s="98" t="s">
        <v>85</v>
      </c>
      <c r="AH134" s="98" t="s">
        <v>77</v>
      </c>
      <c r="AI134" s="99" t="s">
        <v>61</v>
      </c>
      <c r="AJ134" s="99" t="s">
        <v>61</v>
      </c>
      <c r="AK134" s="99" t="s">
        <v>61</v>
      </c>
      <c r="AL134" s="44" t="s">
        <v>62</v>
      </c>
      <c r="AM134" s="196" t="str">
        <f>MONTH(B134)&amp;"/"&amp;YEAR(B134)</f>
        <v>5/2026</v>
      </c>
      <c r="AN134" s="44">
        <f>WEEKNUM(B134)-WEEKNUM(EOMONTH(B134,-1)+1)+1</f>
        <v>2</v>
      </c>
      <c r="AO134" s="44" t="str">
        <f>MONTH(R134)&amp;"/"&amp;YEAR(R134)</f>
        <v>5/2026</v>
      </c>
      <c r="AP134" s="44">
        <f>WEEKNUM(R134)-WEEKNUM(EOMONTH(R134,-1)+1)+1</f>
        <v>3</v>
      </c>
      <c r="AQ134" s="44">
        <f>IF(AU134="S",IF(Q134="1. Aceitou o programa",R134-B134,0),0)</f>
        <v>6</v>
      </c>
      <c r="AR134" s="44">
        <f>IF(AU134="S",IF(AND(S134&lt;&gt;"",R134&lt;&gt;""),S134-R134,0),0)</f>
        <v>0</v>
      </c>
      <c r="AS134" s="44">
        <f>IF(AU134="S",IF(Q134="1. Aceitou o programa",IF(OR(X134="Não se Aplica",X134=""),IF(OR(W134="Não se Aplica",W134=""),0,W134-V134),AVERAGE(X134-W134,W134-V134)),0),0)</f>
        <v>0</v>
      </c>
      <c r="AT134" s="44">
        <f>IF(AU134="S",IF(AND(Q134="1. Aceitou o programa",AB134="Realizada"),IFERROR(IF(AA134="",0,AA134-R134),0),0),0)</f>
        <v>11.513888888890506</v>
      </c>
      <c r="AU134" s="44" t="str">
        <f>_xlfn.XLOOKUP(U134,'Lista Suspensa'!$AA$20:$AA$23,'Lista Suspensa'!$AB$20:$AB$23,"N/A")</f>
        <v>S</v>
      </c>
    </row>
    <row r="135" spans="1:47" ht="12" hidden="1" customHeight="1">
      <c r="A135" s="86" t="s">
        <v>47</v>
      </c>
      <c r="B135" s="87">
        <v>46147</v>
      </c>
      <c r="C135" s="88" t="s">
        <v>48</v>
      </c>
      <c r="D135" s="88" t="s">
        <v>49</v>
      </c>
      <c r="E135" s="89">
        <v>79459569</v>
      </c>
      <c r="F135" s="218" t="s">
        <v>447</v>
      </c>
      <c r="G135" s="91">
        <v>14789562751</v>
      </c>
      <c r="H135" s="92">
        <v>33150</v>
      </c>
      <c r="I135" s="88">
        <v>35</v>
      </c>
      <c r="J135" s="88" t="s">
        <v>64</v>
      </c>
      <c r="K135" s="88" t="s">
        <v>80</v>
      </c>
      <c r="L135" s="88" t="s">
        <v>87</v>
      </c>
      <c r="M135" s="88"/>
      <c r="N135" s="88" t="s">
        <v>91</v>
      </c>
      <c r="O135" s="93" t="s">
        <v>448</v>
      </c>
      <c r="P135" s="94" t="s">
        <v>56</v>
      </c>
      <c r="Q135" s="142" t="s">
        <v>68</v>
      </c>
      <c r="R135" s="95">
        <v>46154</v>
      </c>
      <c r="S135" s="96"/>
      <c r="T135" s="96" t="s">
        <v>69</v>
      </c>
      <c r="U135" s="96" t="s">
        <v>70</v>
      </c>
      <c r="V135" s="92">
        <v>46153</v>
      </c>
      <c r="W135" s="92">
        <v>46154</v>
      </c>
      <c r="X135" s="92" t="s">
        <v>71</v>
      </c>
      <c r="Y135" s="97"/>
      <c r="Z135" s="88" t="s">
        <v>72</v>
      </c>
      <c r="AA135" s="96" t="s">
        <v>449</v>
      </c>
      <c r="AB135" s="88"/>
      <c r="AC135" s="119"/>
      <c r="AD135" s="88"/>
      <c r="AE135" s="88"/>
      <c r="AF135" s="98"/>
      <c r="AG135" s="98"/>
      <c r="AH135" s="98"/>
      <c r="AI135" s="99" t="s">
        <v>61</v>
      </c>
      <c r="AJ135" s="99" t="s">
        <v>61</v>
      </c>
      <c r="AK135" s="99" t="s">
        <v>61</v>
      </c>
      <c r="AL135" s="44" t="s">
        <v>62</v>
      </c>
      <c r="AM135" s="196" t="str">
        <f>MONTH(B135)&amp;"/"&amp;YEAR(B135)</f>
        <v>5/2026</v>
      </c>
      <c r="AN135" s="44">
        <f>WEEKNUM(B135)-WEEKNUM(EOMONTH(B135,-1)+1)+1</f>
        <v>2</v>
      </c>
      <c r="AO135" s="44" t="str">
        <f>MONTH(R135)&amp;"/"&amp;YEAR(R135)</f>
        <v>5/2026</v>
      </c>
      <c r="AP135" s="44">
        <f>WEEKNUM(R135)-WEEKNUM(EOMONTH(R135,-1)+1)+1</f>
        <v>3</v>
      </c>
      <c r="AQ135" s="44">
        <f>IF(AU135="S",IF(Q135="1. Aceitou o programa",R135-B135,0),0)</f>
        <v>7</v>
      </c>
      <c r="AR135" s="44">
        <f>IF(AU135="S",IF(AND(S135&lt;&gt;"",R135&lt;&gt;""),S135-R135,0),0)</f>
        <v>0</v>
      </c>
      <c r="AS135" s="44">
        <f>IF(AU135="S",IF(Q135="1. Aceitou o programa",IF(OR(X135="Não se Aplica",X135=""),IF(OR(W135="Não se Aplica",W135=""),0,W135-V135),AVERAGE(X135-W135,W135-V135)),0),0)</f>
        <v>1</v>
      </c>
      <c r="AT135" s="44">
        <f>IF(AU135="S",IF(AND(Q135="1. Aceitou o programa",AB135="Realizada"),IFERROR(IF(AA135="",0,AA135-R135),0),0),0)</f>
        <v>0</v>
      </c>
      <c r="AU135" s="44" t="str">
        <f>_xlfn.XLOOKUP(U135,'Lista Suspensa'!$AA$20:$AA$23,'Lista Suspensa'!$AB$20:$AB$23,"N/A")</f>
        <v>S</v>
      </c>
    </row>
    <row r="136" spans="1:47" ht="12" hidden="1" customHeight="1">
      <c r="A136" s="86" t="s">
        <v>47</v>
      </c>
      <c r="B136" s="87">
        <v>46147</v>
      </c>
      <c r="C136" s="88" t="s">
        <v>48</v>
      </c>
      <c r="D136" s="88" t="s">
        <v>49</v>
      </c>
      <c r="E136" s="89">
        <v>93632601</v>
      </c>
      <c r="F136" s="218" t="s">
        <v>450</v>
      </c>
      <c r="G136" s="91">
        <v>16250485724</v>
      </c>
      <c r="H136" s="92">
        <v>34796</v>
      </c>
      <c r="I136" s="88">
        <v>31</v>
      </c>
      <c r="J136" s="88" t="s">
        <v>64</v>
      </c>
      <c r="K136" s="88" t="s">
        <v>80</v>
      </c>
      <c r="L136" s="88" t="s">
        <v>87</v>
      </c>
      <c r="M136" s="88"/>
      <c r="N136" s="88" t="s">
        <v>143</v>
      </c>
      <c r="O136" s="93" t="s">
        <v>451</v>
      </c>
      <c r="P136" s="94" t="s">
        <v>56</v>
      </c>
      <c r="Q136" s="142" t="s">
        <v>68</v>
      </c>
      <c r="R136" s="95">
        <v>46154</v>
      </c>
      <c r="S136" s="96"/>
      <c r="T136" s="96" t="s">
        <v>69</v>
      </c>
      <c r="U136" s="96" t="s">
        <v>70</v>
      </c>
      <c r="V136" s="92">
        <v>46153</v>
      </c>
      <c r="W136" s="92">
        <v>46154</v>
      </c>
      <c r="X136" s="92" t="s">
        <v>71</v>
      </c>
      <c r="Y136" s="97"/>
      <c r="Z136" s="88" t="s">
        <v>72</v>
      </c>
      <c r="AA136" s="96" t="s">
        <v>452</v>
      </c>
      <c r="AB136" s="88" t="s">
        <v>74</v>
      </c>
      <c r="AC136" s="119">
        <v>46174</v>
      </c>
      <c r="AD136" s="88"/>
      <c r="AE136" s="88"/>
      <c r="AF136" s="98"/>
      <c r="AG136" s="98"/>
      <c r="AH136" s="98"/>
      <c r="AI136" s="99" t="s">
        <v>61</v>
      </c>
      <c r="AJ136" s="99" t="s">
        <v>61</v>
      </c>
      <c r="AK136" s="99" t="s">
        <v>61</v>
      </c>
      <c r="AL136" s="44" t="s">
        <v>62</v>
      </c>
      <c r="AM136" s="196" t="str">
        <f>MONTH(B136)&amp;"/"&amp;YEAR(B136)</f>
        <v>5/2026</v>
      </c>
      <c r="AN136" s="44">
        <f>WEEKNUM(B136)-WEEKNUM(EOMONTH(B136,-1)+1)+1</f>
        <v>2</v>
      </c>
      <c r="AO136" s="44" t="str">
        <f>MONTH(R136)&amp;"/"&amp;YEAR(R136)</f>
        <v>5/2026</v>
      </c>
      <c r="AP136" s="44">
        <f>WEEKNUM(R136)-WEEKNUM(EOMONTH(R136,-1)+1)+1</f>
        <v>3</v>
      </c>
      <c r="AQ136" s="44">
        <f>IF(AU136="S",IF(Q136="1. Aceitou o programa",R136-B136,0),0)</f>
        <v>7</v>
      </c>
      <c r="AR136" s="44">
        <f>IF(AU136="S",IF(AND(S136&lt;&gt;"",R136&lt;&gt;""),S136-R136,0),0)</f>
        <v>0</v>
      </c>
      <c r="AS136" s="44">
        <f>IF(AU136="S",IF(Q136="1. Aceitou o programa",IF(OR(X136="Não se Aplica",X136=""),IF(OR(W136="Não se Aplica",W136=""),0,W136-V136),AVERAGE(X136-W136,W136-V136)),0),0)</f>
        <v>1</v>
      </c>
      <c r="AT136" s="44">
        <f>IF(AU136="S",IF(AND(Q136="1. Aceitou o programa",AB136="Realizada"),IFERROR(IF(AA136="",0,AA136-R136),0),0),0)</f>
        <v>8.6944444444452529</v>
      </c>
      <c r="AU136" s="44" t="str">
        <f>_xlfn.XLOOKUP(U136,'Lista Suspensa'!$AA$20:$AA$23,'Lista Suspensa'!$AB$20:$AB$23,"N/A")</f>
        <v>S</v>
      </c>
    </row>
    <row r="137" spans="1:47" ht="12" hidden="1" customHeight="1">
      <c r="A137" s="86" t="s">
        <v>47</v>
      </c>
      <c r="B137" s="87">
        <v>46147</v>
      </c>
      <c r="C137" s="88" t="s">
        <v>48</v>
      </c>
      <c r="D137" s="88" t="s">
        <v>49</v>
      </c>
      <c r="E137" s="89">
        <v>95538780</v>
      </c>
      <c r="F137" s="218" t="s">
        <v>453</v>
      </c>
      <c r="G137" s="91">
        <v>29407504832</v>
      </c>
      <c r="H137" s="92">
        <v>28620</v>
      </c>
      <c r="I137" s="88">
        <v>48</v>
      </c>
      <c r="J137" s="88" t="s">
        <v>51</v>
      </c>
      <c r="K137" s="88" t="s">
        <v>52</v>
      </c>
      <c r="L137" s="88" t="s">
        <v>53</v>
      </c>
      <c r="M137" s="88"/>
      <c r="N137" s="88" t="s">
        <v>88</v>
      </c>
      <c r="O137" s="93" t="s">
        <v>454</v>
      </c>
      <c r="P137" s="94" t="s">
        <v>56</v>
      </c>
      <c r="Q137" s="142" t="s">
        <v>68</v>
      </c>
      <c r="R137" s="95">
        <v>46153</v>
      </c>
      <c r="S137" s="96"/>
      <c r="T137" s="96" t="s">
        <v>69</v>
      </c>
      <c r="U137" s="96" t="s">
        <v>70</v>
      </c>
      <c r="V137" s="92">
        <v>46153</v>
      </c>
      <c r="W137" s="92" t="s">
        <v>71</v>
      </c>
      <c r="X137" s="92" t="s">
        <v>71</v>
      </c>
      <c r="Y137" s="97"/>
      <c r="Z137" s="88" t="s">
        <v>72</v>
      </c>
      <c r="AA137" s="96" t="s">
        <v>455</v>
      </c>
      <c r="AB137" s="88" t="s">
        <v>74</v>
      </c>
      <c r="AC137" s="119"/>
      <c r="AD137" s="88" t="s">
        <v>97</v>
      </c>
      <c r="AE137" s="88">
        <v>53</v>
      </c>
      <c r="AF137" s="98" t="s">
        <v>242</v>
      </c>
      <c r="AG137" s="98" t="s">
        <v>242</v>
      </c>
      <c r="AH137" s="98" t="s">
        <v>77</v>
      </c>
      <c r="AI137" s="99" t="s">
        <v>61</v>
      </c>
      <c r="AJ137" s="99" t="s">
        <v>61</v>
      </c>
      <c r="AK137" s="99" t="s">
        <v>61</v>
      </c>
      <c r="AL137" s="44" t="s">
        <v>62</v>
      </c>
      <c r="AM137" s="196" t="str">
        <f>MONTH(B137)&amp;"/"&amp;YEAR(B137)</f>
        <v>5/2026</v>
      </c>
      <c r="AN137" s="44">
        <f>WEEKNUM(B137)-WEEKNUM(EOMONTH(B137,-1)+1)+1</f>
        <v>2</v>
      </c>
      <c r="AO137" s="44" t="str">
        <f>MONTH(R137)&amp;"/"&amp;YEAR(R137)</f>
        <v>5/2026</v>
      </c>
      <c r="AP137" s="44">
        <f>WEEKNUM(R137)-WEEKNUM(EOMONTH(R137,-1)+1)+1</f>
        <v>3</v>
      </c>
      <c r="AQ137" s="44">
        <f>IF(AU137="S",IF(Q137="1. Aceitou o programa",R137-B137,0),0)</f>
        <v>6</v>
      </c>
      <c r="AR137" s="44">
        <f>IF(AU137="S",IF(AND(S137&lt;&gt;"",R137&lt;&gt;""),S137-R137,0),0)</f>
        <v>0</v>
      </c>
      <c r="AS137" s="44">
        <f>IF(AU137="S",IF(Q137="1. Aceitou o programa",IF(OR(X137="Não se Aplica",X137=""),IF(OR(W137="Não se Aplica",W137=""),0,W137-V137),AVERAGE(X137-W137,W137-V137)),0),0)</f>
        <v>0</v>
      </c>
      <c r="AT137" s="44">
        <f>IF(AU137="S",IF(AND(Q137="1. Aceitou o programa",AB137="Realizada"),IFERROR(IF(AA137="",0,AA137-R137),0),0),0)</f>
        <v>8.4861111111094942</v>
      </c>
      <c r="AU137" s="44" t="str">
        <f>_xlfn.XLOOKUP(U137,'Lista Suspensa'!$AA$20:$AA$23,'Lista Suspensa'!$AB$20:$AB$23,"N/A")</f>
        <v>S</v>
      </c>
    </row>
    <row r="138" spans="1:47" ht="12" hidden="1" customHeight="1">
      <c r="A138" s="86" t="s">
        <v>47</v>
      </c>
      <c r="B138" s="87">
        <v>46147</v>
      </c>
      <c r="C138" s="88" t="s">
        <v>48</v>
      </c>
      <c r="D138" s="88" t="s">
        <v>49</v>
      </c>
      <c r="E138" s="89">
        <v>452259029</v>
      </c>
      <c r="F138" s="218" t="s">
        <v>456</v>
      </c>
      <c r="G138" s="91">
        <v>348923627</v>
      </c>
      <c r="H138" s="92">
        <v>27566</v>
      </c>
      <c r="I138" s="88">
        <v>50</v>
      </c>
      <c r="J138" s="88" t="s">
        <v>64</v>
      </c>
      <c r="K138" s="88" t="s">
        <v>52</v>
      </c>
      <c r="L138" s="88" t="s">
        <v>53</v>
      </c>
      <c r="M138" s="88"/>
      <c r="N138" s="88" t="s">
        <v>210</v>
      </c>
      <c r="O138" s="93" t="s">
        <v>457</v>
      </c>
      <c r="P138" s="94" t="s">
        <v>56</v>
      </c>
      <c r="Q138" s="142" t="s">
        <v>68</v>
      </c>
      <c r="R138" s="95">
        <v>46154</v>
      </c>
      <c r="S138" s="96"/>
      <c r="T138" s="96" t="s">
        <v>69</v>
      </c>
      <c r="U138" s="96" t="s">
        <v>70</v>
      </c>
      <c r="V138" s="92">
        <v>46153</v>
      </c>
      <c r="W138" s="92">
        <v>46154</v>
      </c>
      <c r="X138" s="92" t="s">
        <v>71</v>
      </c>
      <c r="Y138" s="97"/>
      <c r="Z138" s="88" t="s">
        <v>72</v>
      </c>
      <c r="AA138" s="96" t="s">
        <v>458</v>
      </c>
      <c r="AB138" s="88"/>
      <c r="AC138" s="119">
        <v>46174</v>
      </c>
      <c r="AD138" s="88"/>
      <c r="AE138" s="88"/>
      <c r="AF138" s="98"/>
      <c r="AG138" s="98"/>
      <c r="AH138" s="98"/>
      <c r="AI138" s="99" t="s">
        <v>61</v>
      </c>
      <c r="AJ138" s="99" t="s">
        <v>61</v>
      </c>
      <c r="AK138" s="99" t="s">
        <v>61</v>
      </c>
      <c r="AL138" s="44" t="s">
        <v>62</v>
      </c>
      <c r="AM138" s="196" t="str">
        <f>MONTH(B138)&amp;"/"&amp;YEAR(B138)</f>
        <v>5/2026</v>
      </c>
      <c r="AN138" s="44">
        <f>WEEKNUM(B138)-WEEKNUM(EOMONTH(B138,-1)+1)+1</f>
        <v>2</v>
      </c>
      <c r="AO138" s="44" t="str">
        <f>MONTH(R138)&amp;"/"&amp;YEAR(R138)</f>
        <v>5/2026</v>
      </c>
      <c r="AP138" s="44">
        <f>WEEKNUM(R138)-WEEKNUM(EOMONTH(R138,-1)+1)+1</f>
        <v>3</v>
      </c>
      <c r="AQ138" s="44">
        <f>IF(AU138="S",IF(Q138="1. Aceitou o programa",R138-B138,0),0)</f>
        <v>7</v>
      </c>
      <c r="AR138" s="44">
        <f>IF(AU138="S",IF(AND(S138&lt;&gt;"",R138&lt;&gt;""),S138-R138,0),0)</f>
        <v>0</v>
      </c>
      <c r="AS138" s="44">
        <f>IF(AU138="S",IF(Q138="1. Aceitou o programa",IF(OR(X138="Não se Aplica",X138=""),IF(OR(W138="Não se Aplica",W138=""),0,W138-V138),AVERAGE(X138-W138,W138-V138)),0),0)</f>
        <v>1</v>
      </c>
      <c r="AT138" s="44">
        <f>IF(AU138="S",IF(AND(Q138="1. Aceitou o programa",AB138="Realizada"),IFERROR(IF(AA138="",0,AA138-R138),0),0),0)</f>
        <v>0</v>
      </c>
      <c r="AU138" s="44" t="str">
        <f>_xlfn.XLOOKUP(U138,'Lista Suspensa'!$AA$20:$AA$23,'Lista Suspensa'!$AB$20:$AB$23,"N/A")</f>
        <v>S</v>
      </c>
    </row>
    <row r="139" spans="1:47" ht="12" hidden="1" customHeight="1">
      <c r="A139" s="86" t="s">
        <v>47</v>
      </c>
      <c r="B139" s="87">
        <v>46147</v>
      </c>
      <c r="C139" s="88" t="s">
        <v>48</v>
      </c>
      <c r="D139" s="88" t="s">
        <v>49</v>
      </c>
      <c r="E139" s="89">
        <v>744146704</v>
      </c>
      <c r="F139" s="218" t="s">
        <v>459</v>
      </c>
      <c r="G139" s="91">
        <v>28818652753</v>
      </c>
      <c r="H139" s="92">
        <v>17681</v>
      </c>
      <c r="I139" s="88">
        <v>77</v>
      </c>
      <c r="J139" s="88" t="s">
        <v>51</v>
      </c>
      <c r="K139" s="88" t="s">
        <v>80</v>
      </c>
      <c r="L139" s="88" t="s">
        <v>87</v>
      </c>
      <c r="M139" s="88"/>
      <c r="N139" s="88" t="s">
        <v>138</v>
      </c>
      <c r="O139" s="93" t="s">
        <v>460</v>
      </c>
      <c r="P139" s="94" t="s">
        <v>56</v>
      </c>
      <c r="Q139" s="142" t="s">
        <v>461</v>
      </c>
      <c r="R139" s="95">
        <v>46170</v>
      </c>
      <c r="S139" s="96">
        <v>46174</v>
      </c>
      <c r="T139" s="96" t="s">
        <v>69</v>
      </c>
      <c r="U139" s="96" t="s">
        <v>59</v>
      </c>
      <c r="V139" s="92">
        <v>46153</v>
      </c>
      <c r="W139" s="92">
        <v>46154</v>
      </c>
      <c r="X139" s="92">
        <v>46164</v>
      </c>
      <c r="Y139" s="97"/>
      <c r="Z139" s="88" t="s">
        <v>72</v>
      </c>
      <c r="AA139" s="96">
        <v>46174</v>
      </c>
      <c r="AB139" s="88" t="s">
        <v>105</v>
      </c>
      <c r="AC139" s="119"/>
      <c r="AD139" s="88"/>
      <c r="AE139" s="88"/>
      <c r="AF139" s="98"/>
      <c r="AG139" s="98"/>
      <c r="AH139" s="98"/>
      <c r="AI139" s="99"/>
      <c r="AJ139" s="99" t="s">
        <v>462</v>
      </c>
      <c r="AK139" s="99"/>
      <c r="AL139" s="44" t="s">
        <v>62</v>
      </c>
      <c r="AM139" s="196" t="str">
        <f>MONTH(B139)&amp;"/"&amp;YEAR(B139)</f>
        <v>5/2026</v>
      </c>
      <c r="AN139" s="44">
        <f>WEEKNUM(B139)-WEEKNUM(EOMONTH(B139,-1)+1)+1</f>
        <v>2</v>
      </c>
      <c r="AO139" s="44" t="str">
        <f>MONTH(R139)&amp;"/"&amp;YEAR(R139)</f>
        <v>5/2026</v>
      </c>
      <c r="AP139" s="44">
        <f>WEEKNUM(R139)-WEEKNUM(EOMONTH(R139,-1)+1)+1</f>
        <v>5</v>
      </c>
      <c r="AQ139" s="44">
        <f>IF(AU139="S",IF(Q139="1. Aceitou o programa",R139-B139,0),0)</f>
        <v>0</v>
      </c>
      <c r="AR139" s="44">
        <f>IF(AU139="S",IF(AND(S139&lt;&gt;"",R139&lt;&gt;""),S139-R139,0),0)</f>
        <v>4</v>
      </c>
      <c r="AS139" s="44">
        <f>IF(AU139="S",IF(Q139="1. Aceitou o programa",IF(OR(X139="Não se Aplica",X139=""),IF(OR(W139="Não se Aplica",W139=""),0,W139-V139),AVERAGE(X139-W139,W139-V139)),0),0)</f>
        <v>0</v>
      </c>
      <c r="AT139" s="44">
        <f>IF(AU139="S",IF(AND(Q139="1. Aceitou o programa",AB139="Realizada"),IFERROR(IF(AA139="",0,AA139-R139),0),0),0)</f>
        <v>0</v>
      </c>
      <c r="AU139" s="44" t="str">
        <f>_xlfn.XLOOKUP(U139,'Lista Suspensa'!$AA$20:$AA$23,'Lista Suspensa'!$AB$20:$AB$23,"N/A")</f>
        <v>S</v>
      </c>
    </row>
    <row r="140" spans="1:47" ht="12" hidden="1" customHeight="1">
      <c r="A140" s="86" t="s">
        <v>47</v>
      </c>
      <c r="B140" s="87">
        <v>46147</v>
      </c>
      <c r="C140" s="88" t="s">
        <v>48</v>
      </c>
      <c r="D140" s="88" t="s">
        <v>49</v>
      </c>
      <c r="E140" s="89">
        <v>86652146</v>
      </c>
      <c r="F140" s="218" t="s">
        <v>463</v>
      </c>
      <c r="G140" s="91">
        <v>12539514707</v>
      </c>
      <c r="H140" s="92">
        <v>32670</v>
      </c>
      <c r="I140" s="88">
        <v>36</v>
      </c>
      <c r="J140" s="88" t="s">
        <v>51</v>
      </c>
      <c r="K140" s="88" t="s">
        <v>80</v>
      </c>
      <c r="L140" s="88" t="s">
        <v>87</v>
      </c>
      <c r="M140" s="88"/>
      <c r="N140" s="88" t="s">
        <v>122</v>
      </c>
      <c r="O140" s="93" t="s">
        <v>464</v>
      </c>
      <c r="P140" s="94" t="s">
        <v>56</v>
      </c>
      <c r="Q140" s="142" t="s">
        <v>57</v>
      </c>
      <c r="R140" s="95"/>
      <c r="S140" s="96">
        <v>46170</v>
      </c>
      <c r="T140" s="96" t="s">
        <v>58</v>
      </c>
      <c r="U140" s="96" t="s">
        <v>59</v>
      </c>
      <c r="V140" s="92">
        <v>46153</v>
      </c>
      <c r="W140" s="92">
        <v>46154</v>
      </c>
      <c r="X140" s="92">
        <v>46164</v>
      </c>
      <c r="Y140" s="97"/>
      <c r="Z140" s="88"/>
      <c r="AA140" s="96"/>
      <c r="AB140" s="88"/>
      <c r="AC140" s="119"/>
      <c r="AD140" s="88"/>
      <c r="AE140" s="88"/>
      <c r="AF140" s="98"/>
      <c r="AG140" s="98"/>
      <c r="AH140" s="98"/>
      <c r="AI140" s="99"/>
      <c r="AJ140" s="99"/>
      <c r="AK140" s="99"/>
      <c r="AL140" s="44" t="s">
        <v>62</v>
      </c>
      <c r="AM140" s="196" t="str">
        <f>MONTH(B140)&amp;"/"&amp;YEAR(B140)</f>
        <v>5/2026</v>
      </c>
      <c r="AN140" s="44">
        <f>WEEKNUM(B140)-WEEKNUM(EOMONTH(B140,-1)+1)+1</f>
        <v>2</v>
      </c>
      <c r="AO140" s="44" t="str">
        <f>MONTH(R140)&amp;"/"&amp;YEAR(R140)</f>
        <v>1/1900</v>
      </c>
      <c r="AP140" s="44" t="e">
        <f>WEEKNUM(R140)-WEEKNUM(EOMONTH(R140,-1)+1)+1</f>
        <v>#NUM!</v>
      </c>
      <c r="AQ140" s="44">
        <f>IF(AU140="S",IF(Q140="1. Aceitou o programa",R140-B140,0),0)</f>
        <v>0</v>
      </c>
      <c r="AR140" s="44">
        <f>IF(AU140="S",IF(AND(S140&lt;&gt;"",R140&lt;&gt;""),S140-R140,0),0)</f>
        <v>0</v>
      </c>
      <c r="AS140" s="44">
        <f>IF(AU140="S",IF(Q140="1. Aceitou o programa",IF(OR(X140="Não se Aplica",X140=""),IF(OR(W140="Não se Aplica",W140=""),0,W140-V140),AVERAGE(X140-W140,W140-V140)),0),0)</f>
        <v>0</v>
      </c>
      <c r="AT140" s="44">
        <f>IF(AU140="S",IF(AND(Q140="1. Aceitou o programa",AB140="Realizada"),IFERROR(IF(AA140="",0,AA140-R140),0),0),0)</f>
        <v>0</v>
      </c>
      <c r="AU140" s="44" t="str">
        <f>_xlfn.XLOOKUP(U140,'Lista Suspensa'!$AA$20:$AA$23,'Lista Suspensa'!$AB$20:$AB$23,"N/A")</f>
        <v>S</v>
      </c>
    </row>
    <row r="141" spans="1:47" ht="12" hidden="1" customHeight="1">
      <c r="A141" s="86" t="s">
        <v>47</v>
      </c>
      <c r="B141" s="87">
        <v>46147</v>
      </c>
      <c r="C141" s="88" t="s">
        <v>48</v>
      </c>
      <c r="D141" s="88" t="s">
        <v>49</v>
      </c>
      <c r="E141" s="89">
        <v>450464016</v>
      </c>
      <c r="F141" s="218" t="s">
        <v>465</v>
      </c>
      <c r="G141" s="91">
        <v>3183488884</v>
      </c>
      <c r="H141" s="92">
        <v>20533</v>
      </c>
      <c r="I141" s="88">
        <v>70</v>
      </c>
      <c r="J141" s="88" t="s">
        <v>64</v>
      </c>
      <c r="K141" s="88" t="s">
        <v>52</v>
      </c>
      <c r="L141" s="88" t="s">
        <v>53</v>
      </c>
      <c r="M141" s="88"/>
      <c r="N141" s="88" t="s">
        <v>54</v>
      </c>
      <c r="O141" s="93" t="s">
        <v>466</v>
      </c>
      <c r="P141" s="94" t="s">
        <v>56</v>
      </c>
      <c r="Q141" s="142" t="s">
        <v>57</v>
      </c>
      <c r="R141" s="95"/>
      <c r="S141" s="96">
        <v>46170</v>
      </c>
      <c r="T141" s="96" t="s">
        <v>58</v>
      </c>
      <c r="U141" s="96" t="s">
        <v>59</v>
      </c>
      <c r="V141" s="92">
        <v>46153</v>
      </c>
      <c r="W141" s="92">
        <v>46154</v>
      </c>
      <c r="X141" s="92">
        <v>46164</v>
      </c>
      <c r="Y141" s="97"/>
      <c r="Z141" s="88"/>
      <c r="AA141" s="96"/>
      <c r="AB141" s="88"/>
      <c r="AC141" s="119"/>
      <c r="AD141" s="88"/>
      <c r="AE141" s="88"/>
      <c r="AF141" s="98"/>
      <c r="AG141" s="98"/>
      <c r="AH141" s="98"/>
      <c r="AI141" s="99"/>
      <c r="AJ141" s="99"/>
      <c r="AK141" s="99"/>
      <c r="AL141" s="44" t="s">
        <v>62</v>
      </c>
      <c r="AM141" s="196" t="str">
        <f>MONTH(B141)&amp;"/"&amp;YEAR(B141)</f>
        <v>5/2026</v>
      </c>
      <c r="AN141" s="44">
        <f>WEEKNUM(B141)-WEEKNUM(EOMONTH(B141,-1)+1)+1</f>
        <v>2</v>
      </c>
      <c r="AO141" s="44" t="str">
        <f>MONTH(R141)&amp;"/"&amp;YEAR(R141)</f>
        <v>1/1900</v>
      </c>
      <c r="AP141" s="44" t="e">
        <f>WEEKNUM(R141)-WEEKNUM(EOMONTH(R141,-1)+1)+1</f>
        <v>#NUM!</v>
      </c>
      <c r="AQ141" s="44">
        <f>IF(AU141="S",IF(Q141="1. Aceitou o programa",R141-B141,0),0)</f>
        <v>0</v>
      </c>
      <c r="AR141" s="44">
        <f>IF(AU141="S",IF(AND(S141&lt;&gt;"",R141&lt;&gt;""),S141-R141,0),0)</f>
        <v>0</v>
      </c>
      <c r="AS141" s="44">
        <f>IF(AU141="S",IF(Q141="1. Aceitou o programa",IF(OR(X141="Não se Aplica",X141=""),IF(OR(W141="Não se Aplica",W141=""),0,W141-V141),AVERAGE(X141-W141,W141-V141)),0),0)</f>
        <v>0</v>
      </c>
      <c r="AT141" s="44">
        <f>IF(AU141="S",IF(AND(Q141="1. Aceitou o programa",AB141="Realizada"),IFERROR(IF(AA141="",0,AA141-R141),0),0),0)</f>
        <v>0</v>
      </c>
      <c r="AU141" s="44" t="str">
        <f>_xlfn.XLOOKUP(U141,'Lista Suspensa'!$AA$20:$AA$23,'Lista Suspensa'!$AB$20:$AB$23,"N/A")</f>
        <v>S</v>
      </c>
    </row>
    <row r="142" spans="1:47" ht="12" hidden="1" customHeight="1">
      <c r="A142" s="86" t="s">
        <v>47</v>
      </c>
      <c r="B142" s="87">
        <v>46147</v>
      </c>
      <c r="C142" s="88" t="s">
        <v>48</v>
      </c>
      <c r="D142" s="88" t="s">
        <v>49</v>
      </c>
      <c r="E142" s="89">
        <v>93844511</v>
      </c>
      <c r="F142" s="218" t="s">
        <v>467</v>
      </c>
      <c r="G142" s="91">
        <v>7158771784</v>
      </c>
      <c r="H142" s="92">
        <v>27944</v>
      </c>
      <c r="I142" s="88">
        <v>49</v>
      </c>
      <c r="J142" s="88" t="s">
        <v>64</v>
      </c>
      <c r="K142" s="88" t="s">
        <v>80</v>
      </c>
      <c r="L142" s="88" t="s">
        <v>87</v>
      </c>
      <c r="M142" s="88"/>
      <c r="N142" s="88" t="s">
        <v>94</v>
      </c>
      <c r="O142" s="93" t="s">
        <v>468</v>
      </c>
      <c r="P142" s="94" t="s">
        <v>56</v>
      </c>
      <c r="Q142" s="142" t="s">
        <v>68</v>
      </c>
      <c r="R142" s="95">
        <v>46153</v>
      </c>
      <c r="S142" s="96"/>
      <c r="T142" s="96" t="s">
        <v>69</v>
      </c>
      <c r="U142" s="96" t="s">
        <v>70</v>
      </c>
      <c r="V142" s="92">
        <v>46153</v>
      </c>
      <c r="W142" s="92" t="s">
        <v>71</v>
      </c>
      <c r="X142" s="92" t="s">
        <v>71</v>
      </c>
      <c r="Y142" s="97"/>
      <c r="Z142" s="88" t="s">
        <v>72</v>
      </c>
      <c r="AA142" s="96" t="s">
        <v>469</v>
      </c>
      <c r="AB142" s="88" t="s">
        <v>74</v>
      </c>
      <c r="AC142" s="119"/>
      <c r="AD142" s="88" t="s">
        <v>75</v>
      </c>
      <c r="AE142" s="88">
        <v>62</v>
      </c>
      <c r="AF142" s="98" t="s">
        <v>151</v>
      </c>
      <c r="AG142" s="98" t="s">
        <v>151</v>
      </c>
      <c r="AH142" s="98" t="s">
        <v>77</v>
      </c>
      <c r="AI142" s="99" t="s">
        <v>61</v>
      </c>
      <c r="AJ142" s="99" t="s">
        <v>61</v>
      </c>
      <c r="AK142" s="99" t="s">
        <v>61</v>
      </c>
      <c r="AL142" s="44" t="s">
        <v>62</v>
      </c>
      <c r="AM142" s="196" t="str">
        <f>MONTH(B142)&amp;"/"&amp;YEAR(B142)</f>
        <v>5/2026</v>
      </c>
      <c r="AN142" s="44">
        <f>WEEKNUM(B142)-WEEKNUM(EOMONTH(B142,-1)+1)+1</f>
        <v>2</v>
      </c>
      <c r="AO142" s="44" t="str">
        <f>MONTH(R142)&amp;"/"&amp;YEAR(R142)</f>
        <v>5/2026</v>
      </c>
      <c r="AP142" s="44">
        <f>WEEKNUM(R142)-WEEKNUM(EOMONTH(R142,-1)+1)+1</f>
        <v>3</v>
      </c>
      <c r="AQ142" s="44">
        <f>IF(AU142="S",IF(Q142="1. Aceitou o programa",R142-B142,0),0)</f>
        <v>6</v>
      </c>
      <c r="AR142" s="44">
        <f>IF(AU142="S",IF(AND(S142&lt;&gt;"",R142&lt;&gt;""),S142-R142,0),0)</f>
        <v>0</v>
      </c>
      <c r="AS142" s="44">
        <f>IF(AU142="S",IF(Q142="1. Aceitou o programa",IF(OR(X142="Não se Aplica",X142=""),IF(OR(W142="Não se Aplica",W142=""),0,W142-V142),AVERAGE(X142-W142,W142-V142)),0),0)</f>
        <v>0</v>
      </c>
      <c r="AT142" s="44">
        <f>IF(AU142="S",IF(AND(Q142="1. Aceitou o programa",AB142="Realizada"),IFERROR(IF(AA142="",0,AA142-R142),0),0),0)</f>
        <v>15.5</v>
      </c>
      <c r="AU142" s="44" t="str">
        <f>_xlfn.XLOOKUP(U142,'Lista Suspensa'!$AA$20:$AA$23,'Lista Suspensa'!$AB$20:$AB$23,"N/A")</f>
        <v>S</v>
      </c>
    </row>
    <row r="143" spans="1:47" ht="12" hidden="1" customHeight="1">
      <c r="A143" s="86" t="s">
        <v>47</v>
      </c>
      <c r="B143" s="87">
        <v>46147</v>
      </c>
      <c r="C143" s="88" t="s">
        <v>48</v>
      </c>
      <c r="D143" s="88" t="s">
        <v>49</v>
      </c>
      <c r="E143" s="111">
        <v>92969029</v>
      </c>
      <c r="F143" s="218" t="s">
        <v>470</v>
      </c>
      <c r="G143" s="91">
        <v>68640030782</v>
      </c>
      <c r="H143" s="92">
        <v>24941</v>
      </c>
      <c r="I143" s="88">
        <v>58</v>
      </c>
      <c r="J143" s="88" t="s">
        <v>51</v>
      </c>
      <c r="K143" s="88" t="s">
        <v>80</v>
      </c>
      <c r="L143" s="88" t="s">
        <v>81</v>
      </c>
      <c r="M143" s="88"/>
      <c r="N143" s="88" t="s">
        <v>122</v>
      </c>
      <c r="O143" s="93" t="s">
        <v>471</v>
      </c>
      <c r="P143" s="94" t="s">
        <v>56</v>
      </c>
      <c r="Q143" s="142" t="s">
        <v>68</v>
      </c>
      <c r="R143" s="95">
        <v>46163</v>
      </c>
      <c r="S143" s="96"/>
      <c r="T143" s="96" t="s">
        <v>69</v>
      </c>
      <c r="U143" s="96" t="s">
        <v>70</v>
      </c>
      <c r="V143" s="92">
        <v>46153</v>
      </c>
      <c r="W143" s="92">
        <v>46154</v>
      </c>
      <c r="X143" s="92">
        <v>46160</v>
      </c>
      <c r="Y143" s="97"/>
      <c r="Z143" s="88" t="s">
        <v>72</v>
      </c>
      <c r="AA143" s="96">
        <v>46171.513888888891</v>
      </c>
      <c r="AB143" s="88"/>
      <c r="AC143" s="119"/>
      <c r="AD143" s="88"/>
      <c r="AE143" s="88"/>
      <c r="AF143" s="98"/>
      <c r="AG143" s="98"/>
      <c r="AH143" s="98"/>
      <c r="AI143" s="99"/>
      <c r="AJ143" s="99" t="s">
        <v>61</v>
      </c>
      <c r="AK143" s="99" t="s">
        <v>61</v>
      </c>
      <c r="AL143" s="44" t="s">
        <v>62</v>
      </c>
      <c r="AM143" s="196" t="str">
        <f>MONTH(B143)&amp;"/"&amp;YEAR(B143)</f>
        <v>5/2026</v>
      </c>
      <c r="AN143" s="44">
        <f>WEEKNUM(B143)-WEEKNUM(EOMONTH(B143,-1)+1)+1</f>
        <v>2</v>
      </c>
      <c r="AO143" s="44" t="str">
        <f>MONTH(R143)&amp;"/"&amp;YEAR(R143)</f>
        <v>5/2026</v>
      </c>
      <c r="AP143" s="44">
        <f>WEEKNUM(R143)-WEEKNUM(EOMONTH(R143,-1)+1)+1</f>
        <v>4</v>
      </c>
      <c r="AQ143" s="44">
        <f>IF(AU143="S",IF(Q143="1. Aceitou o programa",R143-B143,0),0)</f>
        <v>16</v>
      </c>
      <c r="AR143" s="44">
        <f>IF(AU143="S",IF(AND(S143&lt;&gt;"",R143&lt;&gt;""),S143-R143,0),0)</f>
        <v>0</v>
      </c>
      <c r="AS143" s="44">
        <f>IF(AU143="S",IF(Q143="1. Aceitou o programa",IF(OR(X143="Não se Aplica",X143=""),IF(OR(W143="Não se Aplica",W143=""),0,W143-V143),AVERAGE(X143-W143,W143-V143)),0),0)</f>
        <v>3.5</v>
      </c>
      <c r="AT143" s="44">
        <f>IF(AU143="S",IF(AND(Q143="1. Aceitou o programa",AB143="Realizada"),IFERROR(IF(AA143="",0,AA143-R143),0),0),0)</f>
        <v>0</v>
      </c>
      <c r="AU143" s="44" t="str">
        <f>_xlfn.XLOOKUP(U143,'Lista Suspensa'!$AA$20:$AA$23,'Lista Suspensa'!$AB$20:$AB$23,"N/A")</f>
        <v>S</v>
      </c>
    </row>
    <row r="144" spans="1:47" ht="12" hidden="1" customHeight="1">
      <c r="A144" s="86" t="s">
        <v>47</v>
      </c>
      <c r="B144" s="87">
        <v>46147</v>
      </c>
      <c r="C144" s="88" t="s">
        <v>48</v>
      </c>
      <c r="D144" s="88" t="s">
        <v>49</v>
      </c>
      <c r="E144" s="89">
        <v>76349831</v>
      </c>
      <c r="F144" s="218" t="s">
        <v>472</v>
      </c>
      <c r="G144" s="91">
        <v>54418771700</v>
      </c>
      <c r="H144" s="92">
        <v>21872</v>
      </c>
      <c r="I144" s="88">
        <v>66</v>
      </c>
      <c r="J144" s="88" t="s">
        <v>51</v>
      </c>
      <c r="K144" s="88" t="s">
        <v>80</v>
      </c>
      <c r="L144" s="88" t="s">
        <v>87</v>
      </c>
      <c r="M144" s="88"/>
      <c r="N144" s="88" t="s">
        <v>110</v>
      </c>
      <c r="O144" s="93" t="s">
        <v>473</v>
      </c>
      <c r="P144" s="94" t="s">
        <v>56</v>
      </c>
      <c r="Q144" s="142" t="s">
        <v>57</v>
      </c>
      <c r="R144" s="95"/>
      <c r="S144" s="96">
        <v>46170</v>
      </c>
      <c r="T144" s="96" t="s">
        <v>58</v>
      </c>
      <c r="U144" s="96" t="s">
        <v>59</v>
      </c>
      <c r="V144" s="92">
        <v>46153</v>
      </c>
      <c r="W144" s="92">
        <v>46154</v>
      </c>
      <c r="X144" s="92">
        <v>46164</v>
      </c>
      <c r="Y144" s="97"/>
      <c r="Z144" s="88"/>
      <c r="AA144" s="96"/>
      <c r="AB144" s="88"/>
      <c r="AC144" s="119"/>
      <c r="AD144" s="88"/>
      <c r="AE144" s="88"/>
      <c r="AF144" s="98"/>
      <c r="AG144" s="98"/>
      <c r="AH144" s="98"/>
      <c r="AI144" s="99"/>
      <c r="AJ144" s="99"/>
      <c r="AK144" s="99"/>
      <c r="AL144" s="44" t="s">
        <v>62</v>
      </c>
      <c r="AM144" s="196" t="str">
        <f>MONTH(B144)&amp;"/"&amp;YEAR(B144)</f>
        <v>5/2026</v>
      </c>
      <c r="AN144" s="44">
        <f>WEEKNUM(B144)-WEEKNUM(EOMONTH(B144,-1)+1)+1</f>
        <v>2</v>
      </c>
      <c r="AO144" s="44" t="str">
        <f>MONTH(R144)&amp;"/"&amp;YEAR(R144)</f>
        <v>1/1900</v>
      </c>
      <c r="AP144" s="44" t="e">
        <f>WEEKNUM(R144)-WEEKNUM(EOMONTH(R144,-1)+1)+1</f>
        <v>#NUM!</v>
      </c>
      <c r="AQ144" s="44">
        <f>IF(AU144="S",IF(Q144="1. Aceitou o programa",R144-B144,0),0)</f>
        <v>0</v>
      </c>
      <c r="AR144" s="44">
        <f>IF(AU144="S",IF(AND(S144&lt;&gt;"",R144&lt;&gt;""),S144-R144,0),0)</f>
        <v>0</v>
      </c>
      <c r="AS144" s="44">
        <f>IF(AU144="S",IF(Q144="1. Aceitou o programa",IF(OR(X144="Não se Aplica",X144=""),IF(OR(W144="Não se Aplica",W144=""),0,W144-V144),AVERAGE(X144-W144,W144-V144)),0),0)</f>
        <v>0</v>
      </c>
      <c r="AT144" s="44">
        <f>IF(AU144="S",IF(AND(Q144="1. Aceitou o programa",AB144="Realizada"),IFERROR(IF(AA144="",0,AA144-R144),0),0),0)</f>
        <v>0</v>
      </c>
      <c r="AU144" s="44" t="str">
        <f>_xlfn.XLOOKUP(U144,'Lista Suspensa'!$AA$20:$AA$23,'Lista Suspensa'!$AB$20:$AB$23,"N/A")</f>
        <v>S</v>
      </c>
    </row>
    <row r="145" spans="1:47" ht="12" hidden="1" customHeight="1">
      <c r="A145" s="86" t="s">
        <v>47</v>
      </c>
      <c r="B145" s="87">
        <v>46147</v>
      </c>
      <c r="C145" s="88" t="s">
        <v>48</v>
      </c>
      <c r="D145" s="88" t="s">
        <v>49</v>
      </c>
      <c r="E145" s="89">
        <v>79310500</v>
      </c>
      <c r="F145" s="218" t="s">
        <v>474</v>
      </c>
      <c r="G145" s="91">
        <v>84755890730</v>
      </c>
      <c r="H145" s="92">
        <v>23729</v>
      </c>
      <c r="I145" s="88">
        <v>61</v>
      </c>
      <c r="J145" s="88" t="s">
        <v>51</v>
      </c>
      <c r="K145" s="88" t="s">
        <v>80</v>
      </c>
      <c r="L145" s="88" t="s">
        <v>87</v>
      </c>
      <c r="M145" s="88"/>
      <c r="N145" s="88" t="s">
        <v>91</v>
      </c>
      <c r="O145" s="93" t="s">
        <v>475</v>
      </c>
      <c r="P145" s="94" t="s">
        <v>56</v>
      </c>
      <c r="Q145" s="142" t="s">
        <v>68</v>
      </c>
      <c r="R145" s="95">
        <v>46154</v>
      </c>
      <c r="S145" s="96"/>
      <c r="T145" s="96" t="s">
        <v>69</v>
      </c>
      <c r="U145" s="96" t="s">
        <v>70</v>
      </c>
      <c r="V145" s="92">
        <v>46153</v>
      </c>
      <c r="W145" s="92">
        <v>46154</v>
      </c>
      <c r="X145" s="92" t="s">
        <v>71</v>
      </c>
      <c r="Y145" s="97"/>
      <c r="Z145" s="88" t="s">
        <v>72</v>
      </c>
      <c r="AA145" s="96" t="s">
        <v>476</v>
      </c>
      <c r="AB145" s="88" t="s">
        <v>74</v>
      </c>
      <c r="AC145" s="119"/>
      <c r="AD145" s="88" t="s">
        <v>75</v>
      </c>
      <c r="AE145" s="88">
        <v>63</v>
      </c>
      <c r="AF145" s="98" t="s">
        <v>85</v>
      </c>
      <c r="AG145" s="98" t="s">
        <v>85</v>
      </c>
      <c r="AH145" s="98" t="s">
        <v>77</v>
      </c>
      <c r="AI145" s="99" t="s">
        <v>61</v>
      </c>
      <c r="AJ145" s="99" t="s">
        <v>61</v>
      </c>
      <c r="AK145" s="99" t="s">
        <v>61</v>
      </c>
      <c r="AL145" s="44" t="s">
        <v>62</v>
      </c>
      <c r="AM145" s="196" t="str">
        <f>MONTH(B145)&amp;"/"&amp;YEAR(B145)</f>
        <v>5/2026</v>
      </c>
      <c r="AN145" s="44">
        <f>WEEKNUM(B145)-WEEKNUM(EOMONTH(B145,-1)+1)+1</f>
        <v>2</v>
      </c>
      <c r="AO145" s="44" t="str">
        <f>MONTH(R145)&amp;"/"&amp;YEAR(R145)</f>
        <v>5/2026</v>
      </c>
      <c r="AP145" s="44">
        <f>WEEKNUM(R145)-WEEKNUM(EOMONTH(R145,-1)+1)+1</f>
        <v>3</v>
      </c>
      <c r="AQ145" s="44">
        <f>IF(AU145="S",IF(Q145="1. Aceitou o programa",R145-B145,0),0)</f>
        <v>7</v>
      </c>
      <c r="AR145" s="44">
        <f>IF(AU145="S",IF(AND(S145&lt;&gt;"",R145&lt;&gt;""),S145-R145,0),0)</f>
        <v>0</v>
      </c>
      <c r="AS145" s="44">
        <f>IF(AU145="S",IF(Q145="1. Aceitou o programa",IF(OR(X145="Não se Aplica",X145=""),IF(OR(W145="Não se Aplica",W145=""),0,W145-V145),AVERAGE(X145-W145,W145-V145)),0),0)</f>
        <v>1</v>
      </c>
      <c r="AT145" s="44">
        <f>IF(AU145="S",IF(AND(Q145="1. Aceitou o programa",AB145="Realizada"),IFERROR(IF(AA145="",0,AA145-R145),0),0),0)</f>
        <v>7.6666666666642413</v>
      </c>
      <c r="AU145" s="44" t="str">
        <f>_xlfn.XLOOKUP(U145,'Lista Suspensa'!$AA$20:$AA$23,'Lista Suspensa'!$AB$20:$AB$23,"N/A")</f>
        <v>S</v>
      </c>
    </row>
    <row r="146" spans="1:47" ht="12" hidden="1" customHeight="1">
      <c r="A146" s="86" t="s">
        <v>47</v>
      </c>
      <c r="B146" s="87">
        <v>46147</v>
      </c>
      <c r="C146" s="88" t="s">
        <v>48</v>
      </c>
      <c r="D146" s="88" t="s">
        <v>49</v>
      </c>
      <c r="E146" s="89">
        <v>89602310</v>
      </c>
      <c r="F146" s="218" t="s">
        <v>477</v>
      </c>
      <c r="G146" s="91">
        <v>60015985768</v>
      </c>
      <c r="H146" s="92">
        <v>21586</v>
      </c>
      <c r="I146" s="88">
        <v>67</v>
      </c>
      <c r="J146" s="88" t="s">
        <v>51</v>
      </c>
      <c r="K146" s="88" t="s">
        <v>80</v>
      </c>
      <c r="L146" s="88" t="s">
        <v>87</v>
      </c>
      <c r="M146" s="88"/>
      <c r="N146" s="88" t="s">
        <v>82</v>
      </c>
      <c r="O146" s="93" t="s">
        <v>478</v>
      </c>
      <c r="P146" s="94" t="s">
        <v>56</v>
      </c>
      <c r="Q146" s="142" t="s">
        <v>57</v>
      </c>
      <c r="R146" s="95"/>
      <c r="S146" s="96">
        <v>46170</v>
      </c>
      <c r="T146" s="96" t="s">
        <v>58</v>
      </c>
      <c r="U146" s="96" t="s">
        <v>59</v>
      </c>
      <c r="V146" s="92">
        <v>46153</v>
      </c>
      <c r="W146" s="92">
        <v>46154</v>
      </c>
      <c r="X146" s="92">
        <v>46164</v>
      </c>
      <c r="Y146" s="97"/>
      <c r="Z146" s="88"/>
      <c r="AA146" s="96"/>
      <c r="AB146" s="88"/>
      <c r="AC146" s="119"/>
      <c r="AD146" s="88"/>
      <c r="AE146" s="88"/>
      <c r="AF146" s="98"/>
      <c r="AG146" s="98"/>
      <c r="AH146" s="98"/>
      <c r="AI146" s="99"/>
      <c r="AJ146" s="99"/>
      <c r="AK146" s="99"/>
      <c r="AL146" s="44" t="s">
        <v>62</v>
      </c>
      <c r="AM146" s="196" t="str">
        <f>MONTH(B146)&amp;"/"&amp;YEAR(B146)</f>
        <v>5/2026</v>
      </c>
      <c r="AN146" s="44">
        <f>WEEKNUM(B146)-WEEKNUM(EOMONTH(B146,-1)+1)+1</f>
        <v>2</v>
      </c>
      <c r="AO146" s="44" t="str">
        <f>MONTH(R146)&amp;"/"&amp;YEAR(R146)</f>
        <v>1/1900</v>
      </c>
      <c r="AP146" s="44" t="e">
        <f>WEEKNUM(R146)-WEEKNUM(EOMONTH(R146,-1)+1)+1</f>
        <v>#NUM!</v>
      </c>
      <c r="AQ146" s="44">
        <f>IF(AU146="S",IF(Q146="1. Aceitou o programa",R146-B146,0),0)</f>
        <v>0</v>
      </c>
      <c r="AR146" s="44">
        <f>IF(AU146="S",IF(AND(S146&lt;&gt;"",R146&lt;&gt;""),S146-R146,0),0)</f>
        <v>0</v>
      </c>
      <c r="AS146" s="44">
        <f>IF(AU146="S",IF(Q146="1. Aceitou o programa",IF(OR(X146="Não se Aplica",X146=""),IF(OR(W146="Não se Aplica",W146=""),0,W146-V146),AVERAGE(X146-W146,W146-V146)),0),0)</f>
        <v>0</v>
      </c>
      <c r="AT146" s="44">
        <f>IF(AU146="S",IF(AND(Q146="1. Aceitou o programa",AB146="Realizada"),IFERROR(IF(AA146="",0,AA146-R146),0),0),0)</f>
        <v>0</v>
      </c>
      <c r="AU146" s="44" t="str">
        <f>_xlfn.XLOOKUP(U146,'Lista Suspensa'!$AA$20:$AA$23,'Lista Suspensa'!$AB$20:$AB$23,"N/A")</f>
        <v>S</v>
      </c>
    </row>
    <row r="147" spans="1:47" ht="12" hidden="1" customHeight="1">
      <c r="A147" s="86" t="s">
        <v>47</v>
      </c>
      <c r="B147" s="87">
        <v>46147</v>
      </c>
      <c r="C147" s="88" t="s">
        <v>48</v>
      </c>
      <c r="D147" s="88" t="s">
        <v>49</v>
      </c>
      <c r="E147" s="89">
        <v>759393060</v>
      </c>
      <c r="F147" s="218" t="s">
        <v>479</v>
      </c>
      <c r="G147" s="91">
        <v>37550250782</v>
      </c>
      <c r="H147" s="92">
        <v>20935</v>
      </c>
      <c r="I147" s="88">
        <v>69</v>
      </c>
      <c r="J147" s="88" t="s">
        <v>51</v>
      </c>
      <c r="K147" s="88" t="s">
        <v>80</v>
      </c>
      <c r="L147" s="88" t="s">
        <v>87</v>
      </c>
      <c r="M147" s="88"/>
      <c r="N147" s="88" t="s">
        <v>54</v>
      </c>
      <c r="O147" s="93" t="s">
        <v>480</v>
      </c>
      <c r="P147" s="94" t="s">
        <v>56</v>
      </c>
      <c r="Q147" s="142" t="s">
        <v>200</v>
      </c>
      <c r="R147" s="95"/>
      <c r="S147" s="95">
        <v>46153</v>
      </c>
      <c r="T147" s="96" t="s">
        <v>69</v>
      </c>
      <c r="U147" s="96" t="s">
        <v>59</v>
      </c>
      <c r="V147" s="92">
        <v>46153</v>
      </c>
      <c r="W147" s="92" t="s">
        <v>71</v>
      </c>
      <c r="X147" s="92" t="s">
        <v>71</v>
      </c>
      <c r="Y147" s="97"/>
      <c r="Z147" s="88" t="s">
        <v>72</v>
      </c>
      <c r="AA147" s="96" t="s">
        <v>481</v>
      </c>
      <c r="AB147" s="88" t="s">
        <v>482</v>
      </c>
      <c r="AC147" s="119"/>
      <c r="AD147" s="88"/>
      <c r="AE147" s="88"/>
      <c r="AF147" s="98"/>
      <c r="AG147" s="98"/>
      <c r="AH147" s="98"/>
      <c r="AI147" s="99" t="s">
        <v>61</v>
      </c>
      <c r="AJ147" s="99" t="s">
        <v>60</v>
      </c>
      <c r="AK147" s="99" t="s">
        <v>61</v>
      </c>
      <c r="AL147" s="44" t="s">
        <v>62</v>
      </c>
      <c r="AM147" s="196" t="str">
        <f>MONTH(B147)&amp;"/"&amp;YEAR(B147)</f>
        <v>5/2026</v>
      </c>
      <c r="AN147" s="44">
        <f>WEEKNUM(B147)-WEEKNUM(EOMONTH(B147,-1)+1)+1</f>
        <v>2</v>
      </c>
      <c r="AO147" s="44" t="str">
        <f>MONTH(R147)&amp;"/"&amp;YEAR(R147)</f>
        <v>1/1900</v>
      </c>
      <c r="AP147" s="44" t="e">
        <f>WEEKNUM(R147)-WEEKNUM(EOMONTH(R147,-1)+1)+1</f>
        <v>#NUM!</v>
      </c>
      <c r="AQ147" s="44">
        <f>IF(AU147="S",IF(Q147="1. Aceitou o programa",R147-B147,0),0)</f>
        <v>0</v>
      </c>
      <c r="AR147" s="44">
        <f>IF(AU147="S",IF(AND(S147&lt;&gt;"",R147&lt;&gt;""),S147-R147,0),0)</f>
        <v>0</v>
      </c>
      <c r="AS147" s="44">
        <f>IF(AU147="S",IF(Q147="1. Aceitou o programa",IF(OR(X147="Não se Aplica",X147=""),IF(OR(W147="Não se Aplica",W147=""),0,W147-V147),AVERAGE(X147-W147,W147-V147)),0),0)</f>
        <v>0</v>
      </c>
      <c r="AT147" s="44">
        <f>IF(AU147="S",IF(AND(Q147="1. Aceitou o programa",AB147="Realizada"),IFERROR(IF(AA147="",0,AA147-R147),0),0),0)</f>
        <v>0</v>
      </c>
      <c r="AU147" s="44" t="str">
        <f>_xlfn.XLOOKUP(U147,'Lista Suspensa'!$AA$20:$AA$23,'Lista Suspensa'!$AB$20:$AB$23,"N/A")</f>
        <v>S</v>
      </c>
    </row>
    <row r="148" spans="1:47" ht="12" hidden="1" customHeight="1">
      <c r="A148" s="86" t="s">
        <v>47</v>
      </c>
      <c r="B148" s="87">
        <v>46147</v>
      </c>
      <c r="C148" s="88" t="s">
        <v>48</v>
      </c>
      <c r="D148" s="88" t="s">
        <v>49</v>
      </c>
      <c r="E148" s="89">
        <v>411503456</v>
      </c>
      <c r="F148" s="218" t="s">
        <v>483</v>
      </c>
      <c r="G148" s="91">
        <v>73937118772</v>
      </c>
      <c r="H148" s="92">
        <v>22375</v>
      </c>
      <c r="I148" s="88">
        <v>65</v>
      </c>
      <c r="J148" s="88" t="s">
        <v>51</v>
      </c>
      <c r="K148" s="88" t="s">
        <v>80</v>
      </c>
      <c r="L148" s="88" t="s">
        <v>87</v>
      </c>
      <c r="M148" s="88"/>
      <c r="N148" s="88" t="s">
        <v>210</v>
      </c>
      <c r="O148" s="93" t="s">
        <v>484</v>
      </c>
      <c r="P148" s="94" t="s">
        <v>56</v>
      </c>
      <c r="Q148" s="142" t="s">
        <v>57</v>
      </c>
      <c r="R148" s="95"/>
      <c r="S148" s="96">
        <v>46170</v>
      </c>
      <c r="T148" s="96" t="s">
        <v>58</v>
      </c>
      <c r="U148" s="96" t="s">
        <v>59</v>
      </c>
      <c r="V148" s="92">
        <v>46153</v>
      </c>
      <c r="W148" s="92">
        <v>46154</v>
      </c>
      <c r="X148" s="92">
        <v>46164</v>
      </c>
      <c r="Y148" s="97"/>
      <c r="Z148" s="88"/>
      <c r="AA148" s="96"/>
      <c r="AB148" s="88"/>
      <c r="AC148" s="119"/>
      <c r="AD148" s="88"/>
      <c r="AE148" s="88"/>
      <c r="AF148" s="98"/>
      <c r="AG148" s="98"/>
      <c r="AH148" s="98"/>
      <c r="AI148" s="99"/>
      <c r="AJ148" s="99"/>
      <c r="AK148" s="99"/>
      <c r="AL148" s="44" t="s">
        <v>62</v>
      </c>
      <c r="AM148" s="196" t="str">
        <f>MONTH(B148)&amp;"/"&amp;YEAR(B148)</f>
        <v>5/2026</v>
      </c>
      <c r="AN148" s="44">
        <f>WEEKNUM(B148)-WEEKNUM(EOMONTH(B148,-1)+1)+1</f>
        <v>2</v>
      </c>
      <c r="AO148" s="44" t="str">
        <f>MONTH(R148)&amp;"/"&amp;YEAR(R148)</f>
        <v>1/1900</v>
      </c>
      <c r="AP148" s="44" t="e">
        <f>WEEKNUM(R148)-WEEKNUM(EOMONTH(R148,-1)+1)+1</f>
        <v>#NUM!</v>
      </c>
      <c r="AQ148" s="44">
        <f>IF(AU148="S",IF(Q148="1. Aceitou o programa",R148-B148,0),0)</f>
        <v>0</v>
      </c>
      <c r="AR148" s="44">
        <f>IF(AU148="S",IF(AND(S148&lt;&gt;"",R148&lt;&gt;""),S148-R148,0),0)</f>
        <v>0</v>
      </c>
      <c r="AS148" s="44">
        <f>IF(AU148="S",IF(Q148="1. Aceitou o programa",IF(OR(X148="Não se Aplica",X148=""),IF(OR(W148="Não se Aplica",W148=""),0,W148-V148),AVERAGE(X148-W148,W148-V148)),0),0)</f>
        <v>0</v>
      </c>
      <c r="AT148" s="44">
        <f>IF(AU148="S",IF(AND(Q148="1. Aceitou o programa",AB148="Realizada"),IFERROR(IF(AA148="",0,AA148-R148),0),0),0)</f>
        <v>0</v>
      </c>
      <c r="AU148" s="44" t="str">
        <f>_xlfn.XLOOKUP(U148,'Lista Suspensa'!$AA$20:$AA$23,'Lista Suspensa'!$AB$20:$AB$23,"N/A")</f>
        <v>S</v>
      </c>
    </row>
    <row r="149" spans="1:47" ht="12" hidden="1" customHeight="1">
      <c r="A149" s="86" t="s">
        <v>47</v>
      </c>
      <c r="B149" s="87">
        <v>46147</v>
      </c>
      <c r="C149" s="88" t="s">
        <v>48</v>
      </c>
      <c r="D149" s="88" t="s">
        <v>49</v>
      </c>
      <c r="E149" s="89">
        <v>93396300</v>
      </c>
      <c r="F149" s="218" t="s">
        <v>485</v>
      </c>
      <c r="G149" s="91">
        <v>87283573704</v>
      </c>
      <c r="H149" s="92">
        <v>24705</v>
      </c>
      <c r="I149" s="88">
        <v>58</v>
      </c>
      <c r="J149" s="88" t="s">
        <v>51</v>
      </c>
      <c r="K149" s="88" t="s">
        <v>80</v>
      </c>
      <c r="L149" s="88" t="s">
        <v>87</v>
      </c>
      <c r="M149" s="88"/>
      <c r="N149" s="88" t="s">
        <v>88</v>
      </c>
      <c r="O149" s="93" t="s">
        <v>486</v>
      </c>
      <c r="P149" s="94" t="s">
        <v>56</v>
      </c>
      <c r="Q149" s="142" t="s">
        <v>68</v>
      </c>
      <c r="R149" s="95">
        <v>46153</v>
      </c>
      <c r="S149" s="96"/>
      <c r="T149" s="96" t="s">
        <v>69</v>
      </c>
      <c r="U149" s="96" t="s">
        <v>70</v>
      </c>
      <c r="V149" s="92">
        <v>46153</v>
      </c>
      <c r="W149" s="92" t="s">
        <v>71</v>
      </c>
      <c r="X149" s="92" t="s">
        <v>71</v>
      </c>
      <c r="Y149" s="97"/>
      <c r="Z149" s="88" t="s">
        <v>72</v>
      </c>
      <c r="AA149" s="96" t="s">
        <v>452</v>
      </c>
      <c r="AB149" s="88" t="s">
        <v>74</v>
      </c>
      <c r="AC149" s="119"/>
      <c r="AD149" s="88" t="s">
        <v>113</v>
      </c>
      <c r="AE149" s="88">
        <v>34</v>
      </c>
      <c r="AF149" s="98" t="s">
        <v>85</v>
      </c>
      <c r="AG149" s="98" t="s">
        <v>85</v>
      </c>
      <c r="AH149" s="98" t="s">
        <v>77</v>
      </c>
      <c r="AI149" s="99" t="s">
        <v>61</v>
      </c>
      <c r="AJ149" s="99" t="s">
        <v>61</v>
      </c>
      <c r="AK149" s="99" t="s">
        <v>61</v>
      </c>
      <c r="AL149" s="44" t="s">
        <v>62</v>
      </c>
      <c r="AM149" s="196" t="str">
        <f>MONTH(B149)&amp;"/"&amp;YEAR(B149)</f>
        <v>5/2026</v>
      </c>
      <c r="AN149" s="44">
        <f>WEEKNUM(B149)-WEEKNUM(EOMONTH(B149,-1)+1)+1</f>
        <v>2</v>
      </c>
      <c r="AO149" s="44" t="str">
        <f>MONTH(R149)&amp;"/"&amp;YEAR(R149)</f>
        <v>5/2026</v>
      </c>
      <c r="AP149" s="44">
        <f>WEEKNUM(R149)-WEEKNUM(EOMONTH(R149,-1)+1)+1</f>
        <v>3</v>
      </c>
      <c r="AQ149" s="44">
        <f>IF(AU149="S",IF(Q149="1. Aceitou o programa",R149-B149,0),0)</f>
        <v>6</v>
      </c>
      <c r="AR149" s="44">
        <f>IF(AU149="S",IF(AND(S149&lt;&gt;"",R149&lt;&gt;""),S149-R149,0),0)</f>
        <v>0</v>
      </c>
      <c r="AS149" s="44">
        <f>IF(AU149="S",IF(Q149="1. Aceitou o programa",IF(OR(X149="Não se Aplica",X149=""),IF(OR(W149="Não se Aplica",W149=""),0,W149-V149),AVERAGE(X149-W149,W149-V149)),0),0)</f>
        <v>0</v>
      </c>
      <c r="AT149" s="44">
        <f>IF(AU149="S",IF(AND(Q149="1. Aceitou o programa",AB149="Realizada"),IFERROR(IF(AA149="",0,AA149-R149),0),0),0)</f>
        <v>9.6944444444452529</v>
      </c>
      <c r="AU149" s="44" t="str">
        <f>_xlfn.XLOOKUP(U149,'Lista Suspensa'!$AA$20:$AA$23,'Lista Suspensa'!$AB$20:$AB$23,"N/A")</f>
        <v>S</v>
      </c>
    </row>
    <row r="150" spans="1:47" ht="12" hidden="1" customHeight="1">
      <c r="A150" s="86" t="s">
        <v>47</v>
      </c>
      <c r="B150" s="87">
        <v>46147</v>
      </c>
      <c r="C150" s="88" t="s">
        <v>48</v>
      </c>
      <c r="D150" s="88" t="s">
        <v>49</v>
      </c>
      <c r="E150" s="89">
        <v>73092756</v>
      </c>
      <c r="F150" s="218" t="s">
        <v>487</v>
      </c>
      <c r="G150" s="91">
        <v>40904733734</v>
      </c>
      <c r="H150" s="92">
        <v>19925</v>
      </c>
      <c r="I150" s="88">
        <v>71</v>
      </c>
      <c r="J150" s="88" t="s">
        <v>51</v>
      </c>
      <c r="K150" s="88" t="s">
        <v>80</v>
      </c>
      <c r="L150" s="88" t="s">
        <v>87</v>
      </c>
      <c r="M150" s="88"/>
      <c r="N150" s="88" t="s">
        <v>110</v>
      </c>
      <c r="O150" s="93" t="s">
        <v>238</v>
      </c>
      <c r="P150" s="94" t="s">
        <v>56</v>
      </c>
      <c r="Q150" s="142" t="s">
        <v>68</v>
      </c>
      <c r="R150" s="95">
        <v>46154</v>
      </c>
      <c r="S150" s="96"/>
      <c r="T150" s="96" t="s">
        <v>69</v>
      </c>
      <c r="U150" s="96" t="s">
        <v>70</v>
      </c>
      <c r="V150" s="92">
        <v>46153</v>
      </c>
      <c r="W150" s="92">
        <v>46154</v>
      </c>
      <c r="X150" s="92" t="s">
        <v>71</v>
      </c>
      <c r="Y150" s="97"/>
      <c r="Z150" s="88" t="s">
        <v>72</v>
      </c>
      <c r="AA150" s="96">
        <v>46146.416666666664</v>
      </c>
      <c r="AB150" s="88" t="s">
        <v>74</v>
      </c>
      <c r="AC150" s="119">
        <v>46182</v>
      </c>
      <c r="AD150" s="88"/>
      <c r="AE150" s="88"/>
      <c r="AF150" s="98"/>
      <c r="AG150" s="98"/>
      <c r="AH150" s="98"/>
      <c r="AI150" s="99" t="s">
        <v>61</v>
      </c>
      <c r="AJ150" s="99" t="s">
        <v>61</v>
      </c>
      <c r="AK150" s="99" t="s">
        <v>61</v>
      </c>
      <c r="AL150" s="44" t="s">
        <v>62</v>
      </c>
      <c r="AM150" s="196" t="str">
        <f>MONTH(B150)&amp;"/"&amp;YEAR(B150)</f>
        <v>5/2026</v>
      </c>
      <c r="AN150" s="44">
        <f>WEEKNUM(B150)-WEEKNUM(EOMONTH(B150,-1)+1)+1</f>
        <v>2</v>
      </c>
      <c r="AO150" s="44" t="str">
        <f>MONTH(R150)&amp;"/"&amp;YEAR(R150)</f>
        <v>5/2026</v>
      </c>
      <c r="AP150" s="44">
        <f>WEEKNUM(R150)-WEEKNUM(EOMONTH(R150,-1)+1)+1</f>
        <v>3</v>
      </c>
      <c r="AQ150" s="44">
        <f>IF(AU150="S",IF(Q150="1. Aceitou o programa",R150-B150,0),0)</f>
        <v>7</v>
      </c>
      <c r="AR150" s="44">
        <f>IF(AU150="S",IF(AND(S150&lt;&gt;"",R150&lt;&gt;""),S150-R150,0),0)</f>
        <v>0</v>
      </c>
      <c r="AS150" s="44">
        <f>IF(AU150="S",IF(Q150="1. Aceitou o programa",IF(OR(X150="Não se Aplica",X150=""),IF(OR(W150="Não se Aplica",W150=""),0,W150-V150),AVERAGE(X150-W150,W150-V150)),0),0)</f>
        <v>1</v>
      </c>
      <c r="AT150" s="44">
        <f>IF(AU150="S",IF(AND(Q150="1. Aceitou o programa",AB150="Realizada"),IFERROR(IF(AA150="",0,AA150-R150),0),0),0)</f>
        <v>-7.5833333333357587</v>
      </c>
      <c r="AU150" s="44" t="str">
        <f>_xlfn.XLOOKUP(U150,'Lista Suspensa'!$AA$20:$AA$23,'Lista Suspensa'!$AB$20:$AB$23,"N/A")</f>
        <v>S</v>
      </c>
    </row>
    <row r="151" spans="1:47" ht="12" hidden="1" customHeight="1">
      <c r="A151" s="86" t="s">
        <v>47</v>
      </c>
      <c r="B151" s="87">
        <v>46147</v>
      </c>
      <c r="C151" s="88" t="s">
        <v>48</v>
      </c>
      <c r="D151" s="88" t="s">
        <v>49</v>
      </c>
      <c r="E151" s="89">
        <v>752994468</v>
      </c>
      <c r="F151" s="218" t="s">
        <v>488</v>
      </c>
      <c r="G151" s="91">
        <v>41039181791</v>
      </c>
      <c r="H151" s="92">
        <v>19254</v>
      </c>
      <c r="I151" s="88">
        <v>73</v>
      </c>
      <c r="J151" s="88" t="s">
        <v>64</v>
      </c>
      <c r="K151" s="88" t="s">
        <v>80</v>
      </c>
      <c r="L151" s="88" t="s">
        <v>87</v>
      </c>
      <c r="M151" s="88"/>
      <c r="N151" s="88" t="s">
        <v>54</v>
      </c>
      <c r="O151" s="93" t="s">
        <v>489</v>
      </c>
      <c r="P151" s="94" t="s">
        <v>56</v>
      </c>
      <c r="Q151" s="142" t="s">
        <v>68</v>
      </c>
      <c r="R151" s="95">
        <v>46153</v>
      </c>
      <c r="S151" s="96"/>
      <c r="T151" s="96" t="s">
        <v>69</v>
      </c>
      <c r="U151" s="96" t="s">
        <v>70</v>
      </c>
      <c r="V151" s="92">
        <v>46153</v>
      </c>
      <c r="W151" s="92" t="s">
        <v>71</v>
      </c>
      <c r="X151" s="92" t="s">
        <v>71</v>
      </c>
      <c r="Y151" s="97"/>
      <c r="Z151" s="88" t="s">
        <v>72</v>
      </c>
      <c r="AA151" s="96" t="s">
        <v>490</v>
      </c>
      <c r="AB151" s="88" t="s">
        <v>105</v>
      </c>
      <c r="AC151" s="119">
        <v>46176</v>
      </c>
      <c r="AD151" s="88"/>
      <c r="AE151" s="88"/>
      <c r="AF151" s="98"/>
      <c r="AG151" s="98"/>
      <c r="AH151" s="98"/>
      <c r="AI151" s="99" t="s">
        <v>61</v>
      </c>
      <c r="AJ151" s="99" t="s">
        <v>61</v>
      </c>
      <c r="AK151" s="99" t="s">
        <v>61</v>
      </c>
      <c r="AL151" s="44" t="s">
        <v>62</v>
      </c>
      <c r="AM151" s="196" t="str">
        <f>MONTH(B151)&amp;"/"&amp;YEAR(B151)</f>
        <v>5/2026</v>
      </c>
      <c r="AN151" s="44">
        <f>WEEKNUM(B151)-WEEKNUM(EOMONTH(B151,-1)+1)+1</f>
        <v>2</v>
      </c>
      <c r="AO151" s="44" t="str">
        <f>MONTH(R151)&amp;"/"&amp;YEAR(R151)</f>
        <v>5/2026</v>
      </c>
      <c r="AP151" s="44">
        <f>WEEKNUM(R151)-WEEKNUM(EOMONTH(R151,-1)+1)+1</f>
        <v>3</v>
      </c>
      <c r="AQ151" s="44">
        <f>IF(AU151="S",IF(Q151="1. Aceitou o programa",R151-B151,0),0)</f>
        <v>6</v>
      </c>
      <c r="AR151" s="44">
        <f>IF(AU151="S",IF(AND(S151&lt;&gt;"",R151&lt;&gt;""),S151-R151,0),0)</f>
        <v>0</v>
      </c>
      <c r="AS151" s="44">
        <f>IF(AU151="S",IF(Q151="1. Aceitou o programa",IF(OR(X151="Não se Aplica",X151=""),IF(OR(W151="Não se Aplica",W151=""),0,W151-V151),AVERAGE(X151-W151,W151-V151)),0),0)</f>
        <v>0</v>
      </c>
      <c r="AT151" s="44">
        <f>IF(AU151="S",IF(AND(Q151="1. Aceitou o programa",AB151="Realizada"),IFERROR(IF(AA151="",0,AA151-R151),0),0),0)</f>
        <v>0</v>
      </c>
      <c r="AU151" s="44" t="str">
        <f>_xlfn.XLOOKUP(U151,'Lista Suspensa'!$AA$20:$AA$23,'Lista Suspensa'!$AB$20:$AB$23,"N/A")</f>
        <v>S</v>
      </c>
    </row>
    <row r="152" spans="1:47" ht="12" hidden="1" customHeight="1">
      <c r="A152" s="86" t="s">
        <v>47</v>
      </c>
      <c r="B152" s="87">
        <v>46147</v>
      </c>
      <c r="C152" s="88" t="s">
        <v>48</v>
      </c>
      <c r="D152" s="88" t="s">
        <v>49</v>
      </c>
      <c r="E152" s="89">
        <v>79459553</v>
      </c>
      <c r="F152" s="218" t="s">
        <v>491</v>
      </c>
      <c r="G152" s="91">
        <v>15515861850</v>
      </c>
      <c r="H152" s="92">
        <v>25295</v>
      </c>
      <c r="I152" s="88">
        <v>57</v>
      </c>
      <c r="J152" s="88" t="s">
        <v>51</v>
      </c>
      <c r="K152" s="88" t="s">
        <v>52</v>
      </c>
      <c r="L152" s="88" t="s">
        <v>53</v>
      </c>
      <c r="M152" s="88"/>
      <c r="N152" s="88" t="s">
        <v>118</v>
      </c>
      <c r="O152" s="93" t="s">
        <v>492</v>
      </c>
      <c r="P152" s="94" t="s">
        <v>56</v>
      </c>
      <c r="Q152" s="142" t="s">
        <v>57</v>
      </c>
      <c r="R152" s="95"/>
      <c r="S152" s="96">
        <v>46170</v>
      </c>
      <c r="T152" s="96" t="s">
        <v>58</v>
      </c>
      <c r="U152" s="96" t="s">
        <v>59</v>
      </c>
      <c r="V152" s="92">
        <v>46153</v>
      </c>
      <c r="W152" s="92">
        <v>46154</v>
      </c>
      <c r="X152" s="92">
        <v>46164</v>
      </c>
      <c r="Y152" s="97"/>
      <c r="Z152" s="88"/>
      <c r="AA152" s="96"/>
      <c r="AB152" s="88"/>
      <c r="AC152" s="119"/>
      <c r="AD152" s="88"/>
      <c r="AE152" s="88"/>
      <c r="AF152" s="98"/>
      <c r="AG152" s="98"/>
      <c r="AH152" s="98"/>
      <c r="AI152" s="99"/>
      <c r="AJ152" s="99"/>
      <c r="AK152" s="99"/>
      <c r="AL152" s="44" t="s">
        <v>62</v>
      </c>
      <c r="AM152" s="196" t="str">
        <f>MONTH(B152)&amp;"/"&amp;YEAR(B152)</f>
        <v>5/2026</v>
      </c>
      <c r="AN152" s="44">
        <f>WEEKNUM(B152)-WEEKNUM(EOMONTH(B152,-1)+1)+1</f>
        <v>2</v>
      </c>
      <c r="AO152" s="44" t="str">
        <f>MONTH(R152)&amp;"/"&amp;YEAR(R152)</f>
        <v>1/1900</v>
      </c>
      <c r="AP152" s="44" t="e">
        <f>WEEKNUM(R152)-WEEKNUM(EOMONTH(R152,-1)+1)+1</f>
        <v>#NUM!</v>
      </c>
      <c r="AQ152" s="44">
        <f>IF(AU152="S",IF(Q152="1. Aceitou o programa",R152-B152,0),0)</f>
        <v>0</v>
      </c>
      <c r="AR152" s="44">
        <f>IF(AU152="S",IF(AND(S152&lt;&gt;"",R152&lt;&gt;""),S152-R152,0),0)</f>
        <v>0</v>
      </c>
      <c r="AS152" s="44">
        <f>IF(AU152="S",IF(Q152="1. Aceitou o programa",IF(OR(X152="Não se Aplica",X152=""),IF(OR(W152="Não se Aplica",W152=""),0,W152-V152),AVERAGE(X152-W152,W152-V152)),0),0)</f>
        <v>0</v>
      </c>
      <c r="AT152" s="44">
        <f>IF(AU152="S",IF(AND(Q152="1. Aceitou o programa",AB152="Realizada"),IFERROR(IF(AA152="",0,AA152-R152),0),0),0)</f>
        <v>0</v>
      </c>
      <c r="AU152" s="44" t="str">
        <f>_xlfn.XLOOKUP(U152,'Lista Suspensa'!$AA$20:$AA$23,'Lista Suspensa'!$AB$20:$AB$23,"N/A")</f>
        <v>S</v>
      </c>
    </row>
    <row r="153" spans="1:47" ht="12" hidden="1" customHeight="1">
      <c r="A153" s="86" t="s">
        <v>47</v>
      </c>
      <c r="B153" s="87">
        <v>46147</v>
      </c>
      <c r="C153" s="88" t="s">
        <v>48</v>
      </c>
      <c r="D153" s="88" t="s">
        <v>49</v>
      </c>
      <c r="E153" s="89">
        <v>80960021</v>
      </c>
      <c r="F153" s="218" t="s">
        <v>493</v>
      </c>
      <c r="G153" s="91">
        <v>79400094787</v>
      </c>
      <c r="H153" s="92">
        <v>22577</v>
      </c>
      <c r="I153" s="88">
        <v>64</v>
      </c>
      <c r="J153" s="88" t="s">
        <v>51</v>
      </c>
      <c r="K153" s="88" t="s">
        <v>80</v>
      </c>
      <c r="L153" s="88" t="s">
        <v>87</v>
      </c>
      <c r="M153" s="88"/>
      <c r="N153" s="88" t="s">
        <v>88</v>
      </c>
      <c r="O153" s="93" t="s">
        <v>494</v>
      </c>
      <c r="P153" s="94" t="s">
        <v>56</v>
      </c>
      <c r="Q153" s="142" t="s">
        <v>57</v>
      </c>
      <c r="R153" s="95"/>
      <c r="S153" s="96">
        <v>46170</v>
      </c>
      <c r="T153" s="96" t="s">
        <v>58</v>
      </c>
      <c r="U153" s="96" t="s">
        <v>59</v>
      </c>
      <c r="V153" s="92">
        <v>46153</v>
      </c>
      <c r="W153" s="92">
        <v>46154</v>
      </c>
      <c r="X153" s="92">
        <v>46164</v>
      </c>
      <c r="Y153" s="97"/>
      <c r="Z153" s="88"/>
      <c r="AA153" s="96"/>
      <c r="AB153" s="88"/>
      <c r="AC153" s="119"/>
      <c r="AD153" s="88"/>
      <c r="AE153" s="88"/>
      <c r="AF153" s="98"/>
      <c r="AG153" s="98"/>
      <c r="AH153" s="98"/>
      <c r="AI153" s="99"/>
      <c r="AJ153" s="99"/>
      <c r="AK153" s="99"/>
      <c r="AL153" s="44" t="s">
        <v>62</v>
      </c>
      <c r="AM153" s="196" t="str">
        <f>MONTH(B153)&amp;"/"&amp;YEAR(B153)</f>
        <v>5/2026</v>
      </c>
      <c r="AN153" s="44">
        <f>WEEKNUM(B153)-WEEKNUM(EOMONTH(B153,-1)+1)+1</f>
        <v>2</v>
      </c>
      <c r="AO153" s="44" t="str">
        <f>MONTH(R153)&amp;"/"&amp;YEAR(R153)</f>
        <v>1/1900</v>
      </c>
      <c r="AP153" s="44" t="e">
        <f>WEEKNUM(R153)-WEEKNUM(EOMONTH(R153,-1)+1)+1</f>
        <v>#NUM!</v>
      </c>
      <c r="AQ153" s="44">
        <f>IF(AU153="S",IF(Q153="1. Aceitou o programa",R153-B153,0),0)</f>
        <v>0</v>
      </c>
      <c r="AR153" s="44">
        <f>IF(AU153="S",IF(AND(S153&lt;&gt;"",R153&lt;&gt;""),S153-R153,0),0)</f>
        <v>0</v>
      </c>
      <c r="AS153" s="44">
        <f>IF(AU153="S",IF(Q153="1. Aceitou o programa",IF(OR(X153="Não se Aplica",X153=""),IF(OR(W153="Não se Aplica",W153=""),0,W153-V153),AVERAGE(X153-W153,W153-V153)),0),0)</f>
        <v>0</v>
      </c>
      <c r="AT153" s="44">
        <f>IF(AU153="S",IF(AND(Q153="1. Aceitou o programa",AB153="Realizada"),IFERROR(IF(AA153="",0,AA153-R153),0),0),0)</f>
        <v>0</v>
      </c>
      <c r="AU153" s="44" t="str">
        <f>_xlfn.XLOOKUP(U153,'Lista Suspensa'!$AA$20:$AA$23,'Lista Suspensa'!$AB$20:$AB$23,"N/A")</f>
        <v>S</v>
      </c>
    </row>
    <row r="154" spans="1:47" ht="12" hidden="1" customHeight="1">
      <c r="A154" s="86" t="s">
        <v>47</v>
      </c>
      <c r="B154" s="87">
        <v>46147</v>
      </c>
      <c r="C154" s="88" t="s">
        <v>48</v>
      </c>
      <c r="D154" s="88" t="s">
        <v>49</v>
      </c>
      <c r="E154" s="89">
        <v>87861654</v>
      </c>
      <c r="F154" s="218" t="s">
        <v>495</v>
      </c>
      <c r="G154" s="91">
        <v>19427273720</v>
      </c>
      <c r="H154" s="92">
        <v>36603</v>
      </c>
      <c r="I154" s="88">
        <v>26</v>
      </c>
      <c r="J154" s="88" t="s">
        <v>51</v>
      </c>
      <c r="K154" s="88" t="s">
        <v>80</v>
      </c>
      <c r="L154" s="88" t="s">
        <v>81</v>
      </c>
      <c r="M154" s="88"/>
      <c r="N154" s="88" t="s">
        <v>162</v>
      </c>
      <c r="O154" s="93" t="s">
        <v>496</v>
      </c>
      <c r="P154" s="94" t="s">
        <v>56</v>
      </c>
      <c r="Q154" s="142" t="s">
        <v>68</v>
      </c>
      <c r="R154" s="95">
        <v>46153</v>
      </c>
      <c r="S154" s="96"/>
      <c r="T154" s="96" t="s">
        <v>69</v>
      </c>
      <c r="U154" s="96" t="s">
        <v>70</v>
      </c>
      <c r="V154" s="92">
        <v>46153</v>
      </c>
      <c r="W154" s="92" t="s">
        <v>71</v>
      </c>
      <c r="X154" s="92" t="s">
        <v>71</v>
      </c>
      <c r="Y154" s="97"/>
      <c r="Z154" s="88" t="s">
        <v>72</v>
      </c>
      <c r="AA154" s="96" t="s">
        <v>497</v>
      </c>
      <c r="AB154" s="88" t="s">
        <v>74</v>
      </c>
      <c r="AC154" s="119">
        <v>46176</v>
      </c>
      <c r="AD154" s="88"/>
      <c r="AE154" s="88"/>
      <c r="AF154" s="98"/>
      <c r="AG154" s="98"/>
      <c r="AH154" s="98"/>
      <c r="AI154" s="99" t="s">
        <v>61</v>
      </c>
      <c r="AJ154" s="99" t="s">
        <v>61</v>
      </c>
      <c r="AK154" s="99" t="s">
        <v>61</v>
      </c>
      <c r="AL154" s="44" t="s">
        <v>62</v>
      </c>
      <c r="AM154" s="196" t="str">
        <f>MONTH(B154)&amp;"/"&amp;YEAR(B154)</f>
        <v>5/2026</v>
      </c>
      <c r="AN154" s="44">
        <f>WEEKNUM(B154)-WEEKNUM(EOMONTH(B154,-1)+1)+1</f>
        <v>2</v>
      </c>
      <c r="AO154" s="44" t="str">
        <f>MONTH(R154)&amp;"/"&amp;YEAR(R154)</f>
        <v>5/2026</v>
      </c>
      <c r="AP154" s="44">
        <f>WEEKNUM(R154)-WEEKNUM(EOMONTH(R154,-1)+1)+1</f>
        <v>3</v>
      </c>
      <c r="AQ154" s="44">
        <f>IF(AU154="S",IF(Q154="1. Aceitou o programa",R154-B154,0),0)</f>
        <v>6</v>
      </c>
      <c r="AR154" s="44">
        <f>IF(AU154="S",IF(AND(S154&lt;&gt;"",R154&lt;&gt;""),S154-R154,0),0)</f>
        <v>0</v>
      </c>
      <c r="AS154" s="44">
        <f>IF(AU154="S",IF(Q154="1. Aceitou o programa",IF(OR(X154="Não se Aplica",X154=""),IF(OR(W154="Não se Aplica",W154=""),0,W154-V154),AVERAGE(X154-W154,W154-V154)),0),0)</f>
        <v>0</v>
      </c>
      <c r="AT154" s="44">
        <f>IF(AU154="S",IF(AND(Q154="1. Aceitou o programa",AB154="Realizada"),IFERROR(IF(AA154="",0,AA154-R154),0),0),0)</f>
        <v>11.430555555554747</v>
      </c>
      <c r="AU154" s="44" t="str">
        <f>_xlfn.XLOOKUP(U154,'Lista Suspensa'!$AA$20:$AA$23,'Lista Suspensa'!$AB$20:$AB$23,"N/A")</f>
        <v>S</v>
      </c>
    </row>
    <row r="155" spans="1:47" ht="12" hidden="1" customHeight="1">
      <c r="A155" s="86" t="s">
        <v>47</v>
      </c>
      <c r="B155" s="87">
        <v>46147</v>
      </c>
      <c r="C155" s="88" t="s">
        <v>48</v>
      </c>
      <c r="D155" s="88" t="s">
        <v>49</v>
      </c>
      <c r="E155" s="111">
        <v>79897015</v>
      </c>
      <c r="F155" s="218" t="s">
        <v>498</v>
      </c>
      <c r="G155" s="91">
        <v>953198758</v>
      </c>
      <c r="H155" s="92">
        <v>26203</v>
      </c>
      <c r="I155" s="88">
        <v>54</v>
      </c>
      <c r="J155" s="88" t="s">
        <v>51</v>
      </c>
      <c r="K155" s="88" t="s">
        <v>80</v>
      </c>
      <c r="L155" s="88" t="s">
        <v>87</v>
      </c>
      <c r="M155" s="88"/>
      <c r="N155" s="88" t="s">
        <v>91</v>
      </c>
      <c r="O155" s="93" t="s">
        <v>499</v>
      </c>
      <c r="P155" s="94" t="s">
        <v>56</v>
      </c>
      <c r="Q155" s="142" t="s">
        <v>68</v>
      </c>
      <c r="R155" s="95">
        <v>46163</v>
      </c>
      <c r="S155" s="96"/>
      <c r="T155" s="96" t="s">
        <v>69</v>
      </c>
      <c r="U155" s="96" t="s">
        <v>70</v>
      </c>
      <c r="V155" s="92">
        <v>46153</v>
      </c>
      <c r="W155" s="92">
        <v>46154</v>
      </c>
      <c r="X155" s="92">
        <v>46160</v>
      </c>
      <c r="Y155" s="97"/>
      <c r="Z155" s="88" t="s">
        <v>72</v>
      </c>
      <c r="AA155" s="96">
        <v>46171.430555555555</v>
      </c>
      <c r="AB155" s="88" t="s">
        <v>105</v>
      </c>
      <c r="AC155" s="119"/>
      <c r="AD155" s="88"/>
      <c r="AE155" s="88"/>
      <c r="AF155" s="98"/>
      <c r="AG155" s="98"/>
      <c r="AH155" s="98"/>
      <c r="AI155" s="99"/>
      <c r="AJ155" s="99" t="s">
        <v>61</v>
      </c>
      <c r="AK155" s="99" t="s">
        <v>61</v>
      </c>
      <c r="AL155" s="44" t="s">
        <v>62</v>
      </c>
      <c r="AM155" s="196" t="str">
        <f>MONTH(B155)&amp;"/"&amp;YEAR(B155)</f>
        <v>5/2026</v>
      </c>
      <c r="AN155" s="44">
        <f>WEEKNUM(B155)-WEEKNUM(EOMONTH(B155,-1)+1)+1</f>
        <v>2</v>
      </c>
      <c r="AO155" s="44" t="str">
        <f>MONTH(R155)&amp;"/"&amp;YEAR(R155)</f>
        <v>5/2026</v>
      </c>
      <c r="AP155" s="44">
        <f>WEEKNUM(R155)-WEEKNUM(EOMONTH(R155,-1)+1)+1</f>
        <v>4</v>
      </c>
      <c r="AQ155" s="44">
        <f>IF(AU155="S",IF(Q155="1. Aceitou o programa",R155-B155,0),0)</f>
        <v>16</v>
      </c>
      <c r="AR155" s="44">
        <f>IF(AU155="S",IF(AND(S155&lt;&gt;"",R155&lt;&gt;""),S155-R155,0),0)</f>
        <v>0</v>
      </c>
      <c r="AS155" s="44">
        <f>IF(AU155="S",IF(Q155="1. Aceitou o programa",IF(OR(X155="Não se Aplica",X155=""),IF(OR(W155="Não se Aplica",W155=""),0,W155-V155),AVERAGE(X155-W155,W155-V155)),0),0)</f>
        <v>3.5</v>
      </c>
      <c r="AT155" s="44">
        <f>IF(AU155="S",IF(AND(Q155="1. Aceitou o programa",AB155="Realizada"),IFERROR(IF(AA155="",0,AA155-R155),0),0),0)</f>
        <v>0</v>
      </c>
      <c r="AU155" s="44" t="str">
        <f>_xlfn.XLOOKUP(U155,'Lista Suspensa'!$AA$20:$AA$23,'Lista Suspensa'!$AB$20:$AB$23,"N/A")</f>
        <v>S</v>
      </c>
    </row>
    <row r="156" spans="1:47" ht="12" hidden="1" customHeight="1">
      <c r="A156" s="86" t="s">
        <v>47</v>
      </c>
      <c r="B156" s="87">
        <v>46147</v>
      </c>
      <c r="C156" s="88" t="s">
        <v>48</v>
      </c>
      <c r="D156" s="88" t="s">
        <v>49</v>
      </c>
      <c r="E156" s="89">
        <v>84136488</v>
      </c>
      <c r="F156" s="218" t="s">
        <v>500</v>
      </c>
      <c r="G156" s="91">
        <v>79491014749</v>
      </c>
      <c r="H156" s="92">
        <v>23811</v>
      </c>
      <c r="I156" s="88">
        <v>61</v>
      </c>
      <c r="J156" s="88" t="s">
        <v>64</v>
      </c>
      <c r="K156" s="88" t="s">
        <v>80</v>
      </c>
      <c r="L156" s="88" t="s">
        <v>257</v>
      </c>
      <c r="M156" s="88"/>
      <c r="N156" s="88" t="s">
        <v>91</v>
      </c>
      <c r="O156" s="93" t="s">
        <v>501</v>
      </c>
      <c r="P156" s="94" t="s">
        <v>56</v>
      </c>
      <c r="Q156" s="142" t="s">
        <v>57</v>
      </c>
      <c r="R156" s="95"/>
      <c r="S156" s="96">
        <v>46170</v>
      </c>
      <c r="T156" s="96" t="s">
        <v>58</v>
      </c>
      <c r="U156" s="96" t="s">
        <v>59</v>
      </c>
      <c r="V156" s="92">
        <v>46153</v>
      </c>
      <c r="W156" s="92">
        <v>46154</v>
      </c>
      <c r="X156" s="92">
        <v>46164</v>
      </c>
      <c r="Y156" s="97"/>
      <c r="Z156" s="88"/>
      <c r="AA156" s="96"/>
      <c r="AB156" s="88"/>
      <c r="AC156" s="119"/>
      <c r="AD156" s="88"/>
      <c r="AE156" s="88"/>
      <c r="AF156" s="98"/>
      <c r="AG156" s="98"/>
      <c r="AH156" s="98"/>
      <c r="AI156" s="99"/>
      <c r="AJ156" s="99"/>
      <c r="AK156" s="99"/>
      <c r="AL156" s="44" t="s">
        <v>62</v>
      </c>
      <c r="AM156" s="196" t="str">
        <f>MONTH(B156)&amp;"/"&amp;YEAR(B156)</f>
        <v>5/2026</v>
      </c>
      <c r="AN156" s="44">
        <f>WEEKNUM(B156)-WEEKNUM(EOMONTH(B156,-1)+1)+1</f>
        <v>2</v>
      </c>
      <c r="AO156" s="44" t="str">
        <f>MONTH(R156)&amp;"/"&amp;YEAR(R156)</f>
        <v>1/1900</v>
      </c>
      <c r="AP156" s="44" t="e">
        <f>WEEKNUM(R156)-WEEKNUM(EOMONTH(R156,-1)+1)+1</f>
        <v>#NUM!</v>
      </c>
      <c r="AQ156" s="44">
        <f>IF(AU156="S",IF(Q156="1. Aceitou o programa",R156-B156,0),0)</f>
        <v>0</v>
      </c>
      <c r="AR156" s="44">
        <f>IF(AU156="S",IF(AND(S156&lt;&gt;"",R156&lt;&gt;""),S156-R156,0),0)</f>
        <v>0</v>
      </c>
      <c r="AS156" s="44">
        <f>IF(AU156="S",IF(Q156="1. Aceitou o programa",IF(OR(X156="Não se Aplica",X156=""),IF(OR(W156="Não se Aplica",W156=""),0,W156-V156),AVERAGE(X156-W156,W156-V156)),0),0)</f>
        <v>0</v>
      </c>
      <c r="AT156" s="44">
        <f>IF(AU156="S",IF(AND(Q156="1. Aceitou o programa",AB156="Realizada"),IFERROR(IF(AA156="",0,AA156-R156),0),0),0)</f>
        <v>0</v>
      </c>
      <c r="AU156" s="44" t="str">
        <f>_xlfn.XLOOKUP(U156,'Lista Suspensa'!$AA$20:$AA$23,'Lista Suspensa'!$AB$20:$AB$23,"N/A")</f>
        <v>S</v>
      </c>
    </row>
    <row r="157" spans="1:47" ht="12" hidden="1" customHeight="1">
      <c r="A157" s="86" t="s">
        <v>47</v>
      </c>
      <c r="B157" s="87">
        <v>46147</v>
      </c>
      <c r="C157" s="88" t="s">
        <v>48</v>
      </c>
      <c r="D157" s="88" t="s">
        <v>49</v>
      </c>
      <c r="E157" s="89">
        <v>93955704</v>
      </c>
      <c r="F157" s="218" t="s">
        <v>502</v>
      </c>
      <c r="G157" s="91">
        <v>6967553780</v>
      </c>
      <c r="H157" s="92">
        <v>23881</v>
      </c>
      <c r="I157" s="88">
        <v>60</v>
      </c>
      <c r="J157" s="88" t="s">
        <v>64</v>
      </c>
      <c r="K157" s="88" t="s">
        <v>80</v>
      </c>
      <c r="L157" s="88" t="s">
        <v>81</v>
      </c>
      <c r="M157" s="88"/>
      <c r="N157" s="88" t="s">
        <v>94</v>
      </c>
      <c r="O157" s="93" t="s">
        <v>503</v>
      </c>
      <c r="P157" s="94" t="s">
        <v>56</v>
      </c>
      <c r="Q157" s="142" t="s">
        <v>57</v>
      </c>
      <c r="R157" s="95"/>
      <c r="S157" s="96">
        <v>46170</v>
      </c>
      <c r="T157" s="96" t="s">
        <v>58</v>
      </c>
      <c r="U157" s="96" t="s">
        <v>59</v>
      </c>
      <c r="V157" s="92">
        <v>46153</v>
      </c>
      <c r="W157" s="92">
        <v>46154</v>
      </c>
      <c r="X157" s="92">
        <v>46164</v>
      </c>
      <c r="Y157" s="97"/>
      <c r="Z157" s="88"/>
      <c r="AA157" s="96"/>
      <c r="AB157" s="88"/>
      <c r="AC157" s="119"/>
      <c r="AD157" s="88"/>
      <c r="AE157" s="88"/>
      <c r="AF157" s="98"/>
      <c r="AG157" s="98"/>
      <c r="AH157" s="98"/>
      <c r="AI157" s="99"/>
      <c r="AJ157" s="99"/>
      <c r="AK157" s="99"/>
      <c r="AL157" s="44" t="s">
        <v>62</v>
      </c>
      <c r="AM157" s="196" t="str">
        <f>MONTH(B157)&amp;"/"&amp;YEAR(B157)</f>
        <v>5/2026</v>
      </c>
      <c r="AN157" s="44">
        <f>WEEKNUM(B157)-WEEKNUM(EOMONTH(B157,-1)+1)+1</f>
        <v>2</v>
      </c>
      <c r="AO157" s="44" t="str">
        <f>MONTH(R157)&amp;"/"&amp;YEAR(R157)</f>
        <v>1/1900</v>
      </c>
      <c r="AP157" s="44" t="e">
        <f>WEEKNUM(R157)-WEEKNUM(EOMONTH(R157,-1)+1)+1</f>
        <v>#NUM!</v>
      </c>
      <c r="AQ157" s="44">
        <f>IF(AU157="S",IF(Q157="1. Aceitou o programa",R157-B157,0),0)</f>
        <v>0</v>
      </c>
      <c r="AR157" s="44">
        <f>IF(AU157="S",IF(AND(S157&lt;&gt;"",R157&lt;&gt;""),S157-R157,0),0)</f>
        <v>0</v>
      </c>
      <c r="AS157" s="44">
        <f>IF(AU157="S",IF(Q157="1. Aceitou o programa",IF(OR(X157="Não se Aplica",X157=""),IF(OR(W157="Não se Aplica",W157=""),0,W157-V157),AVERAGE(X157-W157,W157-V157)),0),0)</f>
        <v>0</v>
      </c>
      <c r="AT157" s="44">
        <f>IF(AU157="S",IF(AND(Q157="1. Aceitou o programa",AB157="Realizada"),IFERROR(IF(AA157="",0,AA157-R157),0),0),0)</f>
        <v>0</v>
      </c>
      <c r="AU157" s="44" t="str">
        <f>_xlfn.XLOOKUP(U157,'Lista Suspensa'!$AA$20:$AA$23,'Lista Suspensa'!$AB$20:$AB$23,"N/A")</f>
        <v>S</v>
      </c>
    </row>
    <row r="158" spans="1:47" ht="12" hidden="1" customHeight="1">
      <c r="A158" s="86" t="s">
        <v>47</v>
      </c>
      <c r="B158" s="87">
        <v>46147</v>
      </c>
      <c r="C158" s="88" t="s">
        <v>48</v>
      </c>
      <c r="D158" s="88" t="s">
        <v>49</v>
      </c>
      <c r="E158" s="89">
        <v>78797003</v>
      </c>
      <c r="F158" s="218" t="s">
        <v>504</v>
      </c>
      <c r="G158" s="91">
        <v>5401664800</v>
      </c>
      <c r="H158" s="92">
        <v>22319</v>
      </c>
      <c r="I158" s="88">
        <v>65</v>
      </c>
      <c r="J158" s="88" t="s">
        <v>64</v>
      </c>
      <c r="K158" s="88" t="s">
        <v>52</v>
      </c>
      <c r="L158" s="88" t="s">
        <v>53</v>
      </c>
      <c r="M158" s="88"/>
      <c r="N158" s="88" t="s">
        <v>91</v>
      </c>
      <c r="O158" s="93" t="s">
        <v>505</v>
      </c>
      <c r="P158" s="94" t="s">
        <v>56</v>
      </c>
      <c r="Q158" s="142" t="s">
        <v>68</v>
      </c>
      <c r="R158" s="95">
        <v>46153</v>
      </c>
      <c r="S158" s="96"/>
      <c r="T158" s="96" t="s">
        <v>69</v>
      </c>
      <c r="U158" s="96" t="s">
        <v>70</v>
      </c>
      <c r="V158" s="92">
        <v>46153</v>
      </c>
      <c r="W158" s="92" t="s">
        <v>71</v>
      </c>
      <c r="X158" s="92" t="s">
        <v>71</v>
      </c>
      <c r="Y158" s="97"/>
      <c r="Z158" s="88" t="s">
        <v>72</v>
      </c>
      <c r="AA158" s="96" t="s">
        <v>506</v>
      </c>
      <c r="AB158" s="88" t="s">
        <v>74</v>
      </c>
      <c r="AC158" s="119">
        <v>46174</v>
      </c>
      <c r="AD158" s="88"/>
      <c r="AE158" s="88"/>
      <c r="AF158" s="98"/>
      <c r="AG158" s="98"/>
      <c r="AH158" s="98"/>
      <c r="AI158" s="99" t="s">
        <v>61</v>
      </c>
      <c r="AJ158" s="99" t="s">
        <v>61</v>
      </c>
      <c r="AK158" s="99" t="s">
        <v>61</v>
      </c>
      <c r="AL158" s="44" t="s">
        <v>62</v>
      </c>
      <c r="AM158" s="196" t="str">
        <f>MONTH(B158)&amp;"/"&amp;YEAR(B158)</f>
        <v>5/2026</v>
      </c>
      <c r="AN158" s="44">
        <f>WEEKNUM(B158)-WEEKNUM(EOMONTH(B158,-1)+1)+1</f>
        <v>2</v>
      </c>
      <c r="AO158" s="44" t="str">
        <f>MONTH(R158)&amp;"/"&amp;YEAR(R158)</f>
        <v>5/2026</v>
      </c>
      <c r="AP158" s="44">
        <f>WEEKNUM(R158)-WEEKNUM(EOMONTH(R158,-1)+1)+1</f>
        <v>3</v>
      </c>
      <c r="AQ158" s="44">
        <f>IF(AU158="S",IF(Q158="1. Aceitou o programa",R158-B158,0),0)</f>
        <v>6</v>
      </c>
      <c r="AR158" s="44">
        <f>IF(AU158="S",IF(AND(S158&lt;&gt;"",R158&lt;&gt;""),S158-R158,0),0)</f>
        <v>0</v>
      </c>
      <c r="AS158" s="44">
        <f>IF(AU158="S",IF(Q158="1. Aceitou o programa",IF(OR(X158="Não se Aplica",X158=""),IF(OR(W158="Não se Aplica",W158=""),0,W158-V158),AVERAGE(X158-W158,W158-V158)),0),0)</f>
        <v>0</v>
      </c>
      <c r="AT158" s="44">
        <f>IF(AU158="S",IF(AND(Q158="1. Aceitou o programa",AB158="Realizada"),IFERROR(IF(AA158="",0,AA158-R158),0),0),0)</f>
        <v>4.4722222222189885</v>
      </c>
      <c r="AU158" s="44" t="str">
        <f>_xlfn.XLOOKUP(U158,'Lista Suspensa'!$AA$20:$AA$23,'Lista Suspensa'!$AB$20:$AB$23,"N/A")</f>
        <v>S</v>
      </c>
    </row>
    <row r="159" spans="1:47" ht="12" hidden="1" customHeight="1">
      <c r="A159" s="86" t="s">
        <v>47</v>
      </c>
      <c r="B159" s="87">
        <v>46147</v>
      </c>
      <c r="C159" s="88" t="s">
        <v>48</v>
      </c>
      <c r="D159" s="88" t="s">
        <v>49</v>
      </c>
      <c r="E159" s="91">
        <v>84053064</v>
      </c>
      <c r="F159" s="218" t="s">
        <v>507</v>
      </c>
      <c r="G159" s="91">
        <v>3813736733</v>
      </c>
      <c r="H159" s="92">
        <v>26661</v>
      </c>
      <c r="I159" s="88">
        <v>53</v>
      </c>
      <c r="J159" s="88" t="s">
        <v>51</v>
      </c>
      <c r="K159" s="88" t="s">
        <v>80</v>
      </c>
      <c r="L159" s="88" t="s">
        <v>87</v>
      </c>
      <c r="M159" s="88"/>
      <c r="N159" s="88" t="s">
        <v>122</v>
      </c>
      <c r="O159" s="93" t="s">
        <v>508</v>
      </c>
      <c r="P159" s="94" t="s">
        <v>56</v>
      </c>
      <c r="Q159" s="142" t="s">
        <v>68</v>
      </c>
      <c r="R159" s="95">
        <v>46164</v>
      </c>
      <c r="S159" s="96"/>
      <c r="T159" s="96" t="s">
        <v>69</v>
      </c>
      <c r="U159" s="96" t="s">
        <v>70</v>
      </c>
      <c r="V159" s="92">
        <v>46153</v>
      </c>
      <c r="W159" s="92">
        <v>46154</v>
      </c>
      <c r="X159" s="92">
        <v>46164</v>
      </c>
      <c r="Y159" s="97"/>
      <c r="Z159" s="88" t="s">
        <v>72</v>
      </c>
      <c r="AA159" s="96">
        <v>46175</v>
      </c>
      <c r="AB159" s="88"/>
      <c r="AC159" s="119">
        <v>46175</v>
      </c>
      <c r="AD159" s="88"/>
      <c r="AE159" s="88"/>
      <c r="AF159" s="98"/>
      <c r="AG159" s="98"/>
      <c r="AH159" s="98"/>
      <c r="AI159" s="99"/>
      <c r="AJ159" s="99" t="s">
        <v>61</v>
      </c>
      <c r="AK159" s="99" t="s">
        <v>61</v>
      </c>
      <c r="AL159" s="44" t="s">
        <v>62</v>
      </c>
      <c r="AM159" s="196" t="str">
        <f>MONTH(B159)&amp;"/"&amp;YEAR(B159)</f>
        <v>5/2026</v>
      </c>
      <c r="AN159" s="44">
        <f>WEEKNUM(B159)-WEEKNUM(EOMONTH(B159,-1)+1)+1</f>
        <v>2</v>
      </c>
      <c r="AO159" s="44" t="str">
        <f>MONTH(R159)&amp;"/"&amp;YEAR(R159)</f>
        <v>5/2026</v>
      </c>
      <c r="AP159" s="44">
        <f>WEEKNUM(R159)-WEEKNUM(EOMONTH(R159,-1)+1)+1</f>
        <v>4</v>
      </c>
      <c r="AQ159" s="44">
        <f>IF(AU159="S",IF(Q159="1. Aceitou o programa",R159-B159,0),0)</f>
        <v>17</v>
      </c>
      <c r="AR159" s="44">
        <f>IF(AU159="S",IF(AND(S159&lt;&gt;"",R159&lt;&gt;""),S159-R159,0),0)</f>
        <v>0</v>
      </c>
      <c r="AS159" s="44">
        <f>IF(AU159="S",IF(Q159="1. Aceitou o programa",IF(OR(X159="Não se Aplica",X159=""),IF(OR(W159="Não se Aplica",W159=""),0,W159-V159),AVERAGE(X159-W159,W159-V159)),0),0)</f>
        <v>5.5</v>
      </c>
      <c r="AT159" s="44">
        <f>IF(AU159="S",IF(AND(Q159="1. Aceitou o programa",AB159="Realizada"),IFERROR(IF(AA159="",0,AA159-R159),0),0),0)</f>
        <v>0</v>
      </c>
      <c r="AU159" s="44" t="str">
        <f>_xlfn.XLOOKUP(U159,'Lista Suspensa'!$AA$20:$AA$23,'Lista Suspensa'!$AB$20:$AB$23,"N/A")</f>
        <v>S</v>
      </c>
    </row>
    <row r="160" spans="1:47" ht="12" hidden="1" customHeight="1">
      <c r="A160" s="86" t="s">
        <v>47</v>
      </c>
      <c r="B160" s="87">
        <v>46147</v>
      </c>
      <c r="C160" s="88" t="s">
        <v>48</v>
      </c>
      <c r="D160" s="88" t="s">
        <v>49</v>
      </c>
      <c r="E160" s="89">
        <v>419203656</v>
      </c>
      <c r="F160" s="218" t="s">
        <v>509</v>
      </c>
      <c r="G160" s="91">
        <v>72737107768</v>
      </c>
      <c r="H160" s="92">
        <v>22804</v>
      </c>
      <c r="I160" s="88">
        <v>63</v>
      </c>
      <c r="J160" s="88" t="s">
        <v>64</v>
      </c>
      <c r="K160" s="88" t="s">
        <v>80</v>
      </c>
      <c r="L160" s="88" t="s">
        <v>87</v>
      </c>
      <c r="M160" s="88"/>
      <c r="N160" s="88" t="s">
        <v>223</v>
      </c>
      <c r="O160" s="93" t="s">
        <v>510</v>
      </c>
      <c r="P160" s="94" t="s">
        <v>56</v>
      </c>
      <c r="Q160" s="142" t="s">
        <v>68</v>
      </c>
      <c r="R160" s="95">
        <v>46153</v>
      </c>
      <c r="S160" s="96"/>
      <c r="T160" s="96" t="s">
        <v>69</v>
      </c>
      <c r="U160" s="96" t="s">
        <v>70</v>
      </c>
      <c r="V160" s="92">
        <v>46153</v>
      </c>
      <c r="W160" s="92" t="s">
        <v>71</v>
      </c>
      <c r="X160" s="92" t="s">
        <v>71</v>
      </c>
      <c r="Y160" s="97"/>
      <c r="Z160" s="88" t="s">
        <v>72</v>
      </c>
      <c r="AA160" s="96" t="s">
        <v>511</v>
      </c>
      <c r="AB160" s="88" t="s">
        <v>74</v>
      </c>
      <c r="AC160" s="119"/>
      <c r="AD160" s="88" t="s">
        <v>75</v>
      </c>
      <c r="AE160" s="88">
        <v>65</v>
      </c>
      <c r="AF160" s="98" t="s">
        <v>85</v>
      </c>
      <c r="AG160" s="98" t="s">
        <v>85</v>
      </c>
      <c r="AH160" s="98" t="s">
        <v>77</v>
      </c>
      <c r="AI160" s="99" t="s">
        <v>61</v>
      </c>
      <c r="AJ160" s="99" t="s">
        <v>61</v>
      </c>
      <c r="AK160" s="99" t="s">
        <v>61</v>
      </c>
      <c r="AL160" s="44" t="s">
        <v>62</v>
      </c>
      <c r="AM160" s="196" t="str">
        <f>MONTH(B160)&amp;"/"&amp;YEAR(B160)</f>
        <v>5/2026</v>
      </c>
      <c r="AN160" s="44">
        <f>WEEKNUM(B160)-WEEKNUM(EOMONTH(B160,-1)+1)+1</f>
        <v>2</v>
      </c>
      <c r="AO160" s="44" t="str">
        <f>MONTH(R160)&amp;"/"&amp;YEAR(R160)</f>
        <v>5/2026</v>
      </c>
      <c r="AP160" s="44">
        <f>WEEKNUM(R160)-WEEKNUM(EOMONTH(R160,-1)+1)+1</f>
        <v>3</v>
      </c>
      <c r="AQ160" s="44">
        <f>IF(AU160="S",IF(Q160="1. Aceitou o programa",R160-B160,0),0)</f>
        <v>6</v>
      </c>
      <c r="AR160" s="44">
        <f>IF(AU160="S",IF(AND(S160&lt;&gt;"",R160&lt;&gt;""),S160-R160,0),0)</f>
        <v>0</v>
      </c>
      <c r="AS160" s="44">
        <f>IF(AU160="S",IF(Q160="1. Aceitou o programa",IF(OR(X160="Não se Aplica",X160=""),IF(OR(W160="Não se Aplica",W160=""),0,W160-V160),AVERAGE(X160-W160,W160-V160)),0),0)</f>
        <v>0</v>
      </c>
      <c r="AT160" s="44">
        <f>IF(AU160="S",IF(AND(Q160="1. Aceitou o programa",AB160="Realizada"),IFERROR(IF(AA160="",0,AA160-R160),0),0),0)</f>
        <v>7.6111111111094942</v>
      </c>
      <c r="AU160" s="44" t="str">
        <f>_xlfn.XLOOKUP(U160,'Lista Suspensa'!$AA$20:$AA$23,'Lista Suspensa'!$AB$20:$AB$23,"N/A")</f>
        <v>S</v>
      </c>
    </row>
    <row r="161" spans="1:47" ht="12" hidden="1" customHeight="1">
      <c r="A161" s="86" t="s">
        <v>47</v>
      </c>
      <c r="B161" s="87">
        <v>46147</v>
      </c>
      <c r="C161" s="88" t="s">
        <v>48</v>
      </c>
      <c r="D161" s="88" t="s">
        <v>49</v>
      </c>
      <c r="E161" s="89">
        <v>757467245</v>
      </c>
      <c r="F161" s="218" t="s">
        <v>512</v>
      </c>
      <c r="G161" s="91">
        <v>380446766</v>
      </c>
      <c r="H161" s="92">
        <v>13255</v>
      </c>
      <c r="I161" s="88">
        <v>90</v>
      </c>
      <c r="J161" s="88" t="s">
        <v>64</v>
      </c>
      <c r="K161" s="88" t="s">
        <v>80</v>
      </c>
      <c r="L161" s="88" t="s">
        <v>81</v>
      </c>
      <c r="M161" s="88"/>
      <c r="N161" s="88" t="s">
        <v>54</v>
      </c>
      <c r="O161" s="93" t="s">
        <v>513</v>
      </c>
      <c r="P161" s="94" t="s">
        <v>56</v>
      </c>
      <c r="Q161" s="142" t="s">
        <v>68</v>
      </c>
      <c r="R161" s="95">
        <v>46164</v>
      </c>
      <c r="S161" s="96"/>
      <c r="T161" s="96" t="s">
        <v>69</v>
      </c>
      <c r="U161" s="96" t="s">
        <v>70</v>
      </c>
      <c r="V161" s="92">
        <v>46153</v>
      </c>
      <c r="W161" s="92">
        <v>46154</v>
      </c>
      <c r="X161" s="92">
        <v>46164</v>
      </c>
      <c r="Y161" s="97"/>
      <c r="Z161" s="88" t="s">
        <v>72</v>
      </c>
      <c r="AA161" s="96">
        <v>46181</v>
      </c>
      <c r="AB161" s="88" t="s">
        <v>74</v>
      </c>
      <c r="AC161" s="119">
        <v>46181</v>
      </c>
      <c r="AD161" s="88"/>
      <c r="AE161" s="88"/>
      <c r="AF161" s="98"/>
      <c r="AG161" s="98"/>
      <c r="AH161" s="98"/>
      <c r="AI161" s="99"/>
      <c r="AJ161" s="99" t="s">
        <v>61</v>
      </c>
      <c r="AK161" s="99" t="s">
        <v>78</v>
      </c>
      <c r="AL161" s="44" t="s">
        <v>62</v>
      </c>
      <c r="AM161" s="196" t="str">
        <f>MONTH(B161)&amp;"/"&amp;YEAR(B161)</f>
        <v>5/2026</v>
      </c>
      <c r="AN161" s="44">
        <f>WEEKNUM(B161)-WEEKNUM(EOMONTH(B161,-1)+1)+1</f>
        <v>2</v>
      </c>
      <c r="AO161" s="44" t="str">
        <f>MONTH(R161)&amp;"/"&amp;YEAR(R161)</f>
        <v>5/2026</v>
      </c>
      <c r="AP161" s="44">
        <f>WEEKNUM(R161)-WEEKNUM(EOMONTH(R161,-1)+1)+1</f>
        <v>4</v>
      </c>
      <c r="AQ161" s="44">
        <f>IF(AU161="S",IF(Q161="1. Aceitou o programa",R161-B161,0),0)</f>
        <v>17</v>
      </c>
      <c r="AR161" s="44">
        <f>IF(AU161="S",IF(AND(S161&lt;&gt;"",R161&lt;&gt;""),S161-R161,0),0)</f>
        <v>0</v>
      </c>
      <c r="AS161" s="44">
        <f>IF(AU161="S",IF(Q161="1. Aceitou o programa",IF(OR(X161="Não se Aplica",X161=""),IF(OR(W161="Não se Aplica",W161=""),0,W161-V161),AVERAGE(X161-W161,W161-V161)),0),0)</f>
        <v>5.5</v>
      </c>
      <c r="AT161" s="44">
        <f>IF(AU161="S",IF(AND(Q161="1. Aceitou o programa",AB161="Realizada"),IFERROR(IF(AA161="",0,AA161-R161),0),0),0)</f>
        <v>17</v>
      </c>
      <c r="AU161" s="44" t="str">
        <f>_xlfn.XLOOKUP(U161,'Lista Suspensa'!$AA$20:$AA$23,'Lista Suspensa'!$AB$20:$AB$23,"N/A")</f>
        <v>S</v>
      </c>
    </row>
    <row r="162" spans="1:47" ht="12" hidden="1" customHeight="1">
      <c r="A162" s="86" t="s">
        <v>47</v>
      </c>
      <c r="B162" s="87">
        <v>46147</v>
      </c>
      <c r="C162" s="88" t="s">
        <v>48</v>
      </c>
      <c r="D162" s="88" t="s">
        <v>49</v>
      </c>
      <c r="E162" s="89">
        <v>803883765</v>
      </c>
      <c r="F162" s="218" t="s">
        <v>514</v>
      </c>
      <c r="G162" s="91">
        <v>10634205803</v>
      </c>
      <c r="H162" s="92">
        <v>13820</v>
      </c>
      <c r="I162" s="88">
        <v>88</v>
      </c>
      <c r="J162" s="88" t="s">
        <v>64</v>
      </c>
      <c r="K162" s="88" t="s">
        <v>52</v>
      </c>
      <c r="L162" s="88" t="s">
        <v>53</v>
      </c>
      <c r="M162" s="88"/>
      <c r="N162" s="88" t="s">
        <v>54</v>
      </c>
      <c r="O162" s="93" t="s">
        <v>515</v>
      </c>
      <c r="P162" s="94" t="s">
        <v>56</v>
      </c>
      <c r="Q162" s="142" t="s">
        <v>68</v>
      </c>
      <c r="R162" s="95">
        <v>46153</v>
      </c>
      <c r="S162" s="96"/>
      <c r="T162" s="96" t="s">
        <v>69</v>
      </c>
      <c r="U162" s="96" t="s">
        <v>70</v>
      </c>
      <c r="V162" s="92">
        <v>46153</v>
      </c>
      <c r="W162" s="92" t="s">
        <v>71</v>
      </c>
      <c r="X162" s="92" t="s">
        <v>71</v>
      </c>
      <c r="Y162" s="97"/>
      <c r="Z162" s="88" t="s">
        <v>72</v>
      </c>
      <c r="AA162" s="96" t="s">
        <v>516</v>
      </c>
      <c r="AB162" s="88" t="s">
        <v>74</v>
      </c>
      <c r="AC162" s="119"/>
      <c r="AD162" s="88" t="s">
        <v>75</v>
      </c>
      <c r="AE162" s="88">
        <v>62</v>
      </c>
      <c r="AF162" s="98" t="s">
        <v>517</v>
      </c>
      <c r="AG162" s="98" t="s">
        <v>517</v>
      </c>
      <c r="AH162" s="98" t="s">
        <v>77</v>
      </c>
      <c r="AI162" s="99" t="s">
        <v>61</v>
      </c>
      <c r="AJ162" s="99" t="s">
        <v>61</v>
      </c>
      <c r="AK162" s="99" t="s">
        <v>61</v>
      </c>
      <c r="AL162" s="44" t="s">
        <v>62</v>
      </c>
      <c r="AM162" s="196" t="str">
        <f>MONTH(B162)&amp;"/"&amp;YEAR(B162)</f>
        <v>5/2026</v>
      </c>
      <c r="AN162" s="44">
        <f>WEEKNUM(B162)-WEEKNUM(EOMONTH(B162,-1)+1)+1</f>
        <v>2</v>
      </c>
      <c r="AO162" s="44" t="str">
        <f>MONTH(R162)&amp;"/"&amp;YEAR(R162)</f>
        <v>5/2026</v>
      </c>
      <c r="AP162" s="44">
        <f>WEEKNUM(R162)-WEEKNUM(EOMONTH(R162,-1)+1)+1</f>
        <v>3</v>
      </c>
      <c r="AQ162" s="44">
        <f>IF(AU162="S",IF(Q162="1. Aceitou o programa",R162-B162,0),0)</f>
        <v>6</v>
      </c>
      <c r="AR162" s="44">
        <f>IF(AU162="S",IF(AND(S162&lt;&gt;"",R162&lt;&gt;""),S162-R162,0),0)</f>
        <v>0</v>
      </c>
      <c r="AS162" s="44">
        <f>IF(AU162="S",IF(Q162="1. Aceitou o programa",IF(OR(X162="Não se Aplica",X162=""),IF(OR(W162="Não se Aplica",W162=""),0,W162-V162),AVERAGE(X162-W162,W162-V162)),0),0)</f>
        <v>0</v>
      </c>
      <c r="AT162" s="44">
        <f>IF(AU162="S",IF(AND(Q162="1. Aceitou o programa",AB162="Realizada"),IFERROR(IF(AA162="",0,AA162-R162),0),0),0)</f>
        <v>15.694444444445253</v>
      </c>
      <c r="AU162" s="44" t="str">
        <f>_xlfn.XLOOKUP(U162,'Lista Suspensa'!$AA$20:$AA$23,'Lista Suspensa'!$AB$20:$AB$23,"N/A")</f>
        <v>S</v>
      </c>
    </row>
    <row r="163" spans="1:47" ht="12" hidden="1" customHeight="1">
      <c r="A163" s="86" t="s">
        <v>47</v>
      </c>
      <c r="B163" s="87">
        <v>46147</v>
      </c>
      <c r="C163" s="88" t="s">
        <v>48</v>
      </c>
      <c r="D163" s="88" t="s">
        <v>49</v>
      </c>
      <c r="E163" s="91">
        <v>81601571</v>
      </c>
      <c r="F163" s="218" t="s">
        <v>518</v>
      </c>
      <c r="G163" s="91">
        <v>12647074879</v>
      </c>
      <c r="H163" s="92">
        <v>24880</v>
      </c>
      <c r="I163" s="88">
        <v>58</v>
      </c>
      <c r="J163" s="88" t="s">
        <v>64</v>
      </c>
      <c r="K163" s="88" t="s">
        <v>52</v>
      </c>
      <c r="L163" s="88" t="s">
        <v>53</v>
      </c>
      <c r="M163" s="88"/>
      <c r="N163" s="88" t="s">
        <v>122</v>
      </c>
      <c r="O163" s="93" t="s">
        <v>519</v>
      </c>
      <c r="P163" s="94" t="s">
        <v>56</v>
      </c>
      <c r="Q163" s="142" t="s">
        <v>68</v>
      </c>
      <c r="R163" s="95">
        <v>46164</v>
      </c>
      <c r="S163" s="96"/>
      <c r="T163" s="96" t="s">
        <v>69</v>
      </c>
      <c r="U163" s="96" t="s">
        <v>70</v>
      </c>
      <c r="V163" s="92">
        <v>46153</v>
      </c>
      <c r="W163" s="92">
        <v>46154</v>
      </c>
      <c r="X163" s="92">
        <v>46164</v>
      </c>
      <c r="Y163" s="97"/>
      <c r="Z163" s="88" t="s">
        <v>72</v>
      </c>
      <c r="AA163" s="96">
        <v>46178</v>
      </c>
      <c r="AB163" s="88"/>
      <c r="AC163" s="119"/>
      <c r="AD163" s="88"/>
      <c r="AE163" s="88"/>
      <c r="AF163" s="98"/>
      <c r="AG163" s="98"/>
      <c r="AH163" s="98"/>
      <c r="AI163" s="99"/>
      <c r="AJ163" s="99" t="s">
        <v>61</v>
      </c>
      <c r="AK163" s="99" t="s">
        <v>61</v>
      </c>
      <c r="AL163" s="44" t="s">
        <v>62</v>
      </c>
      <c r="AM163" s="196" t="str">
        <f>MONTH(B163)&amp;"/"&amp;YEAR(B163)</f>
        <v>5/2026</v>
      </c>
      <c r="AN163" s="44">
        <f>WEEKNUM(B163)-WEEKNUM(EOMONTH(B163,-1)+1)+1</f>
        <v>2</v>
      </c>
      <c r="AO163" s="44" t="str">
        <f>MONTH(R163)&amp;"/"&amp;YEAR(R163)</f>
        <v>5/2026</v>
      </c>
      <c r="AP163" s="44">
        <f>WEEKNUM(R163)-WEEKNUM(EOMONTH(R163,-1)+1)+1</f>
        <v>4</v>
      </c>
      <c r="AQ163" s="44">
        <f>IF(AU163="S",IF(Q163="1. Aceitou o programa",R163-B163,0),0)</f>
        <v>17</v>
      </c>
      <c r="AR163" s="44">
        <f>IF(AU163="S",IF(AND(S163&lt;&gt;"",R163&lt;&gt;""),S163-R163,0),0)</f>
        <v>0</v>
      </c>
      <c r="AS163" s="44">
        <f>IF(AU163="S",IF(Q163="1. Aceitou o programa",IF(OR(X163="Não se Aplica",X163=""),IF(OR(W163="Não se Aplica",W163=""),0,W163-V163),AVERAGE(X163-W163,W163-V163)),0),0)</f>
        <v>5.5</v>
      </c>
      <c r="AT163" s="44">
        <f>IF(AU163="S",IF(AND(Q163="1. Aceitou o programa",AB163="Realizada"),IFERROR(IF(AA163="",0,AA163-R163),0),0),0)</f>
        <v>0</v>
      </c>
      <c r="AU163" s="44" t="str">
        <f>_xlfn.XLOOKUP(U163,'Lista Suspensa'!$AA$20:$AA$23,'Lista Suspensa'!$AB$20:$AB$23,"N/A")</f>
        <v>S</v>
      </c>
    </row>
    <row r="164" spans="1:47" ht="12" hidden="1" customHeight="1">
      <c r="A164" s="86" t="s">
        <v>47</v>
      </c>
      <c r="B164" s="87">
        <v>46147</v>
      </c>
      <c r="C164" s="88" t="s">
        <v>48</v>
      </c>
      <c r="D164" s="88" t="s">
        <v>49</v>
      </c>
      <c r="E164" s="89">
        <v>93805144</v>
      </c>
      <c r="F164" s="218" t="s">
        <v>520</v>
      </c>
      <c r="G164" s="91">
        <v>2142983707</v>
      </c>
      <c r="H164" s="92">
        <v>21472</v>
      </c>
      <c r="I164" s="88">
        <v>67</v>
      </c>
      <c r="J164" s="88" t="s">
        <v>64</v>
      </c>
      <c r="K164" s="88" t="s">
        <v>80</v>
      </c>
      <c r="L164" s="88" t="s">
        <v>87</v>
      </c>
      <c r="M164" s="88"/>
      <c r="N164" s="88" t="s">
        <v>94</v>
      </c>
      <c r="O164" s="93" t="s">
        <v>521</v>
      </c>
      <c r="P164" s="94" t="s">
        <v>56</v>
      </c>
      <c r="Q164" s="142" t="s">
        <v>68</v>
      </c>
      <c r="R164" s="95">
        <v>46153</v>
      </c>
      <c r="S164" s="96"/>
      <c r="T164" s="96" t="s">
        <v>69</v>
      </c>
      <c r="U164" s="96" t="s">
        <v>70</v>
      </c>
      <c r="V164" s="92">
        <v>46153</v>
      </c>
      <c r="W164" s="92" t="s">
        <v>71</v>
      </c>
      <c r="X164" s="92" t="s">
        <v>71</v>
      </c>
      <c r="Y164" s="97"/>
      <c r="Z164" s="88" t="s">
        <v>72</v>
      </c>
      <c r="AA164" s="96">
        <v>46160</v>
      </c>
      <c r="AB164" s="88" t="s">
        <v>74</v>
      </c>
      <c r="AC164" s="119"/>
      <c r="AD164" s="88" t="s">
        <v>113</v>
      </c>
      <c r="AE164" s="88">
        <v>48</v>
      </c>
      <c r="AF164" s="98" t="s">
        <v>85</v>
      </c>
      <c r="AG164" s="98" t="s">
        <v>85</v>
      </c>
      <c r="AH164" s="98" t="s">
        <v>77</v>
      </c>
      <c r="AI164" s="99" t="s">
        <v>78</v>
      </c>
      <c r="AJ164" s="99" t="s">
        <v>61</v>
      </c>
      <c r="AK164" s="99" t="s">
        <v>61</v>
      </c>
      <c r="AL164" s="44" t="s">
        <v>62</v>
      </c>
      <c r="AM164" s="196" t="str">
        <f>MONTH(B164)&amp;"/"&amp;YEAR(B164)</f>
        <v>5/2026</v>
      </c>
      <c r="AN164" s="44">
        <f>WEEKNUM(B164)-WEEKNUM(EOMONTH(B164,-1)+1)+1</f>
        <v>2</v>
      </c>
      <c r="AO164" s="44" t="str">
        <f>MONTH(R164)&amp;"/"&amp;YEAR(R164)</f>
        <v>5/2026</v>
      </c>
      <c r="AP164" s="44">
        <f>WEEKNUM(R164)-WEEKNUM(EOMONTH(R164,-1)+1)+1</f>
        <v>3</v>
      </c>
      <c r="AQ164" s="44">
        <f>IF(AU164="S",IF(Q164="1. Aceitou o programa",R164-B164,0),0)</f>
        <v>6</v>
      </c>
      <c r="AR164" s="44">
        <f>IF(AU164="S",IF(AND(S164&lt;&gt;"",R164&lt;&gt;""),S164-R164,0),0)</f>
        <v>0</v>
      </c>
      <c r="AS164" s="44">
        <f>IF(AU164="S",IF(Q164="1. Aceitou o programa",IF(OR(X164="Não se Aplica",X164=""),IF(OR(W164="Não se Aplica",W164=""),0,W164-V164),AVERAGE(X164-W164,W164-V164)),0),0)</f>
        <v>0</v>
      </c>
      <c r="AT164" s="44">
        <f>IF(AU164="S",IF(AND(Q164="1. Aceitou o programa",AB164="Realizada"),IFERROR(IF(AA164="",0,AA164-R164),0),0),0)</f>
        <v>7</v>
      </c>
      <c r="AU164" s="44" t="str">
        <f>_xlfn.XLOOKUP(U164,'Lista Suspensa'!$AA$20:$AA$23,'Lista Suspensa'!$AB$20:$AB$23,"N/A")</f>
        <v>S</v>
      </c>
    </row>
    <row r="165" spans="1:47" ht="12" hidden="1" customHeight="1">
      <c r="A165" s="86" t="s">
        <v>47</v>
      </c>
      <c r="B165" s="87">
        <v>46147</v>
      </c>
      <c r="C165" s="88" t="s">
        <v>48</v>
      </c>
      <c r="D165" s="88" t="s">
        <v>49</v>
      </c>
      <c r="E165" s="89">
        <v>75094876</v>
      </c>
      <c r="F165" s="218" t="s">
        <v>522</v>
      </c>
      <c r="G165" s="91">
        <v>269863702</v>
      </c>
      <c r="H165" s="92">
        <v>24374</v>
      </c>
      <c r="I165" s="88">
        <v>59</v>
      </c>
      <c r="J165" s="88" t="s">
        <v>64</v>
      </c>
      <c r="K165" s="88" t="s">
        <v>80</v>
      </c>
      <c r="L165" s="88" t="s">
        <v>87</v>
      </c>
      <c r="M165" s="88"/>
      <c r="N165" s="88" t="s">
        <v>110</v>
      </c>
      <c r="O165" s="93" t="s">
        <v>523</v>
      </c>
      <c r="P165" s="94" t="s">
        <v>56</v>
      </c>
      <c r="Q165" s="142" t="s">
        <v>68</v>
      </c>
      <c r="R165" s="95">
        <v>46153</v>
      </c>
      <c r="S165" s="96"/>
      <c r="T165" s="96" t="s">
        <v>69</v>
      </c>
      <c r="U165" s="96" t="s">
        <v>70</v>
      </c>
      <c r="V165" s="92">
        <v>46153</v>
      </c>
      <c r="W165" s="92" t="s">
        <v>71</v>
      </c>
      <c r="X165" s="92" t="s">
        <v>71</v>
      </c>
      <c r="Y165" s="97"/>
      <c r="Z165" s="88" t="s">
        <v>72</v>
      </c>
      <c r="AA165" s="96" t="s">
        <v>524</v>
      </c>
      <c r="AB165" s="88" t="s">
        <v>74</v>
      </c>
      <c r="AC165" s="119">
        <v>46176</v>
      </c>
      <c r="AD165" s="88"/>
      <c r="AE165" s="88"/>
      <c r="AF165" s="98"/>
      <c r="AG165" s="98"/>
      <c r="AH165" s="98"/>
      <c r="AI165" s="99" t="s">
        <v>61</v>
      </c>
      <c r="AJ165" s="99" t="s">
        <v>61</v>
      </c>
      <c r="AK165" s="99" t="s">
        <v>61</v>
      </c>
      <c r="AL165" s="44" t="s">
        <v>62</v>
      </c>
      <c r="AM165" s="196" t="str">
        <f>MONTH(B165)&amp;"/"&amp;YEAR(B165)</f>
        <v>5/2026</v>
      </c>
      <c r="AN165" s="44">
        <f>WEEKNUM(B165)-WEEKNUM(EOMONTH(B165,-1)+1)+1</f>
        <v>2</v>
      </c>
      <c r="AO165" s="44" t="str">
        <f>MONTH(R165)&amp;"/"&amp;YEAR(R165)</f>
        <v>5/2026</v>
      </c>
      <c r="AP165" s="44">
        <f>WEEKNUM(R165)-WEEKNUM(EOMONTH(R165,-1)+1)+1</f>
        <v>3</v>
      </c>
      <c r="AQ165" s="44">
        <f>IF(AU165="S",IF(Q165="1. Aceitou o programa",R165-B165,0),0)</f>
        <v>6</v>
      </c>
      <c r="AR165" s="44">
        <f>IF(AU165="S",IF(AND(S165&lt;&gt;"",R165&lt;&gt;""),S165-R165,0),0)</f>
        <v>0</v>
      </c>
      <c r="AS165" s="44">
        <f>IF(AU165="S",IF(Q165="1. Aceitou o programa",IF(OR(X165="Não se Aplica",X165=""),IF(OR(W165="Não se Aplica",W165=""),0,W165-V165),AVERAGE(X165-W165,W165-V165)),0),0)</f>
        <v>0</v>
      </c>
      <c r="AT165" s="44">
        <f>IF(AU165="S",IF(AND(Q165="1. Aceitou o programa",AB165="Realizada"),IFERROR(IF(AA165="",0,AA165-R165),0),0),0)</f>
        <v>14.472222222218988</v>
      </c>
      <c r="AU165" s="44" t="str">
        <f>_xlfn.XLOOKUP(U165,'Lista Suspensa'!$AA$20:$AA$23,'Lista Suspensa'!$AB$20:$AB$23,"N/A")</f>
        <v>S</v>
      </c>
    </row>
    <row r="166" spans="1:47" ht="12" hidden="1" customHeight="1">
      <c r="A166" s="86" t="s">
        <v>47</v>
      </c>
      <c r="B166" s="87">
        <v>46147</v>
      </c>
      <c r="C166" s="88" t="s">
        <v>48</v>
      </c>
      <c r="D166" s="88" t="s">
        <v>49</v>
      </c>
      <c r="E166" s="89">
        <v>73782883</v>
      </c>
      <c r="F166" s="218" t="s">
        <v>525</v>
      </c>
      <c r="G166" s="91">
        <v>86455770706</v>
      </c>
      <c r="H166" s="92">
        <v>23896</v>
      </c>
      <c r="I166" s="88">
        <v>60</v>
      </c>
      <c r="J166" s="88" t="s">
        <v>64</v>
      </c>
      <c r="K166" s="88" t="s">
        <v>80</v>
      </c>
      <c r="L166" s="88" t="s">
        <v>87</v>
      </c>
      <c r="M166" s="88"/>
      <c r="N166" s="88" t="s">
        <v>223</v>
      </c>
      <c r="O166" s="93" t="s">
        <v>526</v>
      </c>
      <c r="P166" s="94" t="s">
        <v>56</v>
      </c>
      <c r="Q166" s="142" t="s">
        <v>68</v>
      </c>
      <c r="R166" s="95">
        <v>46153</v>
      </c>
      <c r="S166" s="96"/>
      <c r="T166" s="96" t="s">
        <v>69</v>
      </c>
      <c r="U166" s="96" t="s">
        <v>70</v>
      </c>
      <c r="V166" s="92">
        <v>46153</v>
      </c>
      <c r="W166" s="92" t="s">
        <v>71</v>
      </c>
      <c r="X166" s="92" t="s">
        <v>71</v>
      </c>
      <c r="Y166" s="97"/>
      <c r="Z166" s="88" t="s">
        <v>72</v>
      </c>
      <c r="AA166" s="96" t="s">
        <v>527</v>
      </c>
      <c r="AB166" s="88" t="s">
        <v>105</v>
      </c>
      <c r="AC166" s="119">
        <v>46189</v>
      </c>
      <c r="AD166" s="88"/>
      <c r="AE166" s="88"/>
      <c r="AF166" s="98"/>
      <c r="AG166" s="98"/>
      <c r="AH166" s="98"/>
      <c r="AI166" s="99" t="s">
        <v>61</v>
      </c>
      <c r="AJ166" s="99" t="s">
        <v>61</v>
      </c>
      <c r="AK166" s="99" t="s">
        <v>61</v>
      </c>
      <c r="AL166" s="44" t="s">
        <v>62</v>
      </c>
      <c r="AM166" s="196" t="str">
        <f>MONTH(B166)&amp;"/"&amp;YEAR(B166)</f>
        <v>5/2026</v>
      </c>
      <c r="AN166" s="44">
        <f>WEEKNUM(B166)-WEEKNUM(EOMONTH(B166,-1)+1)+1</f>
        <v>2</v>
      </c>
      <c r="AO166" s="44" t="str">
        <f>MONTH(R166)&amp;"/"&amp;YEAR(R166)</f>
        <v>5/2026</v>
      </c>
      <c r="AP166" s="44">
        <f>WEEKNUM(R166)-WEEKNUM(EOMONTH(R166,-1)+1)+1</f>
        <v>3</v>
      </c>
      <c r="AQ166" s="44">
        <f>IF(AU166="S",IF(Q166="1. Aceitou o programa",R166-B166,0),0)</f>
        <v>6</v>
      </c>
      <c r="AR166" s="44">
        <f>IF(AU166="S",IF(AND(S166&lt;&gt;"",R166&lt;&gt;""),S166-R166,0),0)</f>
        <v>0</v>
      </c>
      <c r="AS166" s="44">
        <f>IF(AU166="S",IF(Q166="1. Aceitou o programa",IF(OR(X166="Não se Aplica",X166=""),IF(OR(W166="Não se Aplica",W166=""),0,W166-V166),AVERAGE(X166-W166,W166-V166)),0),0)</f>
        <v>0</v>
      </c>
      <c r="AT166" s="44">
        <f>IF(AU166="S",IF(AND(Q166="1. Aceitou o programa",AB166="Realizada"),IFERROR(IF(AA166="",0,AA166-R166),0),0),0)</f>
        <v>0</v>
      </c>
      <c r="AU166" s="44" t="str">
        <f>_xlfn.XLOOKUP(U166,'Lista Suspensa'!$AA$20:$AA$23,'Lista Suspensa'!$AB$20:$AB$23,"N/A")</f>
        <v>S</v>
      </c>
    </row>
    <row r="167" spans="1:47" ht="12" hidden="1" customHeight="1">
      <c r="A167" s="86" t="s">
        <v>47</v>
      </c>
      <c r="B167" s="87">
        <v>46147</v>
      </c>
      <c r="C167" s="88" t="s">
        <v>48</v>
      </c>
      <c r="D167" s="88" t="s">
        <v>49</v>
      </c>
      <c r="E167" s="91">
        <v>78487126</v>
      </c>
      <c r="F167" s="218" t="s">
        <v>528</v>
      </c>
      <c r="G167" s="91">
        <v>3810449717</v>
      </c>
      <c r="H167" s="92">
        <v>20987</v>
      </c>
      <c r="I167" s="88">
        <v>68</v>
      </c>
      <c r="J167" s="88" t="s">
        <v>64</v>
      </c>
      <c r="K167" s="88" t="s">
        <v>80</v>
      </c>
      <c r="L167" s="88" t="s">
        <v>87</v>
      </c>
      <c r="M167" s="88"/>
      <c r="N167" s="88" t="s">
        <v>91</v>
      </c>
      <c r="O167" s="93" t="s">
        <v>529</v>
      </c>
      <c r="P167" s="94" t="s">
        <v>56</v>
      </c>
      <c r="Q167" s="142" t="s">
        <v>443</v>
      </c>
      <c r="R167" s="95">
        <v>46164</v>
      </c>
      <c r="S167" s="96">
        <v>46178</v>
      </c>
      <c r="T167" s="96" t="s">
        <v>69</v>
      </c>
      <c r="U167" s="96" t="s">
        <v>530</v>
      </c>
      <c r="V167" s="92">
        <v>46153</v>
      </c>
      <c r="W167" s="92">
        <v>46154</v>
      </c>
      <c r="X167" s="92">
        <v>46164</v>
      </c>
      <c r="Y167" s="97" t="s">
        <v>531</v>
      </c>
      <c r="Z167" s="88" t="s">
        <v>72</v>
      </c>
      <c r="AA167" s="96">
        <v>46178</v>
      </c>
      <c r="AB167" s="88" t="s">
        <v>74</v>
      </c>
      <c r="AC167" s="119"/>
      <c r="AD167" s="88"/>
      <c r="AE167" s="88"/>
      <c r="AF167" s="98"/>
      <c r="AG167" s="98"/>
      <c r="AH167" s="98" t="s">
        <v>277</v>
      </c>
      <c r="AI167" s="99"/>
      <c r="AJ167" s="99" t="s">
        <v>61</v>
      </c>
      <c r="AK167" s="99" t="s">
        <v>61</v>
      </c>
      <c r="AL167" s="44" t="s">
        <v>62</v>
      </c>
      <c r="AM167" s="196" t="str">
        <f>MONTH(B167)&amp;"/"&amp;YEAR(B167)</f>
        <v>5/2026</v>
      </c>
      <c r="AN167" s="44">
        <f>WEEKNUM(B167)-WEEKNUM(EOMONTH(B167,-1)+1)+1</f>
        <v>2</v>
      </c>
      <c r="AO167" s="44" t="str">
        <f>MONTH(R167)&amp;"/"&amp;YEAR(R167)</f>
        <v>5/2026</v>
      </c>
      <c r="AP167" s="44">
        <f>WEEKNUM(R167)-WEEKNUM(EOMONTH(R167,-1)+1)+1</f>
        <v>4</v>
      </c>
      <c r="AQ167" s="44">
        <f>IF(AU167="S",IF(Q167="1. Aceitou o programa",R167-B167,0),0)</f>
        <v>0</v>
      </c>
      <c r="AR167" s="44">
        <f>IF(AU167="S",IF(AND(S167&lt;&gt;"",R167&lt;&gt;""),S167-R167,0),0)</f>
        <v>14</v>
      </c>
      <c r="AS167" s="44">
        <f>IF(AU167="S",IF(Q167="1. Aceitou o programa",IF(OR(X167="Não se Aplica",X167=""),IF(OR(W167="Não se Aplica",W167=""),0,W167-V167),AVERAGE(X167-W167,W167-V167)),0),0)</f>
        <v>0</v>
      </c>
      <c r="AT167" s="44">
        <f>IF(AU167="S",IF(AND(Q167="1. Aceitou o programa",AB167="Realizada"),IFERROR(IF(AA167="",0,AA167-R167),0),0),0)</f>
        <v>0</v>
      </c>
      <c r="AU167" s="44" t="str">
        <f>_xlfn.XLOOKUP(U167,'Lista Suspensa'!$AA$20:$AA$23,'Lista Suspensa'!$AB$20:$AB$23,"N/A")</f>
        <v>S</v>
      </c>
    </row>
    <row r="168" spans="1:47" ht="12" hidden="1" customHeight="1">
      <c r="A168" s="86" t="s">
        <v>47</v>
      </c>
      <c r="B168" s="87">
        <v>46147</v>
      </c>
      <c r="C168" s="88" t="s">
        <v>48</v>
      </c>
      <c r="D168" s="88" t="s">
        <v>49</v>
      </c>
      <c r="E168" s="89">
        <v>95020842</v>
      </c>
      <c r="F168" s="218" t="s">
        <v>532</v>
      </c>
      <c r="G168" s="91">
        <v>7780921867</v>
      </c>
      <c r="H168" s="92">
        <v>20684</v>
      </c>
      <c r="I168" s="88">
        <v>69</v>
      </c>
      <c r="J168" s="88" t="s">
        <v>64</v>
      </c>
      <c r="K168" s="88" t="s">
        <v>52</v>
      </c>
      <c r="L168" s="88" t="s">
        <v>133</v>
      </c>
      <c r="M168" s="88"/>
      <c r="N168" s="88" t="s">
        <v>66</v>
      </c>
      <c r="O168" s="93" t="s">
        <v>533</v>
      </c>
      <c r="P168" s="94" t="s">
        <v>56</v>
      </c>
      <c r="Q168" s="142" t="s">
        <v>68</v>
      </c>
      <c r="R168" s="95">
        <v>46153</v>
      </c>
      <c r="S168" s="96"/>
      <c r="T168" s="96" t="s">
        <v>69</v>
      </c>
      <c r="U168" s="96" t="s">
        <v>70</v>
      </c>
      <c r="V168" s="92">
        <v>46153</v>
      </c>
      <c r="W168" s="92" t="s">
        <v>71</v>
      </c>
      <c r="X168" s="92" t="s">
        <v>71</v>
      </c>
      <c r="Y168" s="97"/>
      <c r="Z168" s="88" t="s">
        <v>72</v>
      </c>
      <c r="AA168" s="96" t="s">
        <v>534</v>
      </c>
      <c r="AB168" s="88" t="s">
        <v>74</v>
      </c>
      <c r="AC168" s="119"/>
      <c r="AD168" s="88" t="s">
        <v>97</v>
      </c>
      <c r="AE168" s="88">
        <v>58</v>
      </c>
      <c r="AF168" s="98" t="s">
        <v>85</v>
      </c>
      <c r="AG168" s="98" t="s">
        <v>85</v>
      </c>
      <c r="AH168" s="98" t="s">
        <v>77</v>
      </c>
      <c r="AI168" s="99" t="s">
        <v>61</v>
      </c>
      <c r="AJ168" s="99" t="s">
        <v>61</v>
      </c>
      <c r="AK168" s="99" t="s">
        <v>61</v>
      </c>
      <c r="AL168" s="44" t="s">
        <v>62</v>
      </c>
      <c r="AM168" s="196" t="str">
        <f>MONTH(B168)&amp;"/"&amp;YEAR(B168)</f>
        <v>5/2026</v>
      </c>
      <c r="AN168" s="44">
        <f>WEEKNUM(B168)-WEEKNUM(EOMONTH(B168,-1)+1)+1</f>
        <v>2</v>
      </c>
      <c r="AO168" s="44" t="str">
        <f>MONTH(R168)&amp;"/"&amp;YEAR(R168)</f>
        <v>5/2026</v>
      </c>
      <c r="AP168" s="44">
        <f>WEEKNUM(R168)-WEEKNUM(EOMONTH(R168,-1)+1)+1</f>
        <v>3</v>
      </c>
      <c r="AQ168" s="44">
        <f>IF(AU168="S",IF(Q168="1. Aceitou o programa",R168-B168,0),0)</f>
        <v>6</v>
      </c>
      <c r="AR168" s="44">
        <f>IF(AU168="S",IF(AND(S168&lt;&gt;"",R168&lt;&gt;""),S168-R168,0),0)</f>
        <v>0</v>
      </c>
      <c r="AS168" s="44">
        <f>IF(AU168="S",IF(Q168="1. Aceitou o programa",IF(OR(X168="Não se Aplica",X168=""),IF(OR(W168="Não se Aplica",W168=""),0,W168-V168),AVERAGE(X168-W168,W168-V168)),0),0)</f>
        <v>0</v>
      </c>
      <c r="AT168" s="44">
        <f>IF(AU168="S",IF(AND(Q168="1. Aceitou o programa",AB168="Realizada"),IFERROR(IF(AA168="",0,AA168-R168),0),0),0)</f>
        <v>10.430555555554747</v>
      </c>
      <c r="AU168" s="44" t="str">
        <f>_xlfn.XLOOKUP(U168,'Lista Suspensa'!$AA$20:$AA$23,'Lista Suspensa'!$AB$20:$AB$23,"N/A")</f>
        <v>S</v>
      </c>
    </row>
    <row r="169" spans="1:47" ht="12" hidden="1" customHeight="1">
      <c r="A169" s="86" t="s">
        <v>47</v>
      </c>
      <c r="B169" s="87">
        <v>46147</v>
      </c>
      <c r="C169" s="88" t="s">
        <v>48</v>
      </c>
      <c r="D169" s="88" t="s">
        <v>49</v>
      </c>
      <c r="E169" s="111">
        <v>317860933</v>
      </c>
      <c r="F169" s="218" t="s">
        <v>535</v>
      </c>
      <c r="G169" s="91">
        <v>7462262762</v>
      </c>
      <c r="H169" s="92">
        <v>22924</v>
      </c>
      <c r="I169" s="88">
        <v>63</v>
      </c>
      <c r="J169" s="88" t="s">
        <v>64</v>
      </c>
      <c r="K169" s="88" t="s">
        <v>80</v>
      </c>
      <c r="L169" s="88" t="s">
        <v>87</v>
      </c>
      <c r="M169" s="88"/>
      <c r="N169" s="88" t="s">
        <v>210</v>
      </c>
      <c r="O169" s="93" t="s">
        <v>536</v>
      </c>
      <c r="P169" s="94" t="s">
        <v>56</v>
      </c>
      <c r="Q169" s="142" t="s">
        <v>68</v>
      </c>
      <c r="R169" s="95">
        <v>46163</v>
      </c>
      <c r="S169" s="96"/>
      <c r="T169" s="96" t="s">
        <v>69</v>
      </c>
      <c r="U169" s="96" t="s">
        <v>70</v>
      </c>
      <c r="V169" s="92">
        <v>46153</v>
      </c>
      <c r="W169" s="92">
        <v>46154</v>
      </c>
      <c r="X169" s="92">
        <v>46160</v>
      </c>
      <c r="Y169" s="97"/>
      <c r="Z169" s="88" t="s">
        <v>72</v>
      </c>
      <c r="AA169" s="96">
        <v>46171.625</v>
      </c>
      <c r="AB169" s="88" t="s">
        <v>74</v>
      </c>
      <c r="AC169" s="119"/>
      <c r="AD169" s="88" t="s">
        <v>113</v>
      </c>
      <c r="AE169" s="88">
        <v>29</v>
      </c>
      <c r="AF169" s="98"/>
      <c r="AG169" s="98"/>
      <c r="AH169" s="98" t="s">
        <v>77</v>
      </c>
      <c r="AI169" s="99"/>
      <c r="AJ169" s="99" t="s">
        <v>61</v>
      </c>
      <c r="AK169" s="99" t="s">
        <v>61</v>
      </c>
      <c r="AL169" s="44" t="s">
        <v>62</v>
      </c>
      <c r="AM169" s="196" t="str">
        <f>MONTH(B169)&amp;"/"&amp;YEAR(B169)</f>
        <v>5/2026</v>
      </c>
      <c r="AN169" s="44">
        <f>WEEKNUM(B169)-WEEKNUM(EOMONTH(B169,-1)+1)+1</f>
        <v>2</v>
      </c>
      <c r="AO169" s="44" t="str">
        <f>MONTH(R169)&amp;"/"&amp;YEAR(R169)</f>
        <v>5/2026</v>
      </c>
      <c r="AP169" s="44">
        <f>WEEKNUM(R169)-WEEKNUM(EOMONTH(R169,-1)+1)+1</f>
        <v>4</v>
      </c>
      <c r="AQ169" s="44">
        <f>IF(AU169="S",IF(Q169="1. Aceitou o programa",R169-B169,0),0)</f>
        <v>16</v>
      </c>
      <c r="AR169" s="44">
        <f>IF(AU169="S",IF(AND(S169&lt;&gt;"",R169&lt;&gt;""),S169-R169,0),0)</f>
        <v>0</v>
      </c>
      <c r="AS169" s="44">
        <f>IF(AU169="S",IF(Q169="1. Aceitou o programa",IF(OR(X169="Não se Aplica",X169=""),IF(OR(W169="Não se Aplica",W169=""),0,W169-V169),AVERAGE(X169-W169,W169-V169)),0),0)</f>
        <v>3.5</v>
      </c>
      <c r="AT169" s="44">
        <f>IF(AU169="S",IF(AND(Q169="1. Aceitou o programa",AB169="Realizada"),IFERROR(IF(AA169="",0,AA169-R169),0),0),0)</f>
        <v>8.625</v>
      </c>
      <c r="AU169" s="44" t="str">
        <f>_xlfn.XLOOKUP(U169,'Lista Suspensa'!$AA$20:$AA$23,'Lista Suspensa'!$AB$20:$AB$23,"N/A")</f>
        <v>S</v>
      </c>
    </row>
    <row r="170" spans="1:47" ht="12" hidden="1" customHeight="1">
      <c r="A170" s="86" t="s">
        <v>47</v>
      </c>
      <c r="B170" s="87">
        <v>46147</v>
      </c>
      <c r="C170" s="88" t="s">
        <v>48</v>
      </c>
      <c r="D170" s="88" t="s">
        <v>49</v>
      </c>
      <c r="E170" s="89">
        <v>745092276</v>
      </c>
      <c r="F170" s="218" t="s">
        <v>537</v>
      </c>
      <c r="G170" s="91">
        <v>67266886791</v>
      </c>
      <c r="H170" s="92">
        <v>13435</v>
      </c>
      <c r="I170" s="88">
        <v>89</v>
      </c>
      <c r="J170" s="88" t="s">
        <v>64</v>
      </c>
      <c r="K170" s="88" t="s">
        <v>80</v>
      </c>
      <c r="L170" s="88" t="s">
        <v>87</v>
      </c>
      <c r="M170" s="88"/>
      <c r="N170" s="88" t="s">
        <v>54</v>
      </c>
      <c r="O170" s="93" t="s">
        <v>538</v>
      </c>
      <c r="P170" s="94" t="s">
        <v>56</v>
      </c>
      <c r="Q170" s="142" t="s">
        <v>57</v>
      </c>
      <c r="R170" s="95"/>
      <c r="S170" s="96">
        <v>46170</v>
      </c>
      <c r="T170" s="96" t="s">
        <v>58</v>
      </c>
      <c r="U170" s="96" t="s">
        <v>59</v>
      </c>
      <c r="V170" s="92">
        <v>46153</v>
      </c>
      <c r="W170" s="92">
        <v>46154</v>
      </c>
      <c r="X170" s="92">
        <v>46164</v>
      </c>
      <c r="Y170" s="97"/>
      <c r="Z170" s="88"/>
      <c r="AA170" s="96"/>
      <c r="AB170" s="88"/>
      <c r="AC170" s="119"/>
      <c r="AD170" s="88"/>
      <c r="AE170" s="88"/>
      <c r="AF170" s="98"/>
      <c r="AG170" s="98"/>
      <c r="AH170" s="98"/>
      <c r="AI170" s="99"/>
      <c r="AJ170" s="99"/>
      <c r="AK170" s="99"/>
      <c r="AL170" s="44" t="s">
        <v>62</v>
      </c>
      <c r="AM170" s="196" t="str">
        <f>MONTH(B170)&amp;"/"&amp;YEAR(B170)</f>
        <v>5/2026</v>
      </c>
      <c r="AN170" s="44">
        <f>WEEKNUM(B170)-WEEKNUM(EOMONTH(B170,-1)+1)+1</f>
        <v>2</v>
      </c>
      <c r="AO170" s="44" t="str">
        <f>MONTH(R170)&amp;"/"&amp;YEAR(R170)</f>
        <v>1/1900</v>
      </c>
      <c r="AP170" s="44" t="e">
        <f>WEEKNUM(R170)-WEEKNUM(EOMONTH(R170,-1)+1)+1</f>
        <v>#NUM!</v>
      </c>
      <c r="AQ170" s="44">
        <f>IF(AU170="S",IF(Q170="1. Aceitou o programa",R170-B170,0),0)</f>
        <v>0</v>
      </c>
      <c r="AR170" s="44">
        <f>IF(AU170="S",IF(AND(S170&lt;&gt;"",R170&lt;&gt;""),S170-R170,0),0)</f>
        <v>0</v>
      </c>
      <c r="AS170" s="44">
        <f>IF(AU170="S",IF(Q170="1. Aceitou o programa",IF(OR(X170="Não se Aplica",X170=""),IF(OR(W170="Não se Aplica",W170=""),0,W170-V170),AVERAGE(X170-W170,W170-V170)),0),0)</f>
        <v>0</v>
      </c>
      <c r="AT170" s="44">
        <f>IF(AU170="S",IF(AND(Q170="1. Aceitou o programa",AB170="Realizada"),IFERROR(IF(AA170="",0,AA170-R170),0),0),0)</f>
        <v>0</v>
      </c>
      <c r="AU170" s="44" t="str">
        <f>_xlfn.XLOOKUP(U170,'Lista Suspensa'!$AA$20:$AA$23,'Lista Suspensa'!$AB$20:$AB$23,"N/A")</f>
        <v>S</v>
      </c>
    </row>
    <row r="171" spans="1:47" ht="12" hidden="1" customHeight="1">
      <c r="A171" s="86" t="s">
        <v>47</v>
      </c>
      <c r="B171" s="87">
        <v>46147</v>
      </c>
      <c r="C171" s="88" t="s">
        <v>48</v>
      </c>
      <c r="D171" s="88" t="s">
        <v>49</v>
      </c>
      <c r="E171" s="89">
        <v>76745069</v>
      </c>
      <c r="F171" s="218" t="s">
        <v>539</v>
      </c>
      <c r="G171" s="91">
        <v>19906366672</v>
      </c>
      <c r="H171" s="92">
        <v>20156</v>
      </c>
      <c r="I171" s="88">
        <v>71</v>
      </c>
      <c r="J171" s="88" t="s">
        <v>64</v>
      </c>
      <c r="K171" s="88" t="s">
        <v>80</v>
      </c>
      <c r="L171" s="88" t="s">
        <v>87</v>
      </c>
      <c r="M171" s="88"/>
      <c r="N171" s="88" t="s">
        <v>110</v>
      </c>
      <c r="O171" s="93" t="s">
        <v>540</v>
      </c>
      <c r="P171" s="94" t="s">
        <v>56</v>
      </c>
      <c r="Q171" s="142" t="s">
        <v>57</v>
      </c>
      <c r="R171" s="95"/>
      <c r="S171" s="96">
        <v>46170</v>
      </c>
      <c r="T171" s="96" t="s">
        <v>58</v>
      </c>
      <c r="U171" s="96" t="s">
        <v>59</v>
      </c>
      <c r="V171" s="92">
        <v>46153</v>
      </c>
      <c r="W171" s="92">
        <v>46154</v>
      </c>
      <c r="X171" s="92">
        <v>46164</v>
      </c>
      <c r="Y171" s="97"/>
      <c r="Z171" s="88"/>
      <c r="AA171" s="96"/>
      <c r="AB171" s="88"/>
      <c r="AC171" s="119"/>
      <c r="AD171" s="88"/>
      <c r="AE171" s="88"/>
      <c r="AF171" s="98"/>
      <c r="AG171" s="98"/>
      <c r="AH171" s="98"/>
      <c r="AI171" s="99"/>
      <c r="AJ171" s="99"/>
      <c r="AK171" s="99"/>
      <c r="AL171" s="44" t="s">
        <v>62</v>
      </c>
      <c r="AM171" s="196" t="str">
        <f>MONTH(B171)&amp;"/"&amp;YEAR(B171)</f>
        <v>5/2026</v>
      </c>
      <c r="AN171" s="44">
        <f>WEEKNUM(B171)-WEEKNUM(EOMONTH(B171,-1)+1)+1</f>
        <v>2</v>
      </c>
      <c r="AO171" s="44" t="str">
        <f>MONTH(R171)&amp;"/"&amp;YEAR(R171)</f>
        <v>1/1900</v>
      </c>
      <c r="AP171" s="44" t="e">
        <f>WEEKNUM(R171)-WEEKNUM(EOMONTH(R171,-1)+1)+1</f>
        <v>#NUM!</v>
      </c>
      <c r="AQ171" s="44">
        <f>IF(AU171="S",IF(Q171="1. Aceitou o programa",R171-B171,0),0)</f>
        <v>0</v>
      </c>
      <c r="AR171" s="44">
        <f>IF(AU171="S",IF(AND(S171&lt;&gt;"",R171&lt;&gt;""),S171-R171,0),0)</f>
        <v>0</v>
      </c>
      <c r="AS171" s="44">
        <f>IF(AU171="S",IF(Q171="1. Aceitou o programa",IF(OR(X171="Não se Aplica",X171=""),IF(OR(W171="Não se Aplica",W171=""),0,W171-V171),AVERAGE(X171-W171,W171-V171)),0),0)</f>
        <v>0</v>
      </c>
      <c r="AT171" s="44">
        <f>IF(AU171="S",IF(AND(Q171="1. Aceitou o programa",AB171="Realizada"),IFERROR(IF(AA171="",0,AA171-R171),0),0),0)</f>
        <v>0</v>
      </c>
      <c r="AU171" s="44" t="str">
        <f>_xlfn.XLOOKUP(U171,'Lista Suspensa'!$AA$20:$AA$23,'Lista Suspensa'!$AB$20:$AB$23,"N/A")</f>
        <v>S</v>
      </c>
    </row>
    <row r="172" spans="1:47" ht="12" hidden="1" customHeight="1">
      <c r="A172" s="86" t="s">
        <v>47</v>
      </c>
      <c r="B172" s="87">
        <v>46147</v>
      </c>
      <c r="C172" s="88" t="s">
        <v>48</v>
      </c>
      <c r="D172" s="88" t="s">
        <v>49</v>
      </c>
      <c r="E172" s="111">
        <v>79393505</v>
      </c>
      <c r="F172" s="218" t="s">
        <v>541</v>
      </c>
      <c r="G172" s="91">
        <v>6305611840</v>
      </c>
      <c r="H172" s="92">
        <v>23065</v>
      </c>
      <c r="I172" s="88">
        <v>63</v>
      </c>
      <c r="J172" s="88" t="s">
        <v>64</v>
      </c>
      <c r="K172" s="88" t="s">
        <v>52</v>
      </c>
      <c r="L172" s="88" t="s">
        <v>53</v>
      </c>
      <c r="M172" s="88"/>
      <c r="N172" s="88" t="s">
        <v>118</v>
      </c>
      <c r="O172" s="93" t="s">
        <v>542</v>
      </c>
      <c r="P172" s="94" t="s">
        <v>56</v>
      </c>
      <c r="Q172" s="142" t="s">
        <v>68</v>
      </c>
      <c r="R172" s="95">
        <v>46163</v>
      </c>
      <c r="S172" s="96"/>
      <c r="T172" s="96" t="s">
        <v>69</v>
      </c>
      <c r="U172" s="96" t="s">
        <v>70</v>
      </c>
      <c r="V172" s="92">
        <v>46153</v>
      </c>
      <c r="W172" s="92">
        <v>46154</v>
      </c>
      <c r="X172" s="92">
        <v>46160</v>
      </c>
      <c r="Y172" s="97"/>
      <c r="Z172" s="88" t="s">
        <v>72</v>
      </c>
      <c r="AA172" s="96">
        <v>46171.472222222219</v>
      </c>
      <c r="AB172" s="88" t="s">
        <v>105</v>
      </c>
      <c r="AC172" s="119"/>
      <c r="AD172" s="88"/>
      <c r="AE172" s="88"/>
      <c r="AF172" s="98"/>
      <c r="AG172" s="98"/>
      <c r="AH172" s="98"/>
      <c r="AI172" s="99"/>
      <c r="AJ172" s="99" t="s">
        <v>61</v>
      </c>
      <c r="AK172" s="99" t="s">
        <v>61</v>
      </c>
      <c r="AL172" s="44" t="s">
        <v>62</v>
      </c>
      <c r="AM172" s="196" t="str">
        <f>MONTH(B172)&amp;"/"&amp;YEAR(B172)</f>
        <v>5/2026</v>
      </c>
      <c r="AN172" s="44">
        <f>WEEKNUM(B172)-WEEKNUM(EOMONTH(B172,-1)+1)+1</f>
        <v>2</v>
      </c>
      <c r="AO172" s="44" t="str">
        <f>MONTH(R172)&amp;"/"&amp;YEAR(R172)</f>
        <v>5/2026</v>
      </c>
      <c r="AP172" s="44">
        <f>WEEKNUM(R172)-WEEKNUM(EOMONTH(R172,-1)+1)+1</f>
        <v>4</v>
      </c>
      <c r="AQ172" s="44">
        <f>IF(AU172="S",IF(Q172="1. Aceitou o programa",R172-B172,0),0)</f>
        <v>16</v>
      </c>
      <c r="AR172" s="44">
        <f>IF(AU172="S",IF(AND(S172&lt;&gt;"",R172&lt;&gt;""),S172-R172,0),0)</f>
        <v>0</v>
      </c>
      <c r="AS172" s="44">
        <f>IF(AU172="S",IF(Q172="1. Aceitou o programa",IF(OR(X172="Não se Aplica",X172=""),IF(OR(W172="Não se Aplica",W172=""),0,W172-V172),AVERAGE(X172-W172,W172-V172)),0),0)</f>
        <v>3.5</v>
      </c>
      <c r="AT172" s="44">
        <f>IF(AU172="S",IF(AND(Q172="1. Aceitou o programa",AB172="Realizada"),IFERROR(IF(AA172="",0,AA172-R172),0),0),0)</f>
        <v>0</v>
      </c>
      <c r="AU172" s="44" t="str">
        <f>_xlfn.XLOOKUP(U172,'Lista Suspensa'!$AA$20:$AA$23,'Lista Suspensa'!$AB$20:$AB$23,"N/A")</f>
        <v>S</v>
      </c>
    </row>
    <row r="173" spans="1:47" ht="12" hidden="1" customHeight="1">
      <c r="A173" s="86" t="s">
        <v>47</v>
      </c>
      <c r="B173" s="87">
        <v>46147</v>
      </c>
      <c r="C173" s="88" t="s">
        <v>48</v>
      </c>
      <c r="D173" s="88" t="s">
        <v>49</v>
      </c>
      <c r="E173" s="89">
        <v>758610424</v>
      </c>
      <c r="F173" s="218" t="s">
        <v>543</v>
      </c>
      <c r="G173" s="91">
        <v>42728665753</v>
      </c>
      <c r="H173" s="92">
        <v>15599</v>
      </c>
      <c r="I173" s="88">
        <v>83</v>
      </c>
      <c r="J173" s="88" t="s">
        <v>64</v>
      </c>
      <c r="K173" s="88" t="s">
        <v>80</v>
      </c>
      <c r="L173" s="88" t="s">
        <v>87</v>
      </c>
      <c r="M173" s="88"/>
      <c r="N173" s="88" t="s">
        <v>54</v>
      </c>
      <c r="O173" s="93" t="s">
        <v>544</v>
      </c>
      <c r="P173" s="94" t="s">
        <v>56</v>
      </c>
      <c r="Q173" s="142" t="s">
        <v>57</v>
      </c>
      <c r="R173" s="95"/>
      <c r="S173" s="96">
        <v>46170</v>
      </c>
      <c r="T173" s="96" t="s">
        <v>58</v>
      </c>
      <c r="U173" s="96" t="s">
        <v>59</v>
      </c>
      <c r="V173" s="92">
        <v>46153</v>
      </c>
      <c r="W173" s="92">
        <v>46154</v>
      </c>
      <c r="X173" s="92">
        <v>46164</v>
      </c>
      <c r="Y173" s="97"/>
      <c r="Z173" s="88"/>
      <c r="AA173" s="96"/>
      <c r="AB173" s="88"/>
      <c r="AC173" s="119"/>
      <c r="AD173" s="88"/>
      <c r="AE173" s="88"/>
      <c r="AF173" s="98"/>
      <c r="AG173" s="98"/>
      <c r="AH173" s="98"/>
      <c r="AI173" s="99"/>
      <c r="AJ173" s="99"/>
      <c r="AK173" s="99"/>
      <c r="AL173" s="44" t="s">
        <v>62</v>
      </c>
      <c r="AM173" s="196" t="str">
        <f>MONTH(B173)&amp;"/"&amp;YEAR(B173)</f>
        <v>5/2026</v>
      </c>
      <c r="AN173" s="44">
        <f>WEEKNUM(B173)-WEEKNUM(EOMONTH(B173,-1)+1)+1</f>
        <v>2</v>
      </c>
      <c r="AO173" s="44" t="str">
        <f>MONTH(R173)&amp;"/"&amp;YEAR(R173)</f>
        <v>1/1900</v>
      </c>
      <c r="AP173" s="44" t="e">
        <f>WEEKNUM(R173)-WEEKNUM(EOMONTH(R173,-1)+1)+1</f>
        <v>#NUM!</v>
      </c>
      <c r="AQ173" s="44">
        <f>IF(AU173="S",IF(Q173="1. Aceitou o programa",R173-B173,0),0)</f>
        <v>0</v>
      </c>
      <c r="AR173" s="44">
        <f>IF(AU173="S",IF(AND(S173&lt;&gt;"",R173&lt;&gt;""),S173-R173,0),0)</f>
        <v>0</v>
      </c>
      <c r="AS173" s="44">
        <f>IF(AU173="S",IF(Q173="1. Aceitou o programa",IF(OR(X173="Não se Aplica",X173=""),IF(OR(W173="Não se Aplica",W173=""),0,W173-V173),AVERAGE(X173-W173,W173-V173)),0),0)</f>
        <v>0</v>
      </c>
      <c r="AT173" s="44">
        <f>IF(AU173="S",IF(AND(Q173="1. Aceitou o programa",AB173="Realizada"),IFERROR(IF(AA173="",0,AA173-R173),0),0),0)</f>
        <v>0</v>
      </c>
      <c r="AU173" s="44" t="str">
        <f>_xlfn.XLOOKUP(U173,'Lista Suspensa'!$AA$20:$AA$23,'Lista Suspensa'!$AB$20:$AB$23,"N/A")</f>
        <v>S</v>
      </c>
    </row>
    <row r="174" spans="1:47" ht="12" hidden="1" customHeight="1">
      <c r="A174" s="86" t="s">
        <v>47</v>
      </c>
      <c r="B174" s="87">
        <v>46147</v>
      </c>
      <c r="C174" s="88" t="s">
        <v>48</v>
      </c>
      <c r="D174" s="88" t="s">
        <v>49</v>
      </c>
      <c r="E174" s="89">
        <v>312987013</v>
      </c>
      <c r="F174" s="218" t="s">
        <v>545</v>
      </c>
      <c r="G174" s="91">
        <v>21847940749</v>
      </c>
      <c r="H174" s="92">
        <v>16844</v>
      </c>
      <c r="I174" s="88">
        <v>80</v>
      </c>
      <c r="J174" s="88" t="s">
        <v>64</v>
      </c>
      <c r="K174" s="88" t="s">
        <v>80</v>
      </c>
      <c r="L174" s="88" t="s">
        <v>87</v>
      </c>
      <c r="M174" s="88"/>
      <c r="N174" s="88" t="s">
        <v>210</v>
      </c>
      <c r="O174" s="93" t="s">
        <v>546</v>
      </c>
      <c r="P174" s="94" t="s">
        <v>56</v>
      </c>
      <c r="Q174" s="142" t="s">
        <v>57</v>
      </c>
      <c r="R174" s="95"/>
      <c r="S174" s="96">
        <v>46170</v>
      </c>
      <c r="T174" s="96" t="s">
        <v>58</v>
      </c>
      <c r="U174" s="96" t="s">
        <v>59</v>
      </c>
      <c r="V174" s="92">
        <v>46153</v>
      </c>
      <c r="W174" s="92">
        <v>46154</v>
      </c>
      <c r="X174" s="92">
        <v>46164</v>
      </c>
      <c r="Y174" s="97"/>
      <c r="Z174" s="88"/>
      <c r="AA174" s="96"/>
      <c r="AB174" s="88"/>
      <c r="AC174" s="119"/>
      <c r="AD174" s="88"/>
      <c r="AE174" s="88"/>
      <c r="AF174" s="98"/>
      <c r="AG174" s="98"/>
      <c r="AH174" s="98"/>
      <c r="AI174" s="99"/>
      <c r="AJ174" s="99"/>
      <c r="AK174" s="99"/>
      <c r="AL174" s="44" t="s">
        <v>62</v>
      </c>
      <c r="AM174" s="196" t="str">
        <f>MONTH(B174)&amp;"/"&amp;YEAR(B174)</f>
        <v>5/2026</v>
      </c>
      <c r="AN174" s="44">
        <f>WEEKNUM(B174)-WEEKNUM(EOMONTH(B174,-1)+1)+1</f>
        <v>2</v>
      </c>
      <c r="AO174" s="44" t="str">
        <f>MONTH(R174)&amp;"/"&amp;YEAR(R174)</f>
        <v>1/1900</v>
      </c>
      <c r="AP174" s="44" t="e">
        <f>WEEKNUM(R174)-WEEKNUM(EOMONTH(R174,-1)+1)+1</f>
        <v>#NUM!</v>
      </c>
      <c r="AQ174" s="44">
        <f>IF(AU174="S",IF(Q174="1. Aceitou o programa",R174-B174,0),0)</f>
        <v>0</v>
      </c>
      <c r="AR174" s="44">
        <f>IF(AU174="S",IF(AND(S174&lt;&gt;"",R174&lt;&gt;""),S174-R174,0),0)</f>
        <v>0</v>
      </c>
      <c r="AS174" s="44">
        <f>IF(AU174="S",IF(Q174="1. Aceitou o programa",IF(OR(X174="Não se Aplica",X174=""),IF(OR(W174="Não se Aplica",W174=""),0,W174-V174),AVERAGE(X174-W174,W174-V174)),0),0)</f>
        <v>0</v>
      </c>
      <c r="AT174" s="44">
        <f>IF(AU174="S",IF(AND(Q174="1. Aceitou o programa",AB174="Realizada"),IFERROR(IF(AA174="",0,AA174-R174),0),0),0)</f>
        <v>0</v>
      </c>
      <c r="AU174" s="44" t="str">
        <f>_xlfn.XLOOKUP(U174,'Lista Suspensa'!$AA$20:$AA$23,'Lista Suspensa'!$AB$20:$AB$23,"N/A")</f>
        <v>S</v>
      </c>
    </row>
    <row r="175" spans="1:47" ht="12" hidden="1" customHeight="1">
      <c r="A175" s="86" t="s">
        <v>47</v>
      </c>
      <c r="B175" s="87">
        <v>46147</v>
      </c>
      <c r="C175" s="88" t="s">
        <v>48</v>
      </c>
      <c r="D175" s="88" t="s">
        <v>49</v>
      </c>
      <c r="E175" s="89">
        <v>489894330</v>
      </c>
      <c r="F175" s="218" t="s">
        <v>547</v>
      </c>
      <c r="G175" s="91">
        <v>1222398737</v>
      </c>
      <c r="H175" s="92">
        <v>13645</v>
      </c>
      <c r="I175" s="88">
        <v>89</v>
      </c>
      <c r="J175" s="88" t="s">
        <v>64</v>
      </c>
      <c r="K175" s="88" t="s">
        <v>80</v>
      </c>
      <c r="L175" s="88" t="s">
        <v>87</v>
      </c>
      <c r="M175" s="88"/>
      <c r="N175" s="88" t="s">
        <v>138</v>
      </c>
      <c r="O175" s="93" t="s">
        <v>548</v>
      </c>
      <c r="P175" s="94" t="s">
        <v>56</v>
      </c>
      <c r="Q175" s="142" t="s">
        <v>57</v>
      </c>
      <c r="R175" s="95"/>
      <c r="S175" s="96">
        <v>46170</v>
      </c>
      <c r="T175" s="96" t="s">
        <v>58</v>
      </c>
      <c r="U175" s="96" t="s">
        <v>59</v>
      </c>
      <c r="V175" s="92">
        <v>46153</v>
      </c>
      <c r="W175" s="92">
        <v>46154</v>
      </c>
      <c r="X175" s="92">
        <v>46164</v>
      </c>
      <c r="Y175" s="97"/>
      <c r="Z175" s="88"/>
      <c r="AA175" s="96"/>
      <c r="AB175" s="88"/>
      <c r="AC175" s="119"/>
      <c r="AD175" s="88"/>
      <c r="AE175" s="88"/>
      <c r="AF175" s="98"/>
      <c r="AG175" s="98"/>
      <c r="AH175" s="98"/>
      <c r="AI175" s="99"/>
      <c r="AJ175" s="99"/>
      <c r="AK175" s="99"/>
      <c r="AL175" s="44" t="s">
        <v>62</v>
      </c>
      <c r="AM175" s="196" t="str">
        <f>MONTH(B175)&amp;"/"&amp;YEAR(B175)</f>
        <v>5/2026</v>
      </c>
      <c r="AN175" s="44">
        <f>WEEKNUM(B175)-WEEKNUM(EOMONTH(B175,-1)+1)+1</f>
        <v>2</v>
      </c>
      <c r="AO175" s="44" t="str">
        <f>MONTH(R175)&amp;"/"&amp;YEAR(R175)</f>
        <v>1/1900</v>
      </c>
      <c r="AP175" s="44" t="e">
        <f>WEEKNUM(R175)-WEEKNUM(EOMONTH(R175,-1)+1)+1</f>
        <v>#NUM!</v>
      </c>
      <c r="AQ175" s="44">
        <f>IF(AU175="S",IF(Q175="1. Aceitou o programa",R175-B175,0),0)</f>
        <v>0</v>
      </c>
      <c r="AR175" s="44">
        <f>IF(AU175="S",IF(AND(S175&lt;&gt;"",R175&lt;&gt;""),S175-R175,0),0)</f>
        <v>0</v>
      </c>
      <c r="AS175" s="44">
        <f>IF(AU175="S",IF(Q175="1. Aceitou o programa",IF(OR(X175="Não se Aplica",X175=""),IF(OR(W175="Não se Aplica",W175=""),0,W175-V175),AVERAGE(X175-W175,W175-V175)),0),0)</f>
        <v>0</v>
      </c>
      <c r="AT175" s="44">
        <f>IF(AU175="S",IF(AND(Q175="1. Aceitou o programa",AB175="Realizada"),IFERROR(IF(AA175="",0,AA175-R175),0),0),0)</f>
        <v>0</v>
      </c>
      <c r="AU175" s="44" t="str">
        <f>_xlfn.XLOOKUP(U175,'Lista Suspensa'!$AA$20:$AA$23,'Lista Suspensa'!$AB$20:$AB$23,"N/A")</f>
        <v>S</v>
      </c>
    </row>
    <row r="176" spans="1:47" ht="12" hidden="1" customHeight="1">
      <c r="A176" s="86" t="s">
        <v>47</v>
      </c>
      <c r="B176" s="87">
        <v>46147</v>
      </c>
      <c r="C176" s="88" t="s">
        <v>48</v>
      </c>
      <c r="D176" s="88" t="s">
        <v>49</v>
      </c>
      <c r="E176" s="89">
        <v>776141538</v>
      </c>
      <c r="F176" s="218" t="s">
        <v>549</v>
      </c>
      <c r="G176" s="91">
        <v>57763143800</v>
      </c>
      <c r="H176" s="92">
        <v>19162</v>
      </c>
      <c r="I176" s="88">
        <v>73</v>
      </c>
      <c r="J176" s="88" t="s">
        <v>64</v>
      </c>
      <c r="K176" s="88" t="s">
        <v>52</v>
      </c>
      <c r="L176" s="88" t="s">
        <v>414</v>
      </c>
      <c r="M176" s="88"/>
      <c r="N176" s="88" t="s">
        <v>210</v>
      </c>
      <c r="O176" s="93" t="s">
        <v>550</v>
      </c>
      <c r="P176" s="94" t="s">
        <v>56</v>
      </c>
      <c r="Q176" s="142" t="s">
        <v>57</v>
      </c>
      <c r="R176" s="95"/>
      <c r="S176" s="96">
        <v>46170</v>
      </c>
      <c r="T176" s="96" t="s">
        <v>58</v>
      </c>
      <c r="U176" s="96" t="s">
        <v>59</v>
      </c>
      <c r="V176" s="92">
        <v>46153</v>
      </c>
      <c r="W176" s="92">
        <v>46154</v>
      </c>
      <c r="X176" s="92">
        <v>46164</v>
      </c>
      <c r="Y176" s="97"/>
      <c r="Z176" s="88"/>
      <c r="AA176" s="96"/>
      <c r="AB176" s="88"/>
      <c r="AC176" s="119"/>
      <c r="AD176" s="88"/>
      <c r="AE176" s="88"/>
      <c r="AF176" s="98"/>
      <c r="AG176" s="98"/>
      <c r="AH176" s="98"/>
      <c r="AI176" s="99"/>
      <c r="AJ176" s="99"/>
      <c r="AK176" s="99"/>
      <c r="AL176" s="44" t="s">
        <v>62</v>
      </c>
      <c r="AM176" s="196" t="str">
        <f>MONTH(B176)&amp;"/"&amp;YEAR(B176)</f>
        <v>5/2026</v>
      </c>
      <c r="AN176" s="44">
        <f>WEEKNUM(B176)-WEEKNUM(EOMONTH(B176,-1)+1)+1</f>
        <v>2</v>
      </c>
      <c r="AO176" s="44" t="str">
        <f>MONTH(R176)&amp;"/"&amp;YEAR(R176)</f>
        <v>1/1900</v>
      </c>
      <c r="AP176" s="44" t="e">
        <f>WEEKNUM(R176)-WEEKNUM(EOMONTH(R176,-1)+1)+1</f>
        <v>#NUM!</v>
      </c>
      <c r="AQ176" s="44">
        <f>IF(AU176="S",IF(Q176="1. Aceitou o programa",R176-B176,0),0)</f>
        <v>0</v>
      </c>
      <c r="AR176" s="44">
        <f>IF(AU176="S",IF(AND(S176&lt;&gt;"",R176&lt;&gt;""),S176-R176,0),0)</f>
        <v>0</v>
      </c>
      <c r="AS176" s="44">
        <f>IF(AU176="S",IF(Q176="1. Aceitou o programa",IF(OR(X176="Não se Aplica",X176=""),IF(OR(W176="Não se Aplica",W176=""),0,W176-V176),AVERAGE(X176-W176,W176-V176)),0),0)</f>
        <v>0</v>
      </c>
      <c r="AT176" s="44">
        <f>IF(AU176="S",IF(AND(Q176="1. Aceitou o programa",AB176="Realizada"),IFERROR(IF(AA176="",0,AA176-R176),0),0),0)</f>
        <v>0</v>
      </c>
      <c r="AU176" s="44" t="str">
        <f>_xlfn.XLOOKUP(U176,'Lista Suspensa'!$AA$20:$AA$23,'Lista Suspensa'!$AB$20:$AB$23,"N/A")</f>
        <v>S</v>
      </c>
    </row>
    <row r="177" spans="1:47" ht="12" hidden="1" customHeight="1">
      <c r="A177" s="86" t="s">
        <v>47</v>
      </c>
      <c r="B177" s="87">
        <v>46147</v>
      </c>
      <c r="C177" s="88" t="s">
        <v>48</v>
      </c>
      <c r="D177" s="88" t="s">
        <v>49</v>
      </c>
      <c r="E177" s="89">
        <v>76682445</v>
      </c>
      <c r="F177" s="218" t="s">
        <v>551</v>
      </c>
      <c r="G177" s="91">
        <v>29239132805</v>
      </c>
      <c r="H177" s="92">
        <v>28242</v>
      </c>
      <c r="I177" s="88">
        <v>49</v>
      </c>
      <c r="J177" s="88" t="s">
        <v>64</v>
      </c>
      <c r="K177" s="88" t="s">
        <v>52</v>
      </c>
      <c r="L177" s="88" t="s">
        <v>53</v>
      </c>
      <c r="M177" s="88"/>
      <c r="N177" s="88" t="s">
        <v>110</v>
      </c>
      <c r="O177" s="93" t="s">
        <v>552</v>
      </c>
      <c r="P177" s="94" t="s">
        <v>56</v>
      </c>
      <c r="Q177" s="142" t="s">
        <v>57</v>
      </c>
      <c r="R177" s="95"/>
      <c r="S177" s="96">
        <v>46170</v>
      </c>
      <c r="T177" s="96" t="s">
        <v>58</v>
      </c>
      <c r="U177" s="96" t="s">
        <v>59</v>
      </c>
      <c r="V177" s="92">
        <v>46153</v>
      </c>
      <c r="W177" s="92">
        <v>46154</v>
      </c>
      <c r="X177" s="92">
        <v>46164</v>
      </c>
      <c r="Y177" s="97"/>
      <c r="Z177" s="88"/>
      <c r="AA177" s="96"/>
      <c r="AB177" s="88"/>
      <c r="AC177" s="119"/>
      <c r="AD177" s="88"/>
      <c r="AE177" s="88"/>
      <c r="AF177" s="98"/>
      <c r="AG177" s="98"/>
      <c r="AH177" s="98"/>
      <c r="AI177" s="99"/>
      <c r="AJ177" s="99"/>
      <c r="AK177" s="99"/>
      <c r="AL177" s="44" t="s">
        <v>62</v>
      </c>
      <c r="AM177" s="196" t="str">
        <f>MONTH(B177)&amp;"/"&amp;YEAR(B177)</f>
        <v>5/2026</v>
      </c>
      <c r="AN177" s="44">
        <f>WEEKNUM(B177)-WEEKNUM(EOMONTH(B177,-1)+1)+1</f>
        <v>2</v>
      </c>
      <c r="AO177" s="44" t="str">
        <f>MONTH(R177)&amp;"/"&amp;YEAR(R177)</f>
        <v>1/1900</v>
      </c>
      <c r="AP177" s="44" t="e">
        <f>WEEKNUM(R177)-WEEKNUM(EOMONTH(R177,-1)+1)+1</f>
        <v>#NUM!</v>
      </c>
      <c r="AQ177" s="44">
        <f>IF(AU177="S",IF(Q177="1. Aceitou o programa",R177-B177,0),0)</f>
        <v>0</v>
      </c>
      <c r="AR177" s="44">
        <f>IF(AU177="S",IF(AND(S177&lt;&gt;"",R177&lt;&gt;""),S177-R177,0),0)</f>
        <v>0</v>
      </c>
      <c r="AS177" s="44">
        <f>IF(AU177="S",IF(Q177="1. Aceitou o programa",IF(OR(X177="Não se Aplica",X177=""),IF(OR(W177="Não se Aplica",W177=""),0,W177-V177),AVERAGE(X177-W177,W177-V177)),0),0)</f>
        <v>0</v>
      </c>
      <c r="AT177" s="44">
        <f>IF(AU177="S",IF(AND(Q177="1. Aceitou o programa",AB177="Realizada"),IFERROR(IF(AA177="",0,AA177-R177),0),0),0)</f>
        <v>0</v>
      </c>
      <c r="AU177" s="44" t="str">
        <f>_xlfn.XLOOKUP(U177,'Lista Suspensa'!$AA$20:$AA$23,'Lista Suspensa'!$AB$20:$AB$23,"N/A")</f>
        <v>S</v>
      </c>
    </row>
    <row r="178" spans="1:47" ht="12" hidden="1" customHeight="1">
      <c r="A178" s="86" t="s">
        <v>47</v>
      </c>
      <c r="B178" s="87">
        <v>46147</v>
      </c>
      <c r="C178" s="88" t="s">
        <v>48</v>
      </c>
      <c r="D178" s="88" t="s">
        <v>49</v>
      </c>
      <c r="E178" s="89">
        <v>758503075</v>
      </c>
      <c r="F178" s="218" t="s">
        <v>553</v>
      </c>
      <c r="G178" s="91">
        <v>84637730791</v>
      </c>
      <c r="H178" s="92">
        <v>16249</v>
      </c>
      <c r="I178" s="88">
        <v>81</v>
      </c>
      <c r="J178" s="88" t="s">
        <v>64</v>
      </c>
      <c r="K178" s="88" t="s">
        <v>80</v>
      </c>
      <c r="L178" s="88" t="s">
        <v>87</v>
      </c>
      <c r="M178" s="88"/>
      <c r="N178" s="88" t="s">
        <v>54</v>
      </c>
      <c r="O178" s="93" t="s">
        <v>554</v>
      </c>
      <c r="P178" s="94" t="s">
        <v>56</v>
      </c>
      <c r="Q178" s="142" t="s">
        <v>68</v>
      </c>
      <c r="R178" s="95">
        <v>46153</v>
      </c>
      <c r="S178" s="96"/>
      <c r="T178" s="96" t="s">
        <v>69</v>
      </c>
      <c r="U178" s="96" t="s">
        <v>70</v>
      </c>
      <c r="V178" s="92">
        <v>46153</v>
      </c>
      <c r="W178" s="92" t="s">
        <v>71</v>
      </c>
      <c r="X178" s="92" t="s">
        <v>71</v>
      </c>
      <c r="Y178" s="97"/>
      <c r="Z178" s="88" t="s">
        <v>72</v>
      </c>
      <c r="AA178" s="96" t="s">
        <v>555</v>
      </c>
      <c r="AB178" s="88" t="s">
        <v>74</v>
      </c>
      <c r="AC178" s="119"/>
      <c r="AD178" s="88" t="s">
        <v>75</v>
      </c>
      <c r="AE178" s="88">
        <v>64</v>
      </c>
      <c r="AF178" s="98" t="s">
        <v>85</v>
      </c>
      <c r="AG178" s="98" t="s">
        <v>85</v>
      </c>
      <c r="AH178" s="98" t="s">
        <v>152</v>
      </c>
      <c r="AI178" s="99" t="s">
        <v>61</v>
      </c>
      <c r="AJ178" s="99" t="s">
        <v>61</v>
      </c>
      <c r="AK178" s="99" t="s">
        <v>61</v>
      </c>
      <c r="AL178" s="44" t="s">
        <v>62</v>
      </c>
      <c r="AM178" s="196" t="str">
        <f>MONTH(B178)&amp;"/"&amp;YEAR(B178)</f>
        <v>5/2026</v>
      </c>
      <c r="AN178" s="44">
        <f>WEEKNUM(B178)-WEEKNUM(EOMONTH(B178,-1)+1)+1</f>
        <v>2</v>
      </c>
      <c r="AO178" s="44" t="str">
        <f>MONTH(R178)&amp;"/"&amp;YEAR(R178)</f>
        <v>5/2026</v>
      </c>
      <c r="AP178" s="44">
        <f>WEEKNUM(R178)-WEEKNUM(EOMONTH(R178,-1)+1)+1</f>
        <v>3</v>
      </c>
      <c r="AQ178" s="44">
        <f>IF(AU178="S",IF(Q178="1. Aceitou o programa",R178-B178,0),0)</f>
        <v>6</v>
      </c>
      <c r="AR178" s="44">
        <f>IF(AU178="S",IF(AND(S178&lt;&gt;"",R178&lt;&gt;""),S178-R178,0),0)</f>
        <v>0</v>
      </c>
      <c r="AS178" s="44">
        <f>IF(AU178="S",IF(Q178="1. Aceitou o programa",IF(OR(X178="Não se Aplica",X178=""),IF(OR(W178="Não se Aplica",W178=""),0,W178-V178),AVERAGE(X178-W178,W178-V178)),0),0)</f>
        <v>0</v>
      </c>
      <c r="AT178" s="44">
        <f>IF(AU178="S",IF(AND(Q178="1. Aceitou o programa",AB178="Realizada"),IFERROR(IF(AA178="",0,AA178-R178),0),0),0)</f>
        <v>16.416666666664241</v>
      </c>
      <c r="AU178" s="44" t="str">
        <f>_xlfn.XLOOKUP(U178,'Lista Suspensa'!$AA$20:$AA$23,'Lista Suspensa'!$AB$20:$AB$23,"N/A")</f>
        <v>S</v>
      </c>
    </row>
    <row r="179" spans="1:47" ht="12" hidden="1" customHeight="1">
      <c r="A179" s="86" t="s">
        <v>47</v>
      </c>
      <c r="B179" s="87">
        <v>46147</v>
      </c>
      <c r="C179" s="88" t="s">
        <v>48</v>
      </c>
      <c r="D179" s="88" t="s">
        <v>49</v>
      </c>
      <c r="E179" s="111">
        <v>82076446</v>
      </c>
      <c r="F179" s="218" t="s">
        <v>556</v>
      </c>
      <c r="G179" s="91">
        <v>893348767</v>
      </c>
      <c r="H179" s="92">
        <v>12511</v>
      </c>
      <c r="I179" s="88">
        <v>92</v>
      </c>
      <c r="J179" s="88" t="s">
        <v>64</v>
      </c>
      <c r="K179" s="88" t="s">
        <v>80</v>
      </c>
      <c r="L179" s="88" t="s">
        <v>148</v>
      </c>
      <c r="M179" s="88"/>
      <c r="N179" s="88" t="s">
        <v>122</v>
      </c>
      <c r="O179" s="93" t="s">
        <v>557</v>
      </c>
      <c r="P179" s="94" t="s">
        <v>56</v>
      </c>
      <c r="Q179" s="142" t="s">
        <v>68</v>
      </c>
      <c r="R179" s="95">
        <v>46163</v>
      </c>
      <c r="S179" s="96"/>
      <c r="T179" s="96" t="s">
        <v>69</v>
      </c>
      <c r="U179" s="96" t="s">
        <v>70</v>
      </c>
      <c r="V179" s="92">
        <v>46153</v>
      </c>
      <c r="W179" s="92">
        <v>46154</v>
      </c>
      <c r="X179" s="92">
        <v>46160</v>
      </c>
      <c r="Y179" s="97"/>
      <c r="Z179" s="88" t="s">
        <v>72</v>
      </c>
      <c r="AA179" s="96">
        <v>46171.486111111109</v>
      </c>
      <c r="AB179" s="88" t="s">
        <v>105</v>
      </c>
      <c r="AC179" s="119"/>
      <c r="AD179" s="88"/>
      <c r="AE179" s="88"/>
      <c r="AF179" s="98"/>
      <c r="AG179" s="98"/>
      <c r="AH179" s="98"/>
      <c r="AI179" s="99"/>
      <c r="AJ179" s="99" t="s">
        <v>61</v>
      </c>
      <c r="AK179" s="99" t="s">
        <v>61</v>
      </c>
      <c r="AL179" s="44" t="s">
        <v>62</v>
      </c>
      <c r="AM179" s="196" t="str">
        <f>MONTH(B179)&amp;"/"&amp;YEAR(B179)</f>
        <v>5/2026</v>
      </c>
      <c r="AN179" s="44">
        <f>WEEKNUM(B179)-WEEKNUM(EOMONTH(B179,-1)+1)+1</f>
        <v>2</v>
      </c>
      <c r="AO179" s="44" t="str">
        <f>MONTH(R179)&amp;"/"&amp;YEAR(R179)</f>
        <v>5/2026</v>
      </c>
      <c r="AP179" s="44">
        <f>WEEKNUM(R179)-WEEKNUM(EOMONTH(R179,-1)+1)+1</f>
        <v>4</v>
      </c>
      <c r="AQ179" s="44">
        <f>IF(AU179="S",IF(Q179="1. Aceitou o programa",R179-B179,0),0)</f>
        <v>16</v>
      </c>
      <c r="AR179" s="44">
        <f>IF(AU179="S",IF(AND(S179&lt;&gt;"",R179&lt;&gt;""),S179-R179,0),0)</f>
        <v>0</v>
      </c>
      <c r="AS179" s="44">
        <f>IF(AU179="S",IF(Q179="1. Aceitou o programa",IF(OR(X179="Não se Aplica",X179=""),IF(OR(W179="Não se Aplica",W179=""),0,W179-V179),AVERAGE(X179-W179,W179-V179)),0),0)</f>
        <v>3.5</v>
      </c>
      <c r="AT179" s="44">
        <f>IF(AU179="S",IF(AND(Q179="1. Aceitou o programa",AB179="Realizada"),IFERROR(IF(AA179="",0,AA179-R179),0),0),0)</f>
        <v>0</v>
      </c>
      <c r="AU179" s="44" t="str">
        <f>_xlfn.XLOOKUP(U179,'Lista Suspensa'!$AA$20:$AA$23,'Lista Suspensa'!$AB$20:$AB$23,"N/A")</f>
        <v>S</v>
      </c>
    </row>
    <row r="180" spans="1:47" ht="12" hidden="1" customHeight="1">
      <c r="A180" s="86" t="s">
        <v>47</v>
      </c>
      <c r="B180" s="87">
        <v>46147</v>
      </c>
      <c r="C180" s="88" t="s">
        <v>48</v>
      </c>
      <c r="D180" s="88" t="s">
        <v>49</v>
      </c>
      <c r="E180" s="91">
        <v>916692574</v>
      </c>
      <c r="F180" s="218" t="s">
        <v>558</v>
      </c>
      <c r="G180" s="91">
        <v>48695807304</v>
      </c>
      <c r="H180" s="92">
        <v>25778</v>
      </c>
      <c r="I180" s="88">
        <v>55</v>
      </c>
      <c r="J180" s="88" t="s">
        <v>64</v>
      </c>
      <c r="K180" s="88" t="s">
        <v>80</v>
      </c>
      <c r="L180" s="88" t="s">
        <v>87</v>
      </c>
      <c r="M180" s="88"/>
      <c r="N180" s="88" t="s">
        <v>138</v>
      </c>
      <c r="O180" s="93" t="s">
        <v>559</v>
      </c>
      <c r="P180" s="94" t="s">
        <v>56</v>
      </c>
      <c r="Q180" s="142" t="s">
        <v>68</v>
      </c>
      <c r="R180" s="95">
        <v>46164</v>
      </c>
      <c r="S180" s="96"/>
      <c r="T180" s="96" t="s">
        <v>69</v>
      </c>
      <c r="U180" s="96" t="s">
        <v>70</v>
      </c>
      <c r="V180" s="92">
        <v>46153</v>
      </c>
      <c r="W180" s="92">
        <v>46154</v>
      </c>
      <c r="X180" s="92">
        <v>46164</v>
      </c>
      <c r="Y180" s="97"/>
      <c r="Z180" s="88" t="s">
        <v>72</v>
      </c>
      <c r="AA180" s="96">
        <v>46176</v>
      </c>
      <c r="AB180" s="88"/>
      <c r="AC180" s="119">
        <v>46176</v>
      </c>
      <c r="AD180" s="88"/>
      <c r="AE180" s="88"/>
      <c r="AF180" s="98"/>
      <c r="AG180" s="98"/>
      <c r="AH180" s="98"/>
      <c r="AI180" s="99"/>
      <c r="AJ180" s="99" t="s">
        <v>61</v>
      </c>
      <c r="AK180" s="99" t="s">
        <v>61</v>
      </c>
      <c r="AL180" s="44" t="s">
        <v>62</v>
      </c>
      <c r="AM180" s="196" t="str">
        <f>MONTH(B180)&amp;"/"&amp;YEAR(B180)</f>
        <v>5/2026</v>
      </c>
      <c r="AN180" s="44">
        <f>WEEKNUM(B180)-WEEKNUM(EOMONTH(B180,-1)+1)+1</f>
        <v>2</v>
      </c>
      <c r="AO180" s="44" t="str">
        <f>MONTH(R180)&amp;"/"&amp;YEAR(R180)</f>
        <v>5/2026</v>
      </c>
      <c r="AP180" s="44">
        <f>WEEKNUM(R180)-WEEKNUM(EOMONTH(R180,-1)+1)+1</f>
        <v>4</v>
      </c>
      <c r="AQ180" s="44">
        <f>IF(AU180="S",IF(Q180="1. Aceitou o programa",R180-B180,0),0)</f>
        <v>17</v>
      </c>
      <c r="AR180" s="44">
        <f>IF(AU180="S",IF(AND(S180&lt;&gt;"",R180&lt;&gt;""),S180-R180,0),0)</f>
        <v>0</v>
      </c>
      <c r="AS180" s="44">
        <f>IF(AU180="S",IF(Q180="1. Aceitou o programa",IF(OR(X180="Não se Aplica",X180=""),IF(OR(W180="Não se Aplica",W180=""),0,W180-V180),AVERAGE(X180-W180,W180-V180)),0),0)</f>
        <v>5.5</v>
      </c>
      <c r="AT180" s="44">
        <f>IF(AU180="S",IF(AND(Q180="1. Aceitou o programa",AB180="Realizada"),IFERROR(IF(AA180="",0,AA180-R180),0),0),0)</f>
        <v>0</v>
      </c>
      <c r="AU180" s="44" t="str">
        <f>_xlfn.XLOOKUP(U180,'Lista Suspensa'!$AA$20:$AA$23,'Lista Suspensa'!$AB$20:$AB$23,"N/A")</f>
        <v>S</v>
      </c>
    </row>
    <row r="181" spans="1:47" ht="12" hidden="1" customHeight="1">
      <c r="A181" s="86" t="s">
        <v>47</v>
      </c>
      <c r="B181" s="87">
        <v>46147</v>
      </c>
      <c r="C181" s="88" t="s">
        <v>48</v>
      </c>
      <c r="D181" s="88" t="s">
        <v>49</v>
      </c>
      <c r="E181" s="111">
        <v>85478373</v>
      </c>
      <c r="F181" s="218" t="s">
        <v>560</v>
      </c>
      <c r="G181" s="91">
        <v>13525567820</v>
      </c>
      <c r="H181" s="92">
        <v>23388</v>
      </c>
      <c r="I181" s="88">
        <v>62</v>
      </c>
      <c r="J181" s="88" t="s">
        <v>64</v>
      </c>
      <c r="K181" s="88" t="s">
        <v>52</v>
      </c>
      <c r="L181" s="88" t="s">
        <v>53</v>
      </c>
      <c r="M181" s="88"/>
      <c r="N181" s="88" t="s">
        <v>122</v>
      </c>
      <c r="O181" s="93" t="s">
        <v>561</v>
      </c>
      <c r="P181" s="94" t="s">
        <v>56</v>
      </c>
      <c r="Q181" s="142" t="s">
        <v>68</v>
      </c>
      <c r="R181" s="95">
        <v>46163</v>
      </c>
      <c r="S181" s="96"/>
      <c r="T181" s="96" t="s">
        <v>69</v>
      </c>
      <c r="U181" s="96" t="s">
        <v>70</v>
      </c>
      <c r="V181" s="92">
        <v>46153</v>
      </c>
      <c r="W181" s="92">
        <v>46154</v>
      </c>
      <c r="X181" s="92">
        <v>46160</v>
      </c>
      <c r="Y181" s="97"/>
      <c r="Z181" s="88" t="s">
        <v>72</v>
      </c>
      <c r="AA181" s="96">
        <v>46170.625</v>
      </c>
      <c r="AB181" s="88"/>
      <c r="AC181" s="119"/>
      <c r="AD181" s="88"/>
      <c r="AE181" s="88"/>
      <c r="AF181" s="98"/>
      <c r="AG181" s="98"/>
      <c r="AH181" s="98"/>
      <c r="AI181" s="99"/>
      <c r="AJ181" s="99" t="s">
        <v>61</v>
      </c>
      <c r="AK181" s="99" t="s">
        <v>61</v>
      </c>
      <c r="AL181" s="44" t="s">
        <v>62</v>
      </c>
      <c r="AM181" s="196" t="str">
        <f>MONTH(B181)&amp;"/"&amp;YEAR(B181)</f>
        <v>5/2026</v>
      </c>
      <c r="AN181" s="44">
        <f>WEEKNUM(B181)-WEEKNUM(EOMONTH(B181,-1)+1)+1</f>
        <v>2</v>
      </c>
      <c r="AO181" s="44" t="str">
        <f>MONTH(R181)&amp;"/"&amp;YEAR(R181)</f>
        <v>5/2026</v>
      </c>
      <c r="AP181" s="44">
        <f>WEEKNUM(R181)-WEEKNUM(EOMONTH(R181,-1)+1)+1</f>
        <v>4</v>
      </c>
      <c r="AQ181" s="44">
        <f>IF(AU181="S",IF(Q181="1. Aceitou o programa",R181-B181,0),0)</f>
        <v>16</v>
      </c>
      <c r="AR181" s="44">
        <f>IF(AU181="S",IF(AND(S181&lt;&gt;"",R181&lt;&gt;""),S181-R181,0),0)</f>
        <v>0</v>
      </c>
      <c r="AS181" s="44">
        <f>IF(AU181="S",IF(Q181="1. Aceitou o programa",IF(OR(X181="Não se Aplica",X181=""),IF(OR(W181="Não se Aplica",W181=""),0,W181-V181),AVERAGE(X181-W181,W181-V181)),0),0)</f>
        <v>3.5</v>
      </c>
      <c r="AT181" s="44">
        <f>IF(AU181="S",IF(AND(Q181="1. Aceitou o programa",AB181="Realizada"),IFERROR(IF(AA181="",0,AA181-R181),0),0),0)</f>
        <v>0</v>
      </c>
      <c r="AU181" s="44" t="str">
        <f>_xlfn.XLOOKUP(U181,'Lista Suspensa'!$AA$20:$AA$23,'Lista Suspensa'!$AB$20:$AB$23,"N/A")</f>
        <v>S</v>
      </c>
    </row>
    <row r="182" spans="1:47" ht="12" hidden="1" customHeight="1">
      <c r="A182" s="86" t="s">
        <v>47</v>
      </c>
      <c r="B182" s="87">
        <v>46147</v>
      </c>
      <c r="C182" s="88" t="s">
        <v>48</v>
      </c>
      <c r="D182" s="88" t="s">
        <v>49</v>
      </c>
      <c r="E182" s="89">
        <v>87552103</v>
      </c>
      <c r="F182" s="218" t="s">
        <v>562</v>
      </c>
      <c r="G182" s="91">
        <v>35021683772</v>
      </c>
      <c r="H182" s="92">
        <v>17929</v>
      </c>
      <c r="I182" s="88">
        <v>77</v>
      </c>
      <c r="J182" s="88" t="s">
        <v>64</v>
      </c>
      <c r="K182" s="88" t="s">
        <v>80</v>
      </c>
      <c r="L182" s="88" t="s">
        <v>87</v>
      </c>
      <c r="M182" s="88"/>
      <c r="N182" s="88" t="s">
        <v>122</v>
      </c>
      <c r="O182" s="93" t="s">
        <v>563</v>
      </c>
      <c r="P182" s="94" t="s">
        <v>56</v>
      </c>
      <c r="Q182" s="142" t="s">
        <v>68</v>
      </c>
      <c r="R182" s="95">
        <v>46154</v>
      </c>
      <c r="S182" s="96"/>
      <c r="T182" s="96" t="s">
        <v>69</v>
      </c>
      <c r="U182" s="96" t="s">
        <v>70</v>
      </c>
      <c r="V182" s="92">
        <v>46153</v>
      </c>
      <c r="W182" s="92">
        <v>46154</v>
      </c>
      <c r="X182" s="92" t="s">
        <v>71</v>
      </c>
      <c r="Y182" s="97"/>
      <c r="Z182" s="88" t="s">
        <v>72</v>
      </c>
      <c r="AA182" s="96">
        <v>46149.652777777781</v>
      </c>
      <c r="AB182" s="88"/>
      <c r="AC182" s="119">
        <v>46184</v>
      </c>
      <c r="AD182" s="88"/>
      <c r="AE182" s="88"/>
      <c r="AF182" s="98"/>
      <c r="AG182" s="98"/>
      <c r="AH182" s="98"/>
      <c r="AI182" s="99" t="s">
        <v>61</v>
      </c>
      <c r="AJ182" s="99" t="s">
        <v>61</v>
      </c>
      <c r="AK182" s="99" t="s">
        <v>61</v>
      </c>
      <c r="AL182" s="44" t="s">
        <v>62</v>
      </c>
      <c r="AM182" s="196" t="str">
        <f>MONTH(B182)&amp;"/"&amp;YEAR(B182)</f>
        <v>5/2026</v>
      </c>
      <c r="AN182" s="44">
        <f>WEEKNUM(B182)-WEEKNUM(EOMONTH(B182,-1)+1)+1</f>
        <v>2</v>
      </c>
      <c r="AO182" s="44" t="str">
        <f>MONTH(R182)&amp;"/"&amp;YEAR(R182)</f>
        <v>5/2026</v>
      </c>
      <c r="AP182" s="44">
        <f>WEEKNUM(R182)-WEEKNUM(EOMONTH(R182,-1)+1)+1</f>
        <v>3</v>
      </c>
      <c r="AQ182" s="44">
        <f>IF(AU182="S",IF(Q182="1. Aceitou o programa",R182-B182,0),0)</f>
        <v>7</v>
      </c>
      <c r="AR182" s="44">
        <f>IF(AU182="S",IF(AND(S182&lt;&gt;"",R182&lt;&gt;""),S182-R182,0),0)</f>
        <v>0</v>
      </c>
      <c r="AS182" s="44">
        <f>IF(AU182="S",IF(Q182="1. Aceitou o programa",IF(OR(X182="Não se Aplica",X182=""),IF(OR(W182="Não se Aplica",W182=""),0,W182-V182),AVERAGE(X182-W182,W182-V182)),0),0)</f>
        <v>1</v>
      </c>
      <c r="AT182" s="44">
        <f>IF(AU182="S",IF(AND(Q182="1. Aceitou o programa",AB182="Realizada"),IFERROR(IF(AA182="",0,AA182-R182),0),0),0)</f>
        <v>0</v>
      </c>
      <c r="AU182" s="44" t="str">
        <f>_xlfn.XLOOKUP(U182,'Lista Suspensa'!$AA$20:$AA$23,'Lista Suspensa'!$AB$20:$AB$23,"N/A")</f>
        <v>S</v>
      </c>
    </row>
    <row r="183" spans="1:47" ht="12" hidden="1" customHeight="1">
      <c r="A183" s="86" t="s">
        <v>47</v>
      </c>
      <c r="B183" s="87">
        <v>46147</v>
      </c>
      <c r="C183" s="88" t="s">
        <v>48</v>
      </c>
      <c r="D183" s="88" t="s">
        <v>49</v>
      </c>
      <c r="E183" s="89">
        <v>82824175</v>
      </c>
      <c r="F183" s="218" t="s">
        <v>564</v>
      </c>
      <c r="G183" s="91">
        <v>87808625787</v>
      </c>
      <c r="H183" s="92">
        <v>18463</v>
      </c>
      <c r="I183" s="88">
        <v>75</v>
      </c>
      <c r="J183" s="88" t="s">
        <v>64</v>
      </c>
      <c r="K183" s="88" t="s">
        <v>80</v>
      </c>
      <c r="L183" s="88" t="s">
        <v>87</v>
      </c>
      <c r="M183" s="88"/>
      <c r="N183" s="88" t="s">
        <v>91</v>
      </c>
      <c r="O183" s="93" t="s">
        <v>565</v>
      </c>
      <c r="P183" s="94" t="s">
        <v>56</v>
      </c>
      <c r="Q183" s="142" t="s">
        <v>57</v>
      </c>
      <c r="R183" s="95"/>
      <c r="S183" s="96">
        <v>46170</v>
      </c>
      <c r="T183" s="96" t="s">
        <v>58</v>
      </c>
      <c r="U183" s="96" t="s">
        <v>59</v>
      </c>
      <c r="V183" s="92">
        <v>46153</v>
      </c>
      <c r="W183" s="92">
        <v>46154</v>
      </c>
      <c r="X183" s="92">
        <v>46164</v>
      </c>
      <c r="Y183" s="97"/>
      <c r="Z183" s="88"/>
      <c r="AA183" s="96"/>
      <c r="AB183" s="88"/>
      <c r="AC183" s="119"/>
      <c r="AD183" s="88"/>
      <c r="AE183" s="88"/>
      <c r="AF183" s="98"/>
      <c r="AG183" s="98"/>
      <c r="AH183" s="98"/>
      <c r="AI183" s="99"/>
      <c r="AJ183" s="99"/>
      <c r="AK183" s="99"/>
      <c r="AL183" s="44" t="s">
        <v>62</v>
      </c>
      <c r="AM183" s="196" t="str">
        <f>MONTH(B183)&amp;"/"&amp;YEAR(B183)</f>
        <v>5/2026</v>
      </c>
      <c r="AN183" s="44">
        <f>WEEKNUM(B183)-WEEKNUM(EOMONTH(B183,-1)+1)+1</f>
        <v>2</v>
      </c>
      <c r="AO183" s="44" t="str">
        <f>MONTH(R183)&amp;"/"&amp;YEAR(R183)</f>
        <v>1/1900</v>
      </c>
      <c r="AP183" s="44" t="e">
        <f>WEEKNUM(R183)-WEEKNUM(EOMONTH(R183,-1)+1)+1</f>
        <v>#NUM!</v>
      </c>
      <c r="AQ183" s="44">
        <f>IF(AU183="S",IF(Q183="1. Aceitou o programa",R183-B183,0),0)</f>
        <v>0</v>
      </c>
      <c r="AR183" s="44">
        <f>IF(AU183="S",IF(AND(S183&lt;&gt;"",R183&lt;&gt;""),S183-R183,0),0)</f>
        <v>0</v>
      </c>
      <c r="AS183" s="44">
        <f>IF(AU183="S",IF(Q183="1. Aceitou o programa",IF(OR(X183="Não se Aplica",X183=""),IF(OR(W183="Não se Aplica",W183=""),0,W183-V183),AVERAGE(X183-W183,W183-V183)),0),0)</f>
        <v>0</v>
      </c>
      <c r="AT183" s="44">
        <f>IF(AU183="S",IF(AND(Q183="1. Aceitou o programa",AB183="Realizada"),IFERROR(IF(AA183="",0,AA183-R183),0),0),0)</f>
        <v>0</v>
      </c>
      <c r="AU183" s="44" t="str">
        <f>_xlfn.XLOOKUP(U183,'Lista Suspensa'!$AA$20:$AA$23,'Lista Suspensa'!$AB$20:$AB$23,"N/A")</f>
        <v>S</v>
      </c>
    </row>
    <row r="184" spans="1:47" ht="12" hidden="1" customHeight="1">
      <c r="A184" s="86" t="s">
        <v>47</v>
      </c>
      <c r="B184" s="87">
        <v>46147</v>
      </c>
      <c r="C184" s="88" t="s">
        <v>48</v>
      </c>
      <c r="D184" s="88" t="s">
        <v>49</v>
      </c>
      <c r="E184" s="89">
        <v>758073208</v>
      </c>
      <c r="F184" s="218" t="s">
        <v>566</v>
      </c>
      <c r="G184" s="91">
        <v>11543821766</v>
      </c>
      <c r="H184" s="92">
        <v>20865</v>
      </c>
      <c r="I184" s="88">
        <v>69</v>
      </c>
      <c r="J184" s="88" t="s">
        <v>64</v>
      </c>
      <c r="K184" s="88" t="s">
        <v>80</v>
      </c>
      <c r="L184" s="88" t="s">
        <v>87</v>
      </c>
      <c r="M184" s="88"/>
      <c r="N184" s="88" t="s">
        <v>54</v>
      </c>
      <c r="O184" s="93" t="s">
        <v>567</v>
      </c>
      <c r="P184" s="94" t="s">
        <v>56</v>
      </c>
      <c r="Q184" s="142" t="s">
        <v>68</v>
      </c>
      <c r="R184" s="95">
        <v>46154</v>
      </c>
      <c r="S184" s="96"/>
      <c r="T184" s="96" t="s">
        <v>69</v>
      </c>
      <c r="U184" s="96" t="s">
        <v>70</v>
      </c>
      <c r="V184" s="92">
        <v>46153</v>
      </c>
      <c r="W184" s="92">
        <v>46154</v>
      </c>
      <c r="X184" s="92" t="s">
        <v>71</v>
      </c>
      <c r="Y184" s="97"/>
      <c r="Z184" s="88" t="s">
        <v>72</v>
      </c>
      <c r="AA184" s="96">
        <v>46164.513888888891</v>
      </c>
      <c r="AB184" s="88"/>
      <c r="AC184" s="119"/>
      <c r="AD184" s="88"/>
      <c r="AE184" s="88"/>
      <c r="AF184" s="98"/>
      <c r="AG184" s="98"/>
      <c r="AH184" s="98"/>
      <c r="AI184" s="99" t="s">
        <v>61</v>
      </c>
      <c r="AJ184" s="99" t="s">
        <v>61</v>
      </c>
      <c r="AK184" s="99" t="s">
        <v>61</v>
      </c>
      <c r="AL184" s="44" t="s">
        <v>62</v>
      </c>
      <c r="AM184" s="196" t="str">
        <f>MONTH(B184)&amp;"/"&amp;YEAR(B184)</f>
        <v>5/2026</v>
      </c>
      <c r="AN184" s="44">
        <f>WEEKNUM(B184)-WEEKNUM(EOMONTH(B184,-1)+1)+1</f>
        <v>2</v>
      </c>
      <c r="AO184" s="44" t="str">
        <f>MONTH(R184)&amp;"/"&amp;YEAR(R184)</f>
        <v>5/2026</v>
      </c>
      <c r="AP184" s="44">
        <f>WEEKNUM(R184)-WEEKNUM(EOMONTH(R184,-1)+1)+1</f>
        <v>3</v>
      </c>
      <c r="AQ184" s="44">
        <f>IF(AU184="S",IF(Q184="1. Aceitou o programa",R184-B184,0),0)</f>
        <v>7</v>
      </c>
      <c r="AR184" s="44">
        <f>IF(AU184="S",IF(AND(S184&lt;&gt;"",R184&lt;&gt;""),S184-R184,0),0)</f>
        <v>0</v>
      </c>
      <c r="AS184" s="44">
        <f>IF(AU184="S",IF(Q184="1. Aceitou o programa",IF(OR(X184="Não se Aplica",X184=""),IF(OR(W184="Não se Aplica",W184=""),0,W184-V184),AVERAGE(X184-W184,W184-V184)),0),0)</f>
        <v>1</v>
      </c>
      <c r="AT184" s="44">
        <f>IF(AU184="S",IF(AND(Q184="1. Aceitou o programa",AB184="Realizada"),IFERROR(IF(AA184="",0,AA184-R184),0),0),0)</f>
        <v>0</v>
      </c>
      <c r="AU184" s="44" t="str">
        <f>_xlfn.XLOOKUP(U184,'Lista Suspensa'!$AA$20:$AA$23,'Lista Suspensa'!$AB$20:$AB$23,"N/A")</f>
        <v>S</v>
      </c>
    </row>
    <row r="185" spans="1:47" ht="12" hidden="1" customHeight="1">
      <c r="A185" s="86" t="s">
        <v>47</v>
      </c>
      <c r="B185" s="87">
        <v>46147</v>
      </c>
      <c r="C185" s="88" t="s">
        <v>48</v>
      </c>
      <c r="D185" s="88" t="s">
        <v>49</v>
      </c>
      <c r="E185" s="89">
        <v>85445016</v>
      </c>
      <c r="F185" s="218" t="s">
        <v>568</v>
      </c>
      <c r="G185" s="91">
        <v>60090847768</v>
      </c>
      <c r="H185" s="92">
        <v>21993</v>
      </c>
      <c r="I185" s="88">
        <v>66</v>
      </c>
      <c r="J185" s="88" t="s">
        <v>51</v>
      </c>
      <c r="K185" s="88" t="s">
        <v>80</v>
      </c>
      <c r="L185" s="88" t="s">
        <v>87</v>
      </c>
      <c r="M185" s="88"/>
      <c r="N185" s="88" t="s">
        <v>91</v>
      </c>
      <c r="O185" s="93" t="s">
        <v>569</v>
      </c>
      <c r="P185" s="94" t="s">
        <v>56</v>
      </c>
      <c r="Q185" s="142" t="s">
        <v>57</v>
      </c>
      <c r="R185" s="95"/>
      <c r="S185" s="96">
        <v>46170</v>
      </c>
      <c r="T185" s="96" t="s">
        <v>58</v>
      </c>
      <c r="U185" s="96" t="s">
        <v>59</v>
      </c>
      <c r="V185" s="92">
        <v>46153</v>
      </c>
      <c r="W185" s="92">
        <v>46154</v>
      </c>
      <c r="X185" s="92">
        <v>46164</v>
      </c>
      <c r="Y185" s="97"/>
      <c r="Z185" s="88"/>
      <c r="AA185" s="96"/>
      <c r="AB185" s="88"/>
      <c r="AC185" s="119"/>
      <c r="AD185" s="88"/>
      <c r="AE185" s="88"/>
      <c r="AF185" s="98"/>
      <c r="AG185" s="98"/>
      <c r="AH185" s="98"/>
      <c r="AI185" s="99"/>
      <c r="AJ185" s="99"/>
      <c r="AK185" s="99"/>
      <c r="AL185" s="44" t="s">
        <v>62</v>
      </c>
      <c r="AM185" s="196" t="str">
        <f>MONTH(B185)&amp;"/"&amp;YEAR(B185)</f>
        <v>5/2026</v>
      </c>
      <c r="AN185" s="44">
        <f>WEEKNUM(B185)-WEEKNUM(EOMONTH(B185,-1)+1)+1</f>
        <v>2</v>
      </c>
      <c r="AO185" s="44" t="str">
        <f>MONTH(R185)&amp;"/"&amp;YEAR(R185)</f>
        <v>1/1900</v>
      </c>
      <c r="AP185" s="44" t="e">
        <f>WEEKNUM(R185)-WEEKNUM(EOMONTH(R185,-1)+1)+1</f>
        <v>#NUM!</v>
      </c>
      <c r="AQ185" s="44">
        <f>IF(AU185="S",IF(Q185="1. Aceitou o programa",R185-B185,0),0)</f>
        <v>0</v>
      </c>
      <c r="AR185" s="44">
        <f>IF(AU185="S",IF(AND(S185&lt;&gt;"",R185&lt;&gt;""),S185-R185,0),0)</f>
        <v>0</v>
      </c>
      <c r="AS185" s="44">
        <f>IF(AU185="S",IF(Q185="1. Aceitou o programa",IF(OR(X185="Não se Aplica",X185=""),IF(OR(W185="Não se Aplica",W185=""),0,W185-V185),AVERAGE(X185-W185,W185-V185)),0),0)</f>
        <v>0</v>
      </c>
      <c r="AT185" s="44">
        <f>IF(AU185="S",IF(AND(Q185="1. Aceitou o programa",AB185="Realizada"),IFERROR(IF(AA185="",0,AA185-R185),0),0),0)</f>
        <v>0</v>
      </c>
      <c r="AU185" s="44" t="str">
        <f>_xlfn.XLOOKUP(U185,'Lista Suspensa'!$AA$20:$AA$23,'Lista Suspensa'!$AB$20:$AB$23,"N/A")</f>
        <v>S</v>
      </c>
    </row>
    <row r="186" spans="1:47" ht="12" hidden="1" customHeight="1">
      <c r="A186" s="86" t="s">
        <v>47</v>
      </c>
      <c r="B186" s="87">
        <v>46147</v>
      </c>
      <c r="C186" s="88" t="s">
        <v>48</v>
      </c>
      <c r="D186" s="88" t="s">
        <v>49</v>
      </c>
      <c r="E186" s="89">
        <v>83546102</v>
      </c>
      <c r="F186" s="218" t="s">
        <v>570</v>
      </c>
      <c r="G186" s="91">
        <v>3732196798</v>
      </c>
      <c r="H186" s="92">
        <v>22047</v>
      </c>
      <c r="I186" s="88">
        <v>66</v>
      </c>
      <c r="J186" s="88" t="s">
        <v>64</v>
      </c>
      <c r="K186" s="88" t="s">
        <v>80</v>
      </c>
      <c r="L186" s="88" t="s">
        <v>87</v>
      </c>
      <c r="M186" s="88"/>
      <c r="N186" s="88" t="s">
        <v>118</v>
      </c>
      <c r="O186" s="93" t="s">
        <v>571</v>
      </c>
      <c r="P186" s="94" t="s">
        <v>56</v>
      </c>
      <c r="Q186" s="142" t="s">
        <v>57</v>
      </c>
      <c r="R186" s="95"/>
      <c r="S186" s="96">
        <v>46170</v>
      </c>
      <c r="T186" s="96" t="s">
        <v>58</v>
      </c>
      <c r="U186" s="96" t="s">
        <v>59</v>
      </c>
      <c r="V186" s="92">
        <v>46153</v>
      </c>
      <c r="W186" s="92">
        <v>46154</v>
      </c>
      <c r="X186" s="92">
        <v>46164</v>
      </c>
      <c r="Y186" s="97"/>
      <c r="Z186" s="88"/>
      <c r="AA186" s="96"/>
      <c r="AB186" s="88"/>
      <c r="AC186" s="119"/>
      <c r="AD186" s="88"/>
      <c r="AE186" s="88"/>
      <c r="AF186" s="98"/>
      <c r="AG186" s="98"/>
      <c r="AH186" s="98"/>
      <c r="AI186" s="99"/>
      <c r="AJ186" s="99"/>
      <c r="AK186" s="99"/>
      <c r="AL186" s="44" t="s">
        <v>62</v>
      </c>
      <c r="AM186" s="196" t="str">
        <f>MONTH(B186)&amp;"/"&amp;YEAR(B186)</f>
        <v>5/2026</v>
      </c>
      <c r="AN186" s="44">
        <f>WEEKNUM(B186)-WEEKNUM(EOMONTH(B186,-1)+1)+1</f>
        <v>2</v>
      </c>
      <c r="AO186" s="44" t="str">
        <f>MONTH(R186)&amp;"/"&amp;YEAR(R186)</f>
        <v>1/1900</v>
      </c>
      <c r="AP186" s="44" t="e">
        <f>WEEKNUM(R186)-WEEKNUM(EOMONTH(R186,-1)+1)+1</f>
        <v>#NUM!</v>
      </c>
      <c r="AQ186" s="44">
        <f>IF(AU186="S",IF(Q186="1. Aceitou o programa",R186-B186,0),0)</f>
        <v>0</v>
      </c>
      <c r="AR186" s="44">
        <f>IF(AU186="S",IF(AND(S186&lt;&gt;"",R186&lt;&gt;""),S186-R186,0),0)</f>
        <v>0</v>
      </c>
      <c r="AS186" s="44">
        <f>IF(AU186="S",IF(Q186="1. Aceitou o programa",IF(OR(X186="Não se Aplica",X186=""),IF(OR(W186="Não se Aplica",W186=""),0,W186-V186),AVERAGE(X186-W186,W186-V186)),0),0)</f>
        <v>0</v>
      </c>
      <c r="AT186" s="44">
        <f>IF(AU186="S",IF(AND(Q186="1. Aceitou o programa",AB186="Realizada"),IFERROR(IF(AA186="",0,AA186-R186),0),0),0)</f>
        <v>0</v>
      </c>
      <c r="AU186" s="44" t="str">
        <f>_xlfn.XLOOKUP(U186,'Lista Suspensa'!$AA$20:$AA$23,'Lista Suspensa'!$AB$20:$AB$23,"N/A")</f>
        <v>S</v>
      </c>
    </row>
    <row r="187" spans="1:47" ht="12" hidden="1" customHeight="1">
      <c r="A187" s="86" t="s">
        <v>47</v>
      </c>
      <c r="B187" s="87">
        <v>46147</v>
      </c>
      <c r="C187" s="88" t="s">
        <v>48</v>
      </c>
      <c r="D187" s="88" t="s">
        <v>49</v>
      </c>
      <c r="E187" s="89">
        <v>82598925</v>
      </c>
      <c r="F187" s="218" t="s">
        <v>572</v>
      </c>
      <c r="G187" s="91">
        <v>6843763774</v>
      </c>
      <c r="H187" s="92">
        <v>23982</v>
      </c>
      <c r="I187" s="88">
        <v>60</v>
      </c>
      <c r="J187" s="88" t="s">
        <v>64</v>
      </c>
      <c r="K187" s="88" t="s">
        <v>80</v>
      </c>
      <c r="L187" s="88" t="s">
        <v>257</v>
      </c>
      <c r="M187" s="88"/>
      <c r="N187" s="88" t="s">
        <v>122</v>
      </c>
      <c r="O187" s="93" t="s">
        <v>573</v>
      </c>
      <c r="P187" s="94" t="s">
        <v>56</v>
      </c>
      <c r="Q187" s="142" t="s">
        <v>57</v>
      </c>
      <c r="R187" s="95"/>
      <c r="S187" s="96">
        <v>46170</v>
      </c>
      <c r="T187" s="96" t="s">
        <v>58</v>
      </c>
      <c r="U187" s="96" t="s">
        <v>59</v>
      </c>
      <c r="V187" s="92">
        <v>46153</v>
      </c>
      <c r="W187" s="92">
        <v>46154</v>
      </c>
      <c r="X187" s="92">
        <v>46164</v>
      </c>
      <c r="Y187" s="97"/>
      <c r="Z187" s="88"/>
      <c r="AA187" s="96"/>
      <c r="AB187" s="88"/>
      <c r="AC187" s="119"/>
      <c r="AD187" s="88"/>
      <c r="AE187" s="88"/>
      <c r="AF187" s="98"/>
      <c r="AG187" s="98"/>
      <c r="AH187" s="98"/>
      <c r="AI187" s="99"/>
      <c r="AJ187" s="99"/>
      <c r="AK187" s="99"/>
      <c r="AL187" s="44" t="s">
        <v>62</v>
      </c>
      <c r="AM187" s="196" t="str">
        <f>MONTH(B187)&amp;"/"&amp;YEAR(B187)</f>
        <v>5/2026</v>
      </c>
      <c r="AN187" s="44">
        <f>WEEKNUM(B187)-WEEKNUM(EOMONTH(B187,-1)+1)+1</f>
        <v>2</v>
      </c>
      <c r="AO187" s="44" t="str">
        <f>MONTH(R187)&amp;"/"&amp;YEAR(R187)</f>
        <v>1/1900</v>
      </c>
      <c r="AP187" s="44" t="e">
        <f>WEEKNUM(R187)-WEEKNUM(EOMONTH(R187,-1)+1)+1</f>
        <v>#NUM!</v>
      </c>
      <c r="AQ187" s="44">
        <f>IF(AU187="S",IF(Q187="1. Aceitou o programa",R187-B187,0),0)</f>
        <v>0</v>
      </c>
      <c r="AR187" s="44">
        <f>IF(AU187="S",IF(AND(S187&lt;&gt;"",R187&lt;&gt;""),S187-R187,0),0)</f>
        <v>0</v>
      </c>
      <c r="AS187" s="44">
        <f>IF(AU187="S",IF(Q187="1. Aceitou o programa",IF(OR(X187="Não se Aplica",X187=""),IF(OR(W187="Não se Aplica",W187=""),0,W187-V187),AVERAGE(X187-W187,W187-V187)),0),0)</f>
        <v>0</v>
      </c>
      <c r="AT187" s="44">
        <f>IF(AU187="S",IF(AND(Q187="1. Aceitou o programa",AB187="Realizada"),IFERROR(IF(AA187="",0,AA187-R187),0),0),0)</f>
        <v>0</v>
      </c>
      <c r="AU187" s="44" t="str">
        <f>_xlfn.XLOOKUP(U187,'Lista Suspensa'!$AA$20:$AA$23,'Lista Suspensa'!$AB$20:$AB$23,"N/A")</f>
        <v>S</v>
      </c>
    </row>
    <row r="188" spans="1:47" ht="12" hidden="1" customHeight="1">
      <c r="A188" s="86" t="s">
        <v>47</v>
      </c>
      <c r="B188" s="87">
        <v>46147</v>
      </c>
      <c r="C188" s="88" t="s">
        <v>48</v>
      </c>
      <c r="D188" s="88" t="s">
        <v>49</v>
      </c>
      <c r="E188" s="89">
        <v>95358515</v>
      </c>
      <c r="F188" s="218" t="s">
        <v>574</v>
      </c>
      <c r="G188" s="91">
        <v>1439059705</v>
      </c>
      <c r="H188" s="92">
        <v>26076</v>
      </c>
      <c r="I188" s="88">
        <v>54</v>
      </c>
      <c r="J188" s="88" t="s">
        <v>64</v>
      </c>
      <c r="K188" s="88" t="s">
        <v>80</v>
      </c>
      <c r="L188" s="88" t="s">
        <v>87</v>
      </c>
      <c r="M188" s="88"/>
      <c r="N188" s="88" t="s">
        <v>143</v>
      </c>
      <c r="O188" s="93" t="s">
        <v>575</v>
      </c>
      <c r="P188" s="94" t="s">
        <v>56</v>
      </c>
      <c r="Q188" s="142" t="s">
        <v>68</v>
      </c>
      <c r="R188" s="95">
        <v>46154</v>
      </c>
      <c r="S188" s="96"/>
      <c r="T188" s="96" t="s">
        <v>69</v>
      </c>
      <c r="U188" s="96" t="s">
        <v>70</v>
      </c>
      <c r="V188" s="92">
        <v>46153</v>
      </c>
      <c r="W188" s="92">
        <v>46154</v>
      </c>
      <c r="X188" s="92" t="s">
        <v>71</v>
      </c>
      <c r="Y188" s="97"/>
      <c r="Z188" s="88" t="s">
        <v>72</v>
      </c>
      <c r="AA188" s="96" t="s">
        <v>576</v>
      </c>
      <c r="AB188" s="88" t="s">
        <v>74</v>
      </c>
      <c r="AC188" s="119">
        <v>46178</v>
      </c>
      <c r="AD188" s="88" t="s">
        <v>97</v>
      </c>
      <c r="AE188" s="88">
        <v>56</v>
      </c>
      <c r="AF188" s="98" t="s">
        <v>85</v>
      </c>
      <c r="AG188" s="98" t="s">
        <v>85</v>
      </c>
      <c r="AH188" s="98" t="s">
        <v>152</v>
      </c>
      <c r="AI188" s="99" t="s">
        <v>61</v>
      </c>
      <c r="AJ188" s="99" t="s">
        <v>61</v>
      </c>
      <c r="AK188" s="99" t="s">
        <v>61</v>
      </c>
      <c r="AL188" s="44" t="s">
        <v>62</v>
      </c>
      <c r="AM188" s="196" t="str">
        <f>MONTH(B188)&amp;"/"&amp;YEAR(B188)</f>
        <v>5/2026</v>
      </c>
      <c r="AN188" s="44">
        <f>WEEKNUM(B188)-WEEKNUM(EOMONTH(B188,-1)+1)+1</f>
        <v>2</v>
      </c>
      <c r="AO188" s="44" t="str">
        <f>MONTH(R188)&amp;"/"&amp;YEAR(R188)</f>
        <v>5/2026</v>
      </c>
      <c r="AP188" s="44">
        <f>WEEKNUM(R188)-WEEKNUM(EOMONTH(R188,-1)+1)+1</f>
        <v>3</v>
      </c>
      <c r="AQ188" s="44">
        <f>IF(AU188="S",IF(Q188="1. Aceitou o programa",R188-B188,0),0)</f>
        <v>7</v>
      </c>
      <c r="AR188" s="44">
        <f>IF(AU188="S",IF(AND(S188&lt;&gt;"",R188&lt;&gt;""),S188-R188,0),0)</f>
        <v>0</v>
      </c>
      <c r="AS188" s="44">
        <f>IF(AU188="S",IF(Q188="1. Aceitou o programa",IF(OR(X188="Não se Aplica",X188=""),IF(OR(W188="Não se Aplica",W188=""),0,W188-V188),AVERAGE(X188-W188,W188-V188)),0),0)</f>
        <v>1</v>
      </c>
      <c r="AT188" s="44">
        <f>IF(AU188="S",IF(AND(Q188="1. Aceitou o programa",AB188="Realizada"),IFERROR(IF(AA188="",0,AA188-R188),0),0),0)</f>
        <v>14.513888888890506</v>
      </c>
      <c r="AU188" s="44" t="str">
        <f>_xlfn.XLOOKUP(U188,'Lista Suspensa'!$AA$20:$AA$23,'Lista Suspensa'!$AB$20:$AB$23,"N/A")</f>
        <v>S</v>
      </c>
    </row>
    <row r="189" spans="1:47" ht="12" hidden="1" customHeight="1">
      <c r="A189" s="86" t="s">
        <v>47</v>
      </c>
      <c r="B189" s="87">
        <v>46147</v>
      </c>
      <c r="C189" s="88" t="s">
        <v>48</v>
      </c>
      <c r="D189" s="88" t="s">
        <v>49</v>
      </c>
      <c r="E189" s="89">
        <v>93588324</v>
      </c>
      <c r="F189" s="218" t="s">
        <v>577</v>
      </c>
      <c r="G189" s="91">
        <v>7587121897</v>
      </c>
      <c r="H189" s="92">
        <v>23458</v>
      </c>
      <c r="I189" s="88">
        <v>62</v>
      </c>
      <c r="J189" s="88" t="s">
        <v>51</v>
      </c>
      <c r="K189" s="88" t="s">
        <v>52</v>
      </c>
      <c r="L189" s="88" t="s">
        <v>65</v>
      </c>
      <c r="M189" s="88"/>
      <c r="N189" s="88" t="s">
        <v>91</v>
      </c>
      <c r="O189" s="93" t="s">
        <v>578</v>
      </c>
      <c r="P189" s="94" t="s">
        <v>56</v>
      </c>
      <c r="Q189" s="142" t="s">
        <v>57</v>
      </c>
      <c r="R189" s="95"/>
      <c r="S189" s="96">
        <v>46170</v>
      </c>
      <c r="T189" s="96" t="s">
        <v>58</v>
      </c>
      <c r="U189" s="96" t="s">
        <v>59</v>
      </c>
      <c r="V189" s="92">
        <v>46153</v>
      </c>
      <c r="W189" s="92">
        <v>46154</v>
      </c>
      <c r="X189" s="92">
        <v>46164</v>
      </c>
      <c r="Y189" s="97"/>
      <c r="Z189" s="88" t="s">
        <v>72</v>
      </c>
      <c r="AA189" s="96">
        <v>46160.625</v>
      </c>
      <c r="AB189" s="88"/>
      <c r="AC189" s="119"/>
      <c r="AD189" s="88"/>
      <c r="AE189" s="88"/>
      <c r="AF189" s="98"/>
      <c r="AG189" s="98"/>
      <c r="AH189" s="98"/>
      <c r="AI189" s="99"/>
      <c r="AJ189" s="99"/>
      <c r="AK189" s="99"/>
      <c r="AL189" s="44" t="s">
        <v>62</v>
      </c>
      <c r="AM189" s="196" t="str">
        <f>MONTH(B189)&amp;"/"&amp;YEAR(B189)</f>
        <v>5/2026</v>
      </c>
      <c r="AN189" s="44">
        <f>WEEKNUM(B189)-WEEKNUM(EOMONTH(B189,-1)+1)+1</f>
        <v>2</v>
      </c>
      <c r="AO189" s="44" t="str">
        <f>MONTH(R189)&amp;"/"&amp;YEAR(R189)</f>
        <v>1/1900</v>
      </c>
      <c r="AP189" s="44" t="e">
        <f>WEEKNUM(R189)-WEEKNUM(EOMONTH(R189,-1)+1)+1</f>
        <v>#NUM!</v>
      </c>
      <c r="AQ189" s="44">
        <f>IF(AU189="S",IF(Q189="1. Aceitou o programa",R189-B189,0),0)</f>
        <v>0</v>
      </c>
      <c r="AR189" s="44">
        <f>IF(AU189="S",IF(AND(S189&lt;&gt;"",R189&lt;&gt;""),S189-R189,0),0)</f>
        <v>0</v>
      </c>
      <c r="AS189" s="44">
        <f>IF(AU189="S",IF(Q189="1. Aceitou o programa",IF(OR(X189="Não se Aplica",X189=""),IF(OR(W189="Não se Aplica",W189=""),0,W189-V189),AVERAGE(X189-W189,W189-V189)),0),0)</f>
        <v>0</v>
      </c>
      <c r="AT189" s="44">
        <f>IF(AU189="S",IF(AND(Q189="1. Aceitou o programa",AB189="Realizada"),IFERROR(IF(AA189="",0,AA189-R189),0),0),0)</f>
        <v>0</v>
      </c>
      <c r="AU189" s="44" t="str">
        <f>_xlfn.XLOOKUP(U189,'Lista Suspensa'!$AA$20:$AA$23,'Lista Suspensa'!$AB$20:$AB$23,"N/A")</f>
        <v>S</v>
      </c>
    </row>
    <row r="190" spans="1:47" ht="12" hidden="1" customHeight="1">
      <c r="A190" s="86" t="s">
        <v>47</v>
      </c>
      <c r="B190" s="87">
        <v>46147</v>
      </c>
      <c r="C190" s="88" t="s">
        <v>48</v>
      </c>
      <c r="D190" s="88" t="s">
        <v>49</v>
      </c>
      <c r="E190" s="89">
        <v>92894017</v>
      </c>
      <c r="F190" s="218" t="s">
        <v>579</v>
      </c>
      <c r="G190" s="91">
        <v>43076773828</v>
      </c>
      <c r="H190" s="92">
        <v>33772</v>
      </c>
      <c r="I190" s="88">
        <v>33</v>
      </c>
      <c r="J190" s="88" t="s">
        <v>64</v>
      </c>
      <c r="K190" s="88" t="s">
        <v>52</v>
      </c>
      <c r="L190" s="88" t="s">
        <v>53</v>
      </c>
      <c r="M190" s="88"/>
      <c r="N190" s="88" t="s">
        <v>66</v>
      </c>
      <c r="O190" s="93" t="s">
        <v>580</v>
      </c>
      <c r="P190" s="94" t="s">
        <v>56</v>
      </c>
      <c r="Q190" s="142" t="s">
        <v>57</v>
      </c>
      <c r="R190" s="95"/>
      <c r="S190" s="96">
        <v>46170</v>
      </c>
      <c r="T190" s="96" t="s">
        <v>58</v>
      </c>
      <c r="U190" s="96" t="s">
        <v>59</v>
      </c>
      <c r="V190" s="92">
        <v>46153</v>
      </c>
      <c r="W190" s="92">
        <v>46154</v>
      </c>
      <c r="X190" s="92">
        <v>46164</v>
      </c>
      <c r="Y190" s="97"/>
      <c r="Z190" s="88"/>
      <c r="AA190" s="96"/>
      <c r="AB190" s="88"/>
      <c r="AC190" s="119"/>
      <c r="AD190" s="88"/>
      <c r="AE190" s="88"/>
      <c r="AF190" s="98"/>
      <c r="AG190" s="98"/>
      <c r="AH190" s="98"/>
      <c r="AI190" s="99"/>
      <c r="AJ190" s="99"/>
      <c r="AK190" s="99"/>
      <c r="AL190" s="44" t="s">
        <v>62</v>
      </c>
      <c r="AM190" s="196" t="str">
        <f>MONTH(B190)&amp;"/"&amp;YEAR(B190)</f>
        <v>5/2026</v>
      </c>
      <c r="AN190" s="44">
        <f>WEEKNUM(B190)-WEEKNUM(EOMONTH(B190,-1)+1)+1</f>
        <v>2</v>
      </c>
      <c r="AO190" s="44" t="str">
        <f>MONTH(R190)&amp;"/"&amp;YEAR(R190)</f>
        <v>1/1900</v>
      </c>
      <c r="AP190" s="44" t="e">
        <f>WEEKNUM(R190)-WEEKNUM(EOMONTH(R190,-1)+1)+1</f>
        <v>#NUM!</v>
      </c>
      <c r="AQ190" s="44">
        <f>IF(AU190="S",IF(Q190="1. Aceitou o programa",R190-B190,0),0)</f>
        <v>0</v>
      </c>
      <c r="AR190" s="44">
        <f>IF(AU190="S",IF(AND(S190&lt;&gt;"",R190&lt;&gt;""),S190-R190,0),0)</f>
        <v>0</v>
      </c>
      <c r="AS190" s="44">
        <f>IF(AU190="S",IF(Q190="1. Aceitou o programa",IF(OR(X190="Não se Aplica",X190=""),IF(OR(W190="Não se Aplica",W190=""),0,W190-V190),AVERAGE(X190-W190,W190-V190)),0),0)</f>
        <v>0</v>
      </c>
      <c r="AT190" s="44">
        <f>IF(AU190="S",IF(AND(Q190="1. Aceitou o programa",AB190="Realizada"),IFERROR(IF(AA190="",0,AA190-R190),0),0),0)</f>
        <v>0</v>
      </c>
      <c r="AU190" s="44" t="str">
        <f>_xlfn.XLOOKUP(U190,'Lista Suspensa'!$AA$20:$AA$23,'Lista Suspensa'!$AB$20:$AB$23,"N/A")</f>
        <v>S</v>
      </c>
    </row>
    <row r="191" spans="1:47" ht="12" hidden="1" customHeight="1">
      <c r="A191" s="86" t="s">
        <v>47</v>
      </c>
      <c r="B191" s="87">
        <v>46147</v>
      </c>
      <c r="C191" s="88" t="s">
        <v>48</v>
      </c>
      <c r="D191" s="88" t="s">
        <v>49</v>
      </c>
      <c r="E191" s="89">
        <v>85194710</v>
      </c>
      <c r="F191" s="218" t="s">
        <v>581</v>
      </c>
      <c r="G191" s="91">
        <v>8731180736</v>
      </c>
      <c r="H191" s="92">
        <v>29859</v>
      </c>
      <c r="I191" s="88">
        <v>44</v>
      </c>
      <c r="J191" s="88" t="s">
        <v>51</v>
      </c>
      <c r="K191" s="88" t="s">
        <v>80</v>
      </c>
      <c r="L191" s="88" t="s">
        <v>582</v>
      </c>
      <c r="M191" s="88"/>
      <c r="N191" s="88" t="s">
        <v>94</v>
      </c>
      <c r="O191" s="93" t="s">
        <v>583</v>
      </c>
      <c r="P191" s="94" t="s">
        <v>56</v>
      </c>
      <c r="Q191" s="142" t="s">
        <v>68</v>
      </c>
      <c r="R191" s="95">
        <v>46153</v>
      </c>
      <c r="S191" s="96"/>
      <c r="T191" s="96" t="s">
        <v>69</v>
      </c>
      <c r="U191" s="96" t="s">
        <v>70</v>
      </c>
      <c r="V191" s="92">
        <v>46153</v>
      </c>
      <c r="W191" s="92" t="s">
        <v>71</v>
      </c>
      <c r="X191" s="92" t="s">
        <v>71</v>
      </c>
      <c r="Y191" s="97"/>
      <c r="Z191" s="88" t="s">
        <v>72</v>
      </c>
      <c r="AA191" s="96" t="s">
        <v>584</v>
      </c>
      <c r="AB191" s="88" t="s">
        <v>74</v>
      </c>
      <c r="AC191" s="119"/>
      <c r="AD191" s="88" t="s">
        <v>97</v>
      </c>
      <c r="AE191" s="88">
        <v>52</v>
      </c>
      <c r="AF191" s="98" t="s">
        <v>85</v>
      </c>
      <c r="AG191" s="98" t="s">
        <v>85</v>
      </c>
      <c r="AH191" s="98" t="s">
        <v>77</v>
      </c>
      <c r="AI191" s="99" t="s">
        <v>61</v>
      </c>
      <c r="AJ191" s="99" t="s">
        <v>61</v>
      </c>
      <c r="AK191" s="99" t="s">
        <v>61</v>
      </c>
      <c r="AL191" s="44" t="s">
        <v>62</v>
      </c>
      <c r="AM191" s="196" t="str">
        <f>MONTH(B191)&amp;"/"&amp;YEAR(B191)</f>
        <v>5/2026</v>
      </c>
      <c r="AN191" s="44">
        <f>WEEKNUM(B191)-WEEKNUM(EOMONTH(B191,-1)+1)+1</f>
        <v>2</v>
      </c>
      <c r="AO191" s="44" t="str">
        <f>MONTH(R191)&amp;"/"&amp;YEAR(R191)</f>
        <v>5/2026</v>
      </c>
      <c r="AP191" s="44">
        <f>WEEKNUM(R191)-WEEKNUM(EOMONTH(R191,-1)+1)+1</f>
        <v>3</v>
      </c>
      <c r="AQ191" s="44">
        <f>IF(AU191="S",IF(Q191="1. Aceitou o programa",R191-B191,0),0)</f>
        <v>6</v>
      </c>
      <c r="AR191" s="44">
        <f>IF(AU191="S",IF(AND(S191&lt;&gt;"",R191&lt;&gt;""),S191-R191,0),0)</f>
        <v>0</v>
      </c>
      <c r="AS191" s="44">
        <f>IF(AU191="S",IF(Q191="1. Aceitou o programa",IF(OR(X191="Não se Aplica",X191=""),IF(OR(W191="Não se Aplica",W191=""),0,W191-V191),AVERAGE(X191-W191,W191-V191)),0),0)</f>
        <v>0</v>
      </c>
      <c r="AT191" s="44">
        <f>IF(AU191="S",IF(AND(Q191="1. Aceitou o programa",AB191="Realizada"),IFERROR(IF(AA191="",0,AA191-R191),0),0),0)</f>
        <v>11.652777777781012</v>
      </c>
      <c r="AU191" s="44" t="str">
        <f>_xlfn.XLOOKUP(U191,'Lista Suspensa'!$AA$20:$AA$23,'Lista Suspensa'!$AB$20:$AB$23,"N/A")</f>
        <v>S</v>
      </c>
    </row>
    <row r="192" spans="1:47" ht="12" hidden="1" customHeight="1">
      <c r="A192" s="86" t="s">
        <v>47</v>
      </c>
      <c r="B192" s="87">
        <v>46147</v>
      </c>
      <c r="C192" s="88" t="s">
        <v>48</v>
      </c>
      <c r="D192" s="88" t="s">
        <v>49</v>
      </c>
      <c r="E192" s="89">
        <v>759119929</v>
      </c>
      <c r="F192" s="218" t="s">
        <v>585</v>
      </c>
      <c r="G192" s="91">
        <v>7486753707</v>
      </c>
      <c r="H192" s="92">
        <v>26840</v>
      </c>
      <c r="I192" s="88">
        <v>52</v>
      </c>
      <c r="J192" s="88" t="s">
        <v>64</v>
      </c>
      <c r="K192" s="88" t="s">
        <v>80</v>
      </c>
      <c r="L192" s="88" t="s">
        <v>87</v>
      </c>
      <c r="M192" s="88"/>
      <c r="N192" s="88" t="s">
        <v>54</v>
      </c>
      <c r="O192" s="93" t="s">
        <v>586</v>
      </c>
      <c r="P192" s="94" t="s">
        <v>56</v>
      </c>
      <c r="Q192" s="142" t="s">
        <v>57</v>
      </c>
      <c r="R192" s="95"/>
      <c r="S192" s="96">
        <v>46170</v>
      </c>
      <c r="T192" s="96" t="s">
        <v>58</v>
      </c>
      <c r="U192" s="96" t="s">
        <v>59</v>
      </c>
      <c r="V192" s="92">
        <v>46153</v>
      </c>
      <c r="W192" s="92">
        <v>46154</v>
      </c>
      <c r="X192" s="92">
        <v>46164</v>
      </c>
      <c r="Y192" s="97"/>
      <c r="Z192" s="88"/>
      <c r="AA192" s="96"/>
      <c r="AB192" s="88"/>
      <c r="AC192" s="119"/>
      <c r="AD192" s="88"/>
      <c r="AE192" s="88"/>
      <c r="AF192" s="98"/>
      <c r="AG192" s="98"/>
      <c r="AH192" s="98"/>
      <c r="AI192" s="99"/>
      <c r="AJ192" s="99"/>
      <c r="AK192" s="99"/>
      <c r="AL192" s="44" t="s">
        <v>62</v>
      </c>
      <c r="AM192" s="196" t="str">
        <f>MONTH(B192)&amp;"/"&amp;YEAR(B192)</f>
        <v>5/2026</v>
      </c>
      <c r="AN192" s="44">
        <f>WEEKNUM(B192)-WEEKNUM(EOMONTH(B192,-1)+1)+1</f>
        <v>2</v>
      </c>
      <c r="AO192" s="44" t="str">
        <f>MONTH(R192)&amp;"/"&amp;YEAR(R192)</f>
        <v>1/1900</v>
      </c>
      <c r="AP192" s="44" t="e">
        <f>WEEKNUM(R192)-WEEKNUM(EOMONTH(R192,-1)+1)+1</f>
        <v>#NUM!</v>
      </c>
      <c r="AQ192" s="44">
        <f>IF(AU192="S",IF(Q192="1. Aceitou o programa",R192-B192,0),0)</f>
        <v>0</v>
      </c>
      <c r="AR192" s="44">
        <f>IF(AU192="S",IF(AND(S192&lt;&gt;"",R192&lt;&gt;""),S192-R192,0),0)</f>
        <v>0</v>
      </c>
      <c r="AS192" s="44">
        <f>IF(AU192="S",IF(Q192="1. Aceitou o programa",IF(OR(X192="Não se Aplica",X192=""),IF(OR(W192="Não se Aplica",W192=""),0,W192-V192),AVERAGE(X192-W192,W192-V192)),0),0)</f>
        <v>0</v>
      </c>
      <c r="AT192" s="44">
        <f>IF(AU192="S",IF(AND(Q192="1. Aceitou o programa",AB192="Realizada"),IFERROR(IF(AA192="",0,AA192-R192),0),0),0)</f>
        <v>0</v>
      </c>
      <c r="AU192" s="44" t="str">
        <f>_xlfn.XLOOKUP(U192,'Lista Suspensa'!$AA$20:$AA$23,'Lista Suspensa'!$AB$20:$AB$23,"N/A")</f>
        <v>S</v>
      </c>
    </row>
    <row r="193" spans="1:47" ht="12" hidden="1" customHeight="1">
      <c r="A193" s="86" t="s">
        <v>47</v>
      </c>
      <c r="B193" s="87">
        <v>46147</v>
      </c>
      <c r="C193" s="88" t="s">
        <v>48</v>
      </c>
      <c r="D193" s="88" t="s">
        <v>49</v>
      </c>
      <c r="E193" s="89">
        <v>82227415</v>
      </c>
      <c r="F193" s="218" t="s">
        <v>587</v>
      </c>
      <c r="G193" s="91">
        <v>3779905825</v>
      </c>
      <c r="H193" s="92">
        <v>21544</v>
      </c>
      <c r="I193" s="88">
        <v>67</v>
      </c>
      <c r="J193" s="88" t="s">
        <v>64</v>
      </c>
      <c r="K193" s="88" t="s">
        <v>52</v>
      </c>
      <c r="L193" s="88" t="s">
        <v>53</v>
      </c>
      <c r="M193" s="88"/>
      <c r="N193" s="88" t="s">
        <v>118</v>
      </c>
      <c r="O193" s="93" t="s">
        <v>588</v>
      </c>
      <c r="P193" s="94" t="s">
        <v>56</v>
      </c>
      <c r="Q193" s="142" t="s">
        <v>68</v>
      </c>
      <c r="R193" s="95">
        <v>46153</v>
      </c>
      <c r="S193" s="96"/>
      <c r="T193" s="96" t="s">
        <v>69</v>
      </c>
      <c r="U193" s="96" t="s">
        <v>70</v>
      </c>
      <c r="V193" s="92">
        <v>46153</v>
      </c>
      <c r="W193" s="92" t="s">
        <v>71</v>
      </c>
      <c r="X193" s="92" t="s">
        <v>71</v>
      </c>
      <c r="Y193" s="97"/>
      <c r="Z193" s="88" t="s">
        <v>72</v>
      </c>
      <c r="AA193" s="96" t="s">
        <v>589</v>
      </c>
      <c r="AB193" s="88" t="s">
        <v>105</v>
      </c>
      <c r="AC193" s="119">
        <v>46176</v>
      </c>
      <c r="AD193" s="88"/>
      <c r="AE193" s="88"/>
      <c r="AF193" s="98"/>
      <c r="AG193" s="98"/>
      <c r="AH193" s="98"/>
      <c r="AI193" s="99" t="s">
        <v>61</v>
      </c>
      <c r="AJ193" s="99" t="s">
        <v>61</v>
      </c>
      <c r="AK193" s="99" t="s">
        <v>61</v>
      </c>
      <c r="AL193" s="44" t="s">
        <v>62</v>
      </c>
      <c r="AM193" s="196" t="str">
        <f>MONTH(B193)&amp;"/"&amp;YEAR(B193)</f>
        <v>5/2026</v>
      </c>
      <c r="AN193" s="44">
        <f>WEEKNUM(B193)-WEEKNUM(EOMONTH(B193,-1)+1)+1</f>
        <v>2</v>
      </c>
      <c r="AO193" s="44" t="str">
        <f>MONTH(R193)&amp;"/"&amp;YEAR(R193)</f>
        <v>5/2026</v>
      </c>
      <c r="AP193" s="44">
        <f>WEEKNUM(R193)-WEEKNUM(EOMONTH(R193,-1)+1)+1</f>
        <v>3</v>
      </c>
      <c r="AQ193" s="44">
        <f>IF(AU193="S",IF(Q193="1. Aceitou o programa",R193-B193,0),0)</f>
        <v>6</v>
      </c>
      <c r="AR193" s="44">
        <f>IF(AU193="S",IF(AND(S193&lt;&gt;"",R193&lt;&gt;""),S193-R193,0),0)</f>
        <v>0</v>
      </c>
      <c r="AS193" s="44">
        <f>IF(AU193="S",IF(Q193="1. Aceitou o programa",IF(OR(X193="Não se Aplica",X193=""),IF(OR(W193="Não se Aplica",W193=""),0,W193-V193),AVERAGE(X193-W193,W193-V193)),0),0)</f>
        <v>0</v>
      </c>
      <c r="AT193" s="44">
        <f>IF(AU193="S",IF(AND(Q193="1. Aceitou o programa",AB193="Realizada"),IFERROR(IF(AA193="",0,AA193-R193),0),0),0)</f>
        <v>0</v>
      </c>
      <c r="AU193" s="44" t="str">
        <f>_xlfn.XLOOKUP(U193,'Lista Suspensa'!$AA$20:$AA$23,'Lista Suspensa'!$AB$20:$AB$23,"N/A")</f>
        <v>S</v>
      </c>
    </row>
    <row r="194" spans="1:47" ht="12" hidden="1" customHeight="1">
      <c r="A194" s="86" t="s">
        <v>47</v>
      </c>
      <c r="B194" s="87">
        <v>46147</v>
      </c>
      <c r="C194" s="88" t="s">
        <v>48</v>
      </c>
      <c r="D194" s="88" t="s">
        <v>49</v>
      </c>
      <c r="E194" s="89">
        <v>94244651</v>
      </c>
      <c r="F194" s="218" t="s">
        <v>590</v>
      </c>
      <c r="G194" s="91">
        <v>8576123878</v>
      </c>
      <c r="H194" s="92">
        <v>22628</v>
      </c>
      <c r="I194" s="88">
        <v>64</v>
      </c>
      <c r="J194" s="88" t="s">
        <v>64</v>
      </c>
      <c r="K194" s="88" t="s">
        <v>52</v>
      </c>
      <c r="L194" s="88" t="s">
        <v>53</v>
      </c>
      <c r="M194" s="88"/>
      <c r="N194" s="88" t="s">
        <v>66</v>
      </c>
      <c r="O194" s="93" t="s">
        <v>591</v>
      </c>
      <c r="P194" s="94" t="s">
        <v>56</v>
      </c>
      <c r="Q194" s="142" t="s">
        <v>68</v>
      </c>
      <c r="R194" s="95">
        <v>46153</v>
      </c>
      <c r="S194" s="96"/>
      <c r="T194" s="96" t="s">
        <v>69</v>
      </c>
      <c r="U194" s="96" t="s">
        <v>70</v>
      </c>
      <c r="V194" s="92">
        <v>46153</v>
      </c>
      <c r="W194" s="92" t="s">
        <v>71</v>
      </c>
      <c r="X194" s="92" t="s">
        <v>71</v>
      </c>
      <c r="Y194" s="97"/>
      <c r="Z194" s="88" t="s">
        <v>72</v>
      </c>
      <c r="AA194" s="96" t="s">
        <v>592</v>
      </c>
      <c r="AB194" s="88" t="s">
        <v>105</v>
      </c>
      <c r="AC194" s="119">
        <v>46177</v>
      </c>
      <c r="AD194" s="88"/>
      <c r="AE194" s="88"/>
      <c r="AF194" s="98"/>
      <c r="AG194" s="98"/>
      <c r="AH194" s="98"/>
      <c r="AI194" s="99" t="s">
        <v>61</v>
      </c>
      <c r="AJ194" s="99" t="s">
        <v>61</v>
      </c>
      <c r="AK194" s="99" t="s">
        <v>61</v>
      </c>
      <c r="AL194" s="44" t="s">
        <v>62</v>
      </c>
      <c r="AM194" s="196" t="str">
        <f>MONTH(B194)&amp;"/"&amp;YEAR(B194)</f>
        <v>5/2026</v>
      </c>
      <c r="AN194" s="44">
        <f>WEEKNUM(B194)-WEEKNUM(EOMONTH(B194,-1)+1)+1</f>
        <v>2</v>
      </c>
      <c r="AO194" s="44" t="str">
        <f>MONTH(R194)&amp;"/"&amp;YEAR(R194)</f>
        <v>5/2026</v>
      </c>
      <c r="AP194" s="44">
        <f>WEEKNUM(R194)-WEEKNUM(EOMONTH(R194,-1)+1)+1</f>
        <v>3</v>
      </c>
      <c r="AQ194" s="44">
        <f>IF(AU194="S",IF(Q194="1. Aceitou o programa",R194-B194,0),0)</f>
        <v>6</v>
      </c>
      <c r="AR194" s="44">
        <f>IF(AU194="S",IF(AND(S194&lt;&gt;"",R194&lt;&gt;""),S194-R194,0),0)</f>
        <v>0</v>
      </c>
      <c r="AS194" s="44">
        <f>IF(AU194="S",IF(Q194="1. Aceitou o programa",IF(OR(X194="Não se Aplica",X194=""),IF(OR(W194="Não se Aplica",W194=""),0,W194-V194),AVERAGE(X194-W194,W194-V194)),0),0)</f>
        <v>0</v>
      </c>
      <c r="AT194" s="44">
        <f>IF(AU194="S",IF(AND(Q194="1. Aceitou o programa",AB194="Realizada"),IFERROR(IF(AA194="",0,AA194-R194),0),0),0)</f>
        <v>0</v>
      </c>
      <c r="AU194" s="44" t="str">
        <f>_xlfn.XLOOKUP(U194,'Lista Suspensa'!$AA$20:$AA$23,'Lista Suspensa'!$AB$20:$AB$23,"N/A")</f>
        <v>S</v>
      </c>
    </row>
    <row r="195" spans="1:47" ht="12" hidden="1" customHeight="1">
      <c r="A195" s="86" t="s">
        <v>47</v>
      </c>
      <c r="B195" s="87">
        <v>46147</v>
      </c>
      <c r="C195" s="88" t="s">
        <v>48</v>
      </c>
      <c r="D195" s="88" t="s">
        <v>49</v>
      </c>
      <c r="E195" s="89">
        <v>415187290</v>
      </c>
      <c r="F195" s="218" t="s">
        <v>593</v>
      </c>
      <c r="G195" s="91">
        <v>10255372701</v>
      </c>
      <c r="H195" s="92">
        <v>12645</v>
      </c>
      <c r="I195" s="88">
        <v>91</v>
      </c>
      <c r="J195" s="88" t="s">
        <v>64</v>
      </c>
      <c r="K195" s="88" t="s">
        <v>80</v>
      </c>
      <c r="L195" s="88" t="s">
        <v>594</v>
      </c>
      <c r="M195" s="88"/>
      <c r="N195" s="88" t="s">
        <v>223</v>
      </c>
      <c r="O195" s="93" t="s">
        <v>595</v>
      </c>
      <c r="P195" s="94" t="s">
        <v>56</v>
      </c>
      <c r="Q195" s="142" t="s">
        <v>68</v>
      </c>
      <c r="R195" s="95">
        <v>46153</v>
      </c>
      <c r="S195" s="96"/>
      <c r="T195" s="96" t="s">
        <v>69</v>
      </c>
      <c r="U195" s="96" t="s">
        <v>70</v>
      </c>
      <c r="V195" s="92">
        <v>46153</v>
      </c>
      <c r="W195" s="92" t="s">
        <v>71</v>
      </c>
      <c r="X195" s="92" t="s">
        <v>71</v>
      </c>
      <c r="Y195" s="97"/>
      <c r="Z195" s="88" t="s">
        <v>72</v>
      </c>
      <c r="AA195" s="96" t="s">
        <v>596</v>
      </c>
      <c r="AB195" s="88" t="s">
        <v>105</v>
      </c>
      <c r="AC195" s="119">
        <v>46176</v>
      </c>
      <c r="AD195" s="88"/>
      <c r="AE195" s="88"/>
      <c r="AF195" s="98"/>
      <c r="AG195" s="98"/>
      <c r="AH195" s="98"/>
      <c r="AI195" s="99" t="s">
        <v>61</v>
      </c>
      <c r="AJ195" s="99" t="s">
        <v>61</v>
      </c>
      <c r="AK195" s="99" t="s">
        <v>61</v>
      </c>
      <c r="AL195" s="44" t="s">
        <v>62</v>
      </c>
      <c r="AM195" s="196" t="str">
        <f>MONTH(B195)&amp;"/"&amp;YEAR(B195)</f>
        <v>5/2026</v>
      </c>
      <c r="AN195" s="44">
        <f>WEEKNUM(B195)-WEEKNUM(EOMONTH(B195,-1)+1)+1</f>
        <v>2</v>
      </c>
      <c r="AO195" s="44" t="str">
        <f>MONTH(R195)&amp;"/"&amp;YEAR(R195)</f>
        <v>5/2026</v>
      </c>
      <c r="AP195" s="44">
        <f>WEEKNUM(R195)-WEEKNUM(EOMONTH(R195,-1)+1)+1</f>
        <v>3</v>
      </c>
      <c r="AQ195" s="44">
        <f>IF(AU195="S",IF(Q195="1. Aceitou o programa",R195-B195,0),0)</f>
        <v>6</v>
      </c>
      <c r="AR195" s="44">
        <f>IF(AU195="S",IF(AND(S195&lt;&gt;"",R195&lt;&gt;""),S195-R195,0),0)</f>
        <v>0</v>
      </c>
      <c r="AS195" s="44">
        <f>IF(AU195="S",IF(Q195="1. Aceitou o programa",IF(OR(X195="Não se Aplica",X195=""),IF(OR(W195="Não se Aplica",W195=""),0,W195-V195),AVERAGE(X195-W195,W195-V195)),0),0)</f>
        <v>0</v>
      </c>
      <c r="AT195" s="44">
        <f>IF(AU195="S",IF(AND(Q195="1. Aceitou o programa",AB195="Realizada"),IFERROR(IF(AA195="",0,AA195-R195),0),0),0)</f>
        <v>0</v>
      </c>
      <c r="AU195" s="44" t="str">
        <f>_xlfn.XLOOKUP(U195,'Lista Suspensa'!$AA$20:$AA$23,'Lista Suspensa'!$AB$20:$AB$23,"N/A")</f>
        <v>S</v>
      </c>
    </row>
    <row r="196" spans="1:47" ht="12" hidden="1" customHeight="1">
      <c r="A196" s="86" t="s">
        <v>47</v>
      </c>
      <c r="B196" s="87">
        <v>46147</v>
      </c>
      <c r="C196" s="88" t="s">
        <v>48</v>
      </c>
      <c r="D196" s="88" t="s">
        <v>49</v>
      </c>
      <c r="E196" s="89">
        <v>450188515</v>
      </c>
      <c r="F196" s="218" t="s">
        <v>597</v>
      </c>
      <c r="G196" s="91">
        <v>51925524868</v>
      </c>
      <c r="H196" s="92">
        <v>16619</v>
      </c>
      <c r="I196" s="88">
        <v>80</v>
      </c>
      <c r="J196" s="88" t="s">
        <v>64</v>
      </c>
      <c r="K196" s="88" t="s">
        <v>52</v>
      </c>
      <c r="L196" s="88" t="s">
        <v>133</v>
      </c>
      <c r="M196" s="88"/>
      <c r="N196" s="88" t="s">
        <v>54</v>
      </c>
      <c r="O196" s="93" t="s">
        <v>598</v>
      </c>
      <c r="P196" s="94" t="s">
        <v>56</v>
      </c>
      <c r="Q196" s="142" t="s">
        <v>57</v>
      </c>
      <c r="R196" s="95"/>
      <c r="S196" s="96">
        <v>46170</v>
      </c>
      <c r="T196" s="96" t="s">
        <v>58</v>
      </c>
      <c r="U196" s="96" t="s">
        <v>59</v>
      </c>
      <c r="V196" s="92">
        <v>46153</v>
      </c>
      <c r="W196" s="92">
        <v>46154</v>
      </c>
      <c r="X196" s="92">
        <v>46164</v>
      </c>
      <c r="Y196" s="97"/>
      <c r="Z196" s="88"/>
      <c r="AA196" s="96"/>
      <c r="AB196" s="88"/>
      <c r="AC196" s="119"/>
      <c r="AD196" s="88"/>
      <c r="AE196" s="88"/>
      <c r="AF196" s="98"/>
      <c r="AG196" s="98"/>
      <c r="AH196" s="98"/>
      <c r="AI196" s="99"/>
      <c r="AJ196" s="99"/>
      <c r="AK196" s="99"/>
      <c r="AL196" s="44" t="s">
        <v>62</v>
      </c>
      <c r="AM196" s="196" t="str">
        <f>MONTH(B196)&amp;"/"&amp;YEAR(B196)</f>
        <v>5/2026</v>
      </c>
      <c r="AN196" s="44">
        <f>WEEKNUM(B196)-WEEKNUM(EOMONTH(B196,-1)+1)+1</f>
        <v>2</v>
      </c>
      <c r="AO196" s="44" t="str">
        <f>MONTH(R196)&amp;"/"&amp;YEAR(R196)</f>
        <v>1/1900</v>
      </c>
      <c r="AP196" s="44" t="e">
        <f>WEEKNUM(R196)-WEEKNUM(EOMONTH(R196,-1)+1)+1</f>
        <v>#NUM!</v>
      </c>
      <c r="AQ196" s="44">
        <f>IF(AU196="S",IF(Q196="1. Aceitou o programa",R196-B196,0),0)</f>
        <v>0</v>
      </c>
      <c r="AR196" s="44">
        <f>IF(AU196="S",IF(AND(S196&lt;&gt;"",R196&lt;&gt;""),S196-R196,0),0)</f>
        <v>0</v>
      </c>
      <c r="AS196" s="44">
        <f>IF(AU196="S",IF(Q196="1. Aceitou o programa",IF(OR(X196="Não se Aplica",X196=""),IF(OR(W196="Não se Aplica",W196=""),0,W196-V196),AVERAGE(X196-W196,W196-V196)),0),0)</f>
        <v>0</v>
      </c>
      <c r="AT196" s="44">
        <f>IF(AU196="S",IF(AND(Q196="1. Aceitou o programa",AB196="Realizada"),IFERROR(IF(AA196="",0,AA196-R196),0),0),0)</f>
        <v>0</v>
      </c>
      <c r="AU196" s="44" t="str">
        <f>_xlfn.XLOOKUP(U196,'Lista Suspensa'!$AA$20:$AA$23,'Lista Suspensa'!$AB$20:$AB$23,"N/A")</f>
        <v>S</v>
      </c>
    </row>
    <row r="197" spans="1:47" ht="12" hidden="1" customHeight="1">
      <c r="A197" s="86" t="s">
        <v>47</v>
      </c>
      <c r="B197" s="87">
        <v>46147</v>
      </c>
      <c r="C197" s="88" t="s">
        <v>48</v>
      </c>
      <c r="D197" s="88" t="s">
        <v>49</v>
      </c>
      <c r="E197" s="89">
        <v>85518490</v>
      </c>
      <c r="F197" s="218" t="s">
        <v>599</v>
      </c>
      <c r="G197" s="91">
        <v>13036688749</v>
      </c>
      <c r="H197" s="92">
        <v>14831</v>
      </c>
      <c r="I197" s="88">
        <v>85</v>
      </c>
      <c r="J197" s="88" t="s">
        <v>51</v>
      </c>
      <c r="K197" s="88" t="s">
        <v>80</v>
      </c>
      <c r="L197" s="88" t="s">
        <v>87</v>
      </c>
      <c r="M197" s="88"/>
      <c r="N197" s="88" t="s">
        <v>91</v>
      </c>
      <c r="O197" s="93" t="s">
        <v>600</v>
      </c>
      <c r="P197" s="94" t="s">
        <v>56</v>
      </c>
      <c r="Q197" s="142" t="s">
        <v>68</v>
      </c>
      <c r="R197" s="95">
        <v>46153</v>
      </c>
      <c r="S197" s="96"/>
      <c r="T197" s="96" t="s">
        <v>69</v>
      </c>
      <c r="U197" s="96" t="s">
        <v>70</v>
      </c>
      <c r="V197" s="92">
        <v>46153</v>
      </c>
      <c r="W197" s="92" t="s">
        <v>71</v>
      </c>
      <c r="X197" s="92" t="s">
        <v>71</v>
      </c>
      <c r="Y197" s="97"/>
      <c r="Z197" s="88" t="s">
        <v>72</v>
      </c>
      <c r="AA197" s="96" t="s">
        <v>601</v>
      </c>
      <c r="AB197" s="88" t="s">
        <v>74</v>
      </c>
      <c r="AC197" s="119"/>
      <c r="AD197" s="88" t="s">
        <v>97</v>
      </c>
      <c r="AE197" s="88">
        <v>50</v>
      </c>
      <c r="AF197" s="98" t="s">
        <v>85</v>
      </c>
      <c r="AG197" s="98" t="s">
        <v>85</v>
      </c>
      <c r="AH197" s="98" t="s">
        <v>77</v>
      </c>
      <c r="AI197" s="99" t="s">
        <v>61</v>
      </c>
      <c r="AJ197" s="99" t="s">
        <v>61</v>
      </c>
      <c r="AK197" s="99" t="s">
        <v>61</v>
      </c>
      <c r="AL197" s="44" t="s">
        <v>62</v>
      </c>
      <c r="AM197" s="196" t="str">
        <f>MONTH(B197)&amp;"/"&amp;YEAR(B197)</f>
        <v>5/2026</v>
      </c>
      <c r="AN197" s="44">
        <f>WEEKNUM(B197)-WEEKNUM(EOMONTH(B197,-1)+1)+1</f>
        <v>2</v>
      </c>
      <c r="AO197" s="44" t="str">
        <f>MONTH(R197)&amp;"/"&amp;YEAR(R197)</f>
        <v>5/2026</v>
      </c>
      <c r="AP197" s="44">
        <f>WEEKNUM(R197)-WEEKNUM(EOMONTH(R197,-1)+1)+1</f>
        <v>3</v>
      </c>
      <c r="AQ197" s="44">
        <f>IF(AU197="S",IF(Q197="1. Aceitou o programa",R197-B197,0),0)</f>
        <v>6</v>
      </c>
      <c r="AR197" s="44">
        <f>IF(AU197="S",IF(AND(S197&lt;&gt;"",R197&lt;&gt;""),S197-R197,0),0)</f>
        <v>0</v>
      </c>
      <c r="AS197" s="44">
        <f>IF(AU197="S",IF(Q197="1. Aceitou o programa",IF(OR(X197="Não se Aplica",X197=""),IF(OR(W197="Não se Aplica",W197=""),0,W197-V197),AVERAGE(X197-W197,W197-V197)),0),0)</f>
        <v>0</v>
      </c>
      <c r="AT197" s="44">
        <f>IF(AU197="S",IF(AND(Q197="1. Aceitou o programa",AB197="Realizada"),IFERROR(IF(AA197="",0,AA197-R197),0),0),0)</f>
        <v>14.680555555554747</v>
      </c>
      <c r="AU197" s="44" t="str">
        <f>_xlfn.XLOOKUP(U197,'Lista Suspensa'!$AA$20:$AA$23,'Lista Suspensa'!$AB$20:$AB$23,"N/A")</f>
        <v>S</v>
      </c>
    </row>
    <row r="198" spans="1:47" ht="12" hidden="1" customHeight="1">
      <c r="A198" s="86" t="s">
        <v>47</v>
      </c>
      <c r="B198" s="87">
        <v>46147</v>
      </c>
      <c r="C198" s="88" t="s">
        <v>48</v>
      </c>
      <c r="D198" s="88" t="s">
        <v>49</v>
      </c>
      <c r="E198" s="89">
        <v>78888093</v>
      </c>
      <c r="F198" s="218" t="s">
        <v>602</v>
      </c>
      <c r="G198" s="91">
        <v>7234167706</v>
      </c>
      <c r="H198" s="92">
        <v>28242</v>
      </c>
      <c r="I198" s="88">
        <v>49</v>
      </c>
      <c r="J198" s="88" t="s">
        <v>51</v>
      </c>
      <c r="K198" s="88" t="s">
        <v>80</v>
      </c>
      <c r="L198" s="88" t="s">
        <v>87</v>
      </c>
      <c r="M198" s="88"/>
      <c r="N198" s="88" t="s">
        <v>91</v>
      </c>
      <c r="O198" s="93" t="s">
        <v>603</v>
      </c>
      <c r="P198" s="94" t="s">
        <v>56</v>
      </c>
      <c r="Q198" s="142" t="s">
        <v>68</v>
      </c>
      <c r="R198" s="95">
        <v>46154</v>
      </c>
      <c r="S198" s="96"/>
      <c r="T198" s="96" t="s">
        <v>69</v>
      </c>
      <c r="U198" s="96" t="s">
        <v>70</v>
      </c>
      <c r="V198" s="92">
        <v>46153</v>
      </c>
      <c r="W198" s="92">
        <v>46154</v>
      </c>
      <c r="X198" s="92" t="s">
        <v>71</v>
      </c>
      <c r="Y198" s="97"/>
      <c r="Z198" s="88" t="s">
        <v>72</v>
      </c>
      <c r="AA198" s="96" t="s">
        <v>604</v>
      </c>
      <c r="AB198" s="88"/>
      <c r="AC198" s="119">
        <v>46174</v>
      </c>
      <c r="AD198" s="88"/>
      <c r="AE198" s="88"/>
      <c r="AF198" s="98"/>
      <c r="AG198" s="98"/>
      <c r="AH198" s="98"/>
      <c r="AI198" s="99" t="s">
        <v>61</v>
      </c>
      <c r="AJ198" s="99" t="s">
        <v>61</v>
      </c>
      <c r="AK198" s="99" t="s">
        <v>61</v>
      </c>
      <c r="AL198" s="44" t="s">
        <v>62</v>
      </c>
      <c r="AM198" s="196" t="str">
        <f>MONTH(B198)&amp;"/"&amp;YEAR(B198)</f>
        <v>5/2026</v>
      </c>
      <c r="AN198" s="44">
        <f>WEEKNUM(B198)-WEEKNUM(EOMONTH(B198,-1)+1)+1</f>
        <v>2</v>
      </c>
      <c r="AO198" s="44" t="str">
        <f>MONTH(R198)&amp;"/"&amp;YEAR(R198)</f>
        <v>5/2026</v>
      </c>
      <c r="AP198" s="44">
        <f>WEEKNUM(R198)-WEEKNUM(EOMONTH(R198,-1)+1)+1</f>
        <v>3</v>
      </c>
      <c r="AQ198" s="44">
        <f>IF(AU198="S",IF(Q198="1. Aceitou o programa",R198-B198,0),0)</f>
        <v>7</v>
      </c>
      <c r="AR198" s="44">
        <f>IF(AU198="S",IF(AND(S198&lt;&gt;"",R198&lt;&gt;""),S198-R198,0),0)</f>
        <v>0</v>
      </c>
      <c r="AS198" s="44">
        <f>IF(AU198="S",IF(Q198="1. Aceitou o programa",IF(OR(X198="Não se Aplica",X198=""),IF(OR(W198="Não se Aplica",W198=""),0,W198-V198),AVERAGE(X198-W198,W198-V198)),0),0)</f>
        <v>1</v>
      </c>
      <c r="AT198" s="44">
        <f>IF(AU198="S",IF(AND(Q198="1. Aceitou o programa",AB198="Realizada"),IFERROR(IF(AA198="",0,AA198-R198),0),0),0)</f>
        <v>0</v>
      </c>
      <c r="AU198" s="44" t="str">
        <f>_xlfn.XLOOKUP(U198,'Lista Suspensa'!$AA$20:$AA$23,'Lista Suspensa'!$AB$20:$AB$23,"N/A")</f>
        <v>S</v>
      </c>
    </row>
    <row r="199" spans="1:47" ht="12" hidden="1" customHeight="1">
      <c r="A199" s="86" t="s">
        <v>47</v>
      </c>
      <c r="B199" s="87">
        <v>46147</v>
      </c>
      <c r="C199" s="88" t="s">
        <v>48</v>
      </c>
      <c r="D199" s="88" t="s">
        <v>49</v>
      </c>
      <c r="E199" s="89">
        <v>93980335</v>
      </c>
      <c r="F199" s="218" t="s">
        <v>605</v>
      </c>
      <c r="G199" s="91">
        <v>93345330725</v>
      </c>
      <c r="H199" s="92">
        <v>24841</v>
      </c>
      <c r="I199" s="88">
        <v>58</v>
      </c>
      <c r="J199" s="88" t="s">
        <v>64</v>
      </c>
      <c r="K199" s="88" t="s">
        <v>80</v>
      </c>
      <c r="L199" s="88" t="s">
        <v>87</v>
      </c>
      <c r="M199" s="88"/>
      <c r="N199" s="88" t="s">
        <v>143</v>
      </c>
      <c r="O199" s="93" t="s">
        <v>606</v>
      </c>
      <c r="P199" s="94" t="s">
        <v>56</v>
      </c>
      <c r="Q199" s="142" t="s">
        <v>68</v>
      </c>
      <c r="R199" s="95">
        <v>46153</v>
      </c>
      <c r="S199" s="96"/>
      <c r="T199" s="96" t="s">
        <v>69</v>
      </c>
      <c r="U199" s="96" t="s">
        <v>70</v>
      </c>
      <c r="V199" s="92">
        <v>46153</v>
      </c>
      <c r="W199" s="92" t="s">
        <v>71</v>
      </c>
      <c r="X199" s="92" t="s">
        <v>71</v>
      </c>
      <c r="Y199" s="97"/>
      <c r="Z199" s="88" t="s">
        <v>72</v>
      </c>
      <c r="AA199" s="96" t="s">
        <v>607</v>
      </c>
      <c r="AB199" s="88" t="s">
        <v>105</v>
      </c>
      <c r="AC199" s="119">
        <v>46178</v>
      </c>
      <c r="AD199" s="88"/>
      <c r="AE199" s="88"/>
      <c r="AF199" s="98"/>
      <c r="AG199" s="98"/>
      <c r="AH199" s="98"/>
      <c r="AI199" s="99" t="s">
        <v>61</v>
      </c>
      <c r="AJ199" s="99" t="s">
        <v>61</v>
      </c>
      <c r="AK199" s="99" t="s">
        <v>61</v>
      </c>
      <c r="AL199" s="44" t="s">
        <v>62</v>
      </c>
      <c r="AM199" s="196" t="str">
        <f>MONTH(B199)&amp;"/"&amp;YEAR(B199)</f>
        <v>5/2026</v>
      </c>
      <c r="AN199" s="44">
        <f>WEEKNUM(B199)-WEEKNUM(EOMONTH(B199,-1)+1)+1</f>
        <v>2</v>
      </c>
      <c r="AO199" s="44" t="str">
        <f>MONTH(R199)&amp;"/"&amp;YEAR(R199)</f>
        <v>5/2026</v>
      </c>
      <c r="AP199" s="44">
        <f>WEEKNUM(R199)-WEEKNUM(EOMONTH(R199,-1)+1)+1</f>
        <v>3</v>
      </c>
      <c r="AQ199" s="44">
        <f>IF(AU199="S",IF(Q199="1. Aceitou o programa",R199-B199,0),0)</f>
        <v>6</v>
      </c>
      <c r="AR199" s="44">
        <f>IF(AU199="S",IF(AND(S199&lt;&gt;"",R199&lt;&gt;""),S199-R199,0),0)</f>
        <v>0</v>
      </c>
      <c r="AS199" s="44">
        <f>IF(AU199="S",IF(Q199="1. Aceitou o programa",IF(OR(X199="Não se Aplica",X199=""),IF(OR(W199="Não se Aplica",W199=""),0,W199-V199),AVERAGE(X199-W199,W199-V199)),0),0)</f>
        <v>0</v>
      </c>
      <c r="AT199" s="44">
        <f>IF(AU199="S",IF(AND(Q199="1. Aceitou o programa",AB199="Realizada"),IFERROR(IF(AA199="",0,AA199-R199),0),0),0)</f>
        <v>0</v>
      </c>
      <c r="AU199" s="44" t="str">
        <f>_xlfn.XLOOKUP(U199,'Lista Suspensa'!$AA$20:$AA$23,'Lista Suspensa'!$AB$20:$AB$23,"N/A")</f>
        <v>S</v>
      </c>
    </row>
    <row r="200" spans="1:47" ht="12" hidden="1" customHeight="1">
      <c r="A200" s="86" t="s">
        <v>47</v>
      </c>
      <c r="B200" s="87">
        <v>46147</v>
      </c>
      <c r="C200" s="88" t="s">
        <v>48</v>
      </c>
      <c r="D200" s="88" t="s">
        <v>49</v>
      </c>
      <c r="E200" s="89">
        <v>78113769</v>
      </c>
      <c r="F200" s="218" t="s">
        <v>608</v>
      </c>
      <c r="G200" s="91">
        <v>36062324700</v>
      </c>
      <c r="H200" s="92">
        <v>18857</v>
      </c>
      <c r="I200" s="88">
        <v>74</v>
      </c>
      <c r="J200" s="88" t="s">
        <v>51</v>
      </c>
      <c r="K200" s="88" t="s">
        <v>80</v>
      </c>
      <c r="L200" s="88" t="s">
        <v>87</v>
      </c>
      <c r="M200" s="88"/>
      <c r="N200" s="88" t="s">
        <v>91</v>
      </c>
      <c r="O200" s="93" t="s">
        <v>609</v>
      </c>
      <c r="P200" s="94" t="s">
        <v>56</v>
      </c>
      <c r="Q200" s="142" t="s">
        <v>68</v>
      </c>
      <c r="R200" s="95">
        <v>46153</v>
      </c>
      <c r="S200" s="96"/>
      <c r="T200" s="96" t="s">
        <v>69</v>
      </c>
      <c r="U200" s="96" t="s">
        <v>70</v>
      </c>
      <c r="V200" s="92">
        <v>46153</v>
      </c>
      <c r="W200" s="92" t="s">
        <v>71</v>
      </c>
      <c r="X200" s="92" t="s">
        <v>71</v>
      </c>
      <c r="Y200" s="97"/>
      <c r="Z200" s="88" t="s">
        <v>72</v>
      </c>
      <c r="AA200" s="96">
        <v>46185</v>
      </c>
      <c r="AB200" s="88" t="s">
        <v>105</v>
      </c>
      <c r="AC200" s="119">
        <v>46195</v>
      </c>
      <c r="AD200" s="88"/>
      <c r="AE200" s="88"/>
      <c r="AF200" s="98"/>
      <c r="AG200" s="98"/>
      <c r="AH200" s="98"/>
      <c r="AI200" s="99" t="s">
        <v>61</v>
      </c>
      <c r="AJ200" s="99" t="s">
        <v>61</v>
      </c>
      <c r="AK200" s="99" t="s">
        <v>61</v>
      </c>
      <c r="AL200" s="44" t="s">
        <v>62</v>
      </c>
      <c r="AM200" s="196" t="str">
        <f>MONTH(B200)&amp;"/"&amp;YEAR(B200)</f>
        <v>5/2026</v>
      </c>
      <c r="AN200" s="44">
        <f>WEEKNUM(B200)-WEEKNUM(EOMONTH(B200,-1)+1)+1</f>
        <v>2</v>
      </c>
      <c r="AO200" s="44" t="str">
        <f>MONTH(R200)&amp;"/"&amp;YEAR(R200)</f>
        <v>5/2026</v>
      </c>
      <c r="AP200" s="44">
        <f>WEEKNUM(R200)-WEEKNUM(EOMONTH(R200,-1)+1)+1</f>
        <v>3</v>
      </c>
      <c r="AQ200" s="44">
        <f>IF(AU200="S",IF(Q200="1. Aceitou o programa",R200-B200,0),0)</f>
        <v>6</v>
      </c>
      <c r="AR200" s="44">
        <f>IF(AU200="S",IF(AND(S200&lt;&gt;"",R200&lt;&gt;""),S200-R200,0),0)</f>
        <v>0</v>
      </c>
      <c r="AS200" s="44">
        <f>IF(AU200="S",IF(Q200="1. Aceitou o programa",IF(OR(X200="Não se Aplica",X200=""),IF(OR(W200="Não se Aplica",W200=""),0,W200-V200),AVERAGE(X200-W200,W200-V200)),0),0)</f>
        <v>0</v>
      </c>
      <c r="AT200" s="44">
        <f>IF(AU200="S",IF(AND(Q200="1. Aceitou o programa",AB200="Realizada"),IFERROR(IF(AA200="",0,AA200-R200),0),0),0)</f>
        <v>0</v>
      </c>
      <c r="AU200" s="44" t="str">
        <f>_xlfn.XLOOKUP(U200,'Lista Suspensa'!$AA$20:$AA$23,'Lista Suspensa'!$AB$20:$AB$23,"N/A")</f>
        <v>S</v>
      </c>
    </row>
    <row r="201" spans="1:47" ht="12" hidden="1" customHeight="1">
      <c r="A201" s="86" t="s">
        <v>47</v>
      </c>
      <c r="B201" s="87">
        <v>46147</v>
      </c>
      <c r="C201" s="88" t="s">
        <v>48</v>
      </c>
      <c r="D201" s="88" t="s">
        <v>49</v>
      </c>
      <c r="E201" s="89">
        <v>756240638</v>
      </c>
      <c r="F201" s="218" t="s">
        <v>610</v>
      </c>
      <c r="G201" s="91">
        <v>49190415787</v>
      </c>
      <c r="H201" s="92">
        <v>21480</v>
      </c>
      <c r="I201" s="88">
        <v>67</v>
      </c>
      <c r="J201" s="88" t="s">
        <v>51</v>
      </c>
      <c r="K201" s="88" t="s">
        <v>80</v>
      </c>
      <c r="L201" s="88" t="s">
        <v>87</v>
      </c>
      <c r="M201" s="88"/>
      <c r="N201" s="88" t="s">
        <v>54</v>
      </c>
      <c r="O201" s="93" t="s">
        <v>611</v>
      </c>
      <c r="P201" s="94" t="s">
        <v>56</v>
      </c>
      <c r="Q201" s="142" t="s">
        <v>57</v>
      </c>
      <c r="R201" s="95"/>
      <c r="S201" s="96">
        <v>46170</v>
      </c>
      <c r="T201" s="96" t="s">
        <v>58</v>
      </c>
      <c r="U201" s="96" t="s">
        <v>59</v>
      </c>
      <c r="V201" s="92">
        <v>46153</v>
      </c>
      <c r="W201" s="92">
        <v>46154</v>
      </c>
      <c r="X201" s="92">
        <v>46164</v>
      </c>
      <c r="Y201" s="97"/>
      <c r="Z201" s="88"/>
      <c r="AA201" s="96"/>
      <c r="AB201" s="88"/>
      <c r="AC201" s="119"/>
      <c r="AD201" s="88"/>
      <c r="AE201" s="88"/>
      <c r="AF201" s="98"/>
      <c r="AG201" s="98"/>
      <c r="AH201" s="98"/>
      <c r="AI201" s="99"/>
      <c r="AJ201" s="99"/>
      <c r="AK201" s="99"/>
      <c r="AL201" s="44" t="s">
        <v>62</v>
      </c>
      <c r="AM201" s="196" t="str">
        <f>MONTH(B201)&amp;"/"&amp;YEAR(B201)</f>
        <v>5/2026</v>
      </c>
      <c r="AN201" s="44">
        <f>WEEKNUM(B201)-WEEKNUM(EOMONTH(B201,-1)+1)+1</f>
        <v>2</v>
      </c>
      <c r="AO201" s="44" t="str">
        <f>MONTH(R201)&amp;"/"&amp;YEAR(R201)</f>
        <v>1/1900</v>
      </c>
      <c r="AP201" s="44" t="e">
        <f>WEEKNUM(R201)-WEEKNUM(EOMONTH(R201,-1)+1)+1</f>
        <v>#NUM!</v>
      </c>
      <c r="AQ201" s="44">
        <f>IF(AU201="S",IF(Q201="1. Aceitou o programa",R201-B201,0),0)</f>
        <v>0</v>
      </c>
      <c r="AR201" s="44">
        <f>IF(AU201="S",IF(AND(S201&lt;&gt;"",R201&lt;&gt;""),S201-R201,0),0)</f>
        <v>0</v>
      </c>
      <c r="AS201" s="44">
        <f>IF(AU201="S",IF(Q201="1. Aceitou o programa",IF(OR(X201="Não se Aplica",X201=""),IF(OR(W201="Não se Aplica",W201=""),0,W201-V201),AVERAGE(X201-W201,W201-V201)),0),0)</f>
        <v>0</v>
      </c>
      <c r="AT201" s="44">
        <f>IF(AU201="S",IF(AND(Q201="1. Aceitou o programa",AB201="Realizada"),IFERROR(IF(AA201="",0,AA201-R201),0),0),0)</f>
        <v>0</v>
      </c>
      <c r="AU201" s="44" t="str">
        <f>_xlfn.XLOOKUP(U201,'Lista Suspensa'!$AA$20:$AA$23,'Lista Suspensa'!$AB$20:$AB$23,"N/A")</f>
        <v>S</v>
      </c>
    </row>
    <row r="202" spans="1:47" ht="12" hidden="1" customHeight="1">
      <c r="A202" s="86" t="s">
        <v>47</v>
      </c>
      <c r="B202" s="87">
        <v>46147</v>
      </c>
      <c r="C202" s="88" t="s">
        <v>48</v>
      </c>
      <c r="D202" s="88" t="s">
        <v>49</v>
      </c>
      <c r="E202" s="89">
        <v>94658046</v>
      </c>
      <c r="F202" s="218" t="s">
        <v>612</v>
      </c>
      <c r="G202" s="91">
        <v>96921323587</v>
      </c>
      <c r="H202" s="92">
        <v>28043</v>
      </c>
      <c r="I202" s="88">
        <v>49</v>
      </c>
      <c r="J202" s="88" t="s">
        <v>51</v>
      </c>
      <c r="K202" s="88" t="s">
        <v>52</v>
      </c>
      <c r="L202" s="88" t="s">
        <v>53</v>
      </c>
      <c r="M202" s="88"/>
      <c r="N202" s="88" t="s">
        <v>66</v>
      </c>
      <c r="O202" s="93" t="s">
        <v>613</v>
      </c>
      <c r="P202" s="94" t="s">
        <v>56</v>
      </c>
      <c r="Q202" s="142" t="s">
        <v>68</v>
      </c>
      <c r="R202" s="95">
        <v>46153</v>
      </c>
      <c r="S202" s="96"/>
      <c r="T202" s="96" t="s">
        <v>69</v>
      </c>
      <c r="U202" s="96" t="s">
        <v>70</v>
      </c>
      <c r="V202" s="92">
        <v>46153</v>
      </c>
      <c r="W202" s="92" t="s">
        <v>71</v>
      </c>
      <c r="X202" s="92" t="s">
        <v>71</v>
      </c>
      <c r="Y202" s="97"/>
      <c r="Z202" s="88" t="s">
        <v>72</v>
      </c>
      <c r="AA202" s="96" t="s">
        <v>614</v>
      </c>
      <c r="AB202" s="88" t="s">
        <v>74</v>
      </c>
      <c r="AC202" s="119">
        <v>46177</v>
      </c>
      <c r="AD202" s="88" t="s">
        <v>75</v>
      </c>
      <c r="AE202" s="88">
        <v>63</v>
      </c>
      <c r="AF202" s="98" t="s">
        <v>242</v>
      </c>
      <c r="AG202" s="98" t="s">
        <v>242</v>
      </c>
      <c r="AH202" s="98" t="s">
        <v>77</v>
      </c>
      <c r="AI202" s="99" t="s">
        <v>61</v>
      </c>
      <c r="AJ202" s="99" t="s">
        <v>61</v>
      </c>
      <c r="AK202" s="99" t="s">
        <v>61</v>
      </c>
      <c r="AL202" s="44" t="s">
        <v>62</v>
      </c>
      <c r="AM202" s="196" t="str">
        <f>MONTH(B202)&amp;"/"&amp;YEAR(B202)</f>
        <v>5/2026</v>
      </c>
      <c r="AN202" s="44">
        <f>WEEKNUM(B202)-WEEKNUM(EOMONTH(B202,-1)+1)+1</f>
        <v>2</v>
      </c>
      <c r="AO202" s="44" t="str">
        <f>MONTH(R202)&amp;"/"&amp;YEAR(R202)</f>
        <v>5/2026</v>
      </c>
      <c r="AP202" s="44">
        <f>WEEKNUM(R202)-WEEKNUM(EOMONTH(R202,-1)+1)+1</f>
        <v>3</v>
      </c>
      <c r="AQ202" s="44">
        <f>IF(AU202="S",IF(Q202="1. Aceitou o programa",R202-B202,0),0)</f>
        <v>6</v>
      </c>
      <c r="AR202" s="44">
        <f>IF(AU202="S",IF(AND(S202&lt;&gt;"",R202&lt;&gt;""),S202-R202,0),0)</f>
        <v>0</v>
      </c>
      <c r="AS202" s="44">
        <f>IF(AU202="S",IF(Q202="1. Aceitou o programa",IF(OR(X202="Não se Aplica",X202=""),IF(OR(W202="Não se Aplica",W202=""),0,W202-V202),AVERAGE(X202-W202,W202-V202)),0),0)</f>
        <v>0</v>
      </c>
      <c r="AT202" s="44">
        <f>IF(AU202="S",IF(AND(Q202="1. Aceitou o programa",AB202="Realizada"),IFERROR(IF(AA202="",0,AA202-R202),0),0),0)</f>
        <v>15.444444444445253</v>
      </c>
      <c r="AU202" s="44" t="str">
        <f>_xlfn.XLOOKUP(U202,'Lista Suspensa'!$AA$20:$AA$23,'Lista Suspensa'!$AB$20:$AB$23,"N/A")</f>
        <v>S</v>
      </c>
    </row>
    <row r="203" spans="1:47" ht="12" hidden="1" customHeight="1">
      <c r="A203" s="86" t="s">
        <v>47</v>
      </c>
      <c r="B203" s="87">
        <v>46147</v>
      </c>
      <c r="C203" s="88" t="s">
        <v>48</v>
      </c>
      <c r="D203" s="88" t="s">
        <v>49</v>
      </c>
      <c r="E203" s="89">
        <v>88364649</v>
      </c>
      <c r="F203" s="218" t="s">
        <v>615</v>
      </c>
      <c r="G203" s="91">
        <v>2613562757</v>
      </c>
      <c r="H203" s="92">
        <v>26183</v>
      </c>
      <c r="I203" s="88">
        <v>54</v>
      </c>
      <c r="J203" s="88" t="s">
        <v>51</v>
      </c>
      <c r="K203" s="88" t="s">
        <v>80</v>
      </c>
      <c r="L203" s="88" t="s">
        <v>87</v>
      </c>
      <c r="M203" s="88"/>
      <c r="N203" s="88" t="s">
        <v>94</v>
      </c>
      <c r="O203" s="93" t="s">
        <v>616</v>
      </c>
      <c r="P203" s="94" t="s">
        <v>56</v>
      </c>
      <c r="Q203" s="142" t="s">
        <v>68</v>
      </c>
      <c r="R203" s="95">
        <v>46171</v>
      </c>
      <c r="S203" s="96"/>
      <c r="T203" s="96" t="s">
        <v>69</v>
      </c>
      <c r="U203" s="96" t="s">
        <v>70</v>
      </c>
      <c r="V203" s="92">
        <v>46153</v>
      </c>
      <c r="W203" s="92">
        <v>46154</v>
      </c>
      <c r="X203" s="92">
        <v>46164</v>
      </c>
      <c r="Y203" s="97"/>
      <c r="Z203" s="88" t="s">
        <v>72</v>
      </c>
      <c r="AA203" s="96">
        <v>46175</v>
      </c>
      <c r="AB203" s="88"/>
      <c r="AC203" s="119">
        <v>46175</v>
      </c>
      <c r="AD203" s="88"/>
      <c r="AE203" s="88"/>
      <c r="AF203" s="98"/>
      <c r="AG203" s="98"/>
      <c r="AH203" s="98"/>
      <c r="AI203" s="99"/>
      <c r="AJ203" s="99" t="s">
        <v>61</v>
      </c>
      <c r="AK203" s="99" t="s">
        <v>78</v>
      </c>
      <c r="AL203" s="44" t="s">
        <v>62</v>
      </c>
      <c r="AM203" s="196" t="str">
        <f>MONTH(B203)&amp;"/"&amp;YEAR(B203)</f>
        <v>5/2026</v>
      </c>
      <c r="AN203" s="44">
        <f>WEEKNUM(B203)-WEEKNUM(EOMONTH(B203,-1)+1)+1</f>
        <v>2</v>
      </c>
      <c r="AO203" s="44" t="str">
        <f>MONTH(R203)&amp;"/"&amp;YEAR(R203)</f>
        <v>5/2026</v>
      </c>
      <c r="AP203" s="44">
        <f>WEEKNUM(R203)-WEEKNUM(EOMONTH(R203,-1)+1)+1</f>
        <v>5</v>
      </c>
      <c r="AQ203" s="44">
        <f>IF(AU203="S",IF(Q203="1. Aceitou o programa",R203-B203,0),0)</f>
        <v>24</v>
      </c>
      <c r="AR203" s="44">
        <f>IF(AU203="S",IF(AND(S203&lt;&gt;"",R203&lt;&gt;""),S203-R203,0),0)</f>
        <v>0</v>
      </c>
      <c r="AS203" s="44">
        <f>IF(AU203="S",IF(Q203="1. Aceitou o programa",IF(OR(X203="Não se Aplica",X203=""),IF(OR(W203="Não se Aplica",W203=""),0,W203-V203),AVERAGE(X203-W203,W203-V203)),0),0)</f>
        <v>5.5</v>
      </c>
      <c r="AT203" s="44">
        <f>IF(AU203="S",IF(AND(Q203="1. Aceitou o programa",AB203="Realizada"),IFERROR(IF(AA203="",0,AA203-R203),0),0),0)</f>
        <v>0</v>
      </c>
      <c r="AU203" s="44" t="str">
        <f>_xlfn.XLOOKUP(U203,'Lista Suspensa'!$AA$20:$AA$23,'Lista Suspensa'!$AB$20:$AB$23,"N/A")</f>
        <v>S</v>
      </c>
    </row>
    <row r="204" spans="1:47" ht="12" hidden="1" customHeight="1">
      <c r="A204" s="86" t="s">
        <v>47</v>
      </c>
      <c r="B204" s="87">
        <v>46147</v>
      </c>
      <c r="C204" s="88" t="s">
        <v>48</v>
      </c>
      <c r="D204" s="88" t="s">
        <v>49</v>
      </c>
      <c r="E204" s="89">
        <v>115639349</v>
      </c>
      <c r="F204" s="218" t="s">
        <v>617</v>
      </c>
      <c r="G204" s="91">
        <v>28932773815</v>
      </c>
      <c r="H204" s="92">
        <v>17125</v>
      </c>
      <c r="I204" s="88">
        <v>79</v>
      </c>
      <c r="J204" s="88" t="s">
        <v>51</v>
      </c>
      <c r="K204" s="88" t="s">
        <v>80</v>
      </c>
      <c r="L204" s="88" t="s">
        <v>87</v>
      </c>
      <c r="M204" s="88"/>
      <c r="N204" s="88" t="s">
        <v>223</v>
      </c>
      <c r="O204" s="93" t="s">
        <v>618</v>
      </c>
      <c r="P204" s="94" t="s">
        <v>56</v>
      </c>
      <c r="Q204" s="142" t="s">
        <v>68</v>
      </c>
      <c r="R204" s="95">
        <v>46153</v>
      </c>
      <c r="S204" s="96"/>
      <c r="T204" s="96" t="s">
        <v>69</v>
      </c>
      <c r="U204" s="96" t="s">
        <v>70</v>
      </c>
      <c r="V204" s="92">
        <v>46153</v>
      </c>
      <c r="W204" s="92" t="s">
        <v>71</v>
      </c>
      <c r="X204" s="92" t="s">
        <v>71</v>
      </c>
      <c r="Y204" s="97"/>
      <c r="Z204" s="88"/>
      <c r="AA204" s="96"/>
      <c r="AB204" s="88"/>
      <c r="AC204" s="119"/>
      <c r="AD204" s="88"/>
      <c r="AE204" s="88"/>
      <c r="AF204" s="98"/>
      <c r="AG204" s="98"/>
      <c r="AH204" s="98"/>
      <c r="AI204" s="99" t="s">
        <v>61</v>
      </c>
      <c r="AJ204" s="99" t="s">
        <v>61</v>
      </c>
      <c r="AK204" s="99" t="s">
        <v>61</v>
      </c>
      <c r="AL204" s="44" t="s">
        <v>62</v>
      </c>
      <c r="AM204" s="196" t="str">
        <f>MONTH(B204)&amp;"/"&amp;YEAR(B204)</f>
        <v>5/2026</v>
      </c>
      <c r="AN204" s="44">
        <f>WEEKNUM(B204)-WEEKNUM(EOMONTH(B204,-1)+1)+1</f>
        <v>2</v>
      </c>
      <c r="AO204" s="44" t="str">
        <f>MONTH(R204)&amp;"/"&amp;YEAR(R204)</f>
        <v>5/2026</v>
      </c>
      <c r="AP204" s="44">
        <f>WEEKNUM(R204)-WEEKNUM(EOMONTH(R204,-1)+1)+1</f>
        <v>3</v>
      </c>
      <c r="AQ204" s="44">
        <f>IF(AU204="S",IF(Q204="1. Aceitou o programa",R204-B204,0),0)</f>
        <v>6</v>
      </c>
      <c r="AR204" s="44">
        <f>IF(AU204="S",IF(AND(S204&lt;&gt;"",R204&lt;&gt;""),S204-R204,0),0)</f>
        <v>0</v>
      </c>
      <c r="AS204" s="44">
        <f>IF(AU204="S",IF(Q204="1. Aceitou o programa",IF(OR(X204="Não se Aplica",X204=""),IF(OR(W204="Não se Aplica",W204=""),0,W204-V204),AVERAGE(X204-W204,W204-V204)),0),0)</f>
        <v>0</v>
      </c>
      <c r="AT204" s="44">
        <f>IF(AU204="S",IF(AND(Q204="1. Aceitou o programa",AB204="Realizada"),IFERROR(IF(AA204="",0,AA204-R204),0),0),0)</f>
        <v>0</v>
      </c>
      <c r="AU204" s="44" t="str">
        <f>_xlfn.XLOOKUP(U204,'Lista Suspensa'!$AA$20:$AA$23,'Lista Suspensa'!$AB$20:$AB$23,"N/A")</f>
        <v>S</v>
      </c>
    </row>
    <row r="205" spans="1:47" ht="12" hidden="1" customHeight="1">
      <c r="A205" s="86" t="s">
        <v>47</v>
      </c>
      <c r="B205" s="87">
        <v>46147</v>
      </c>
      <c r="C205" s="88" t="s">
        <v>48</v>
      </c>
      <c r="D205" s="88" t="s">
        <v>49</v>
      </c>
      <c r="E205" s="89">
        <v>12833924</v>
      </c>
      <c r="F205" s="218" t="s">
        <v>619</v>
      </c>
      <c r="G205" s="91">
        <v>97775320753</v>
      </c>
      <c r="H205" s="92">
        <v>18545</v>
      </c>
      <c r="I205" s="88">
        <v>75</v>
      </c>
      <c r="J205" s="88" t="s">
        <v>64</v>
      </c>
      <c r="K205" s="88" t="s">
        <v>80</v>
      </c>
      <c r="L205" s="88" t="s">
        <v>81</v>
      </c>
      <c r="M205" s="88"/>
      <c r="N205" s="88" t="s">
        <v>620</v>
      </c>
      <c r="O205" s="93" t="s">
        <v>621</v>
      </c>
      <c r="P205" s="94" t="s">
        <v>56</v>
      </c>
      <c r="Q205" s="142" t="s">
        <v>68</v>
      </c>
      <c r="R205" s="95">
        <v>46178</v>
      </c>
      <c r="S205" s="96"/>
      <c r="T205" s="96" t="s">
        <v>58</v>
      </c>
      <c r="U205" s="96" t="s">
        <v>70</v>
      </c>
      <c r="V205" s="92">
        <v>46153</v>
      </c>
      <c r="W205" s="92">
        <v>46154</v>
      </c>
      <c r="X205" s="92">
        <v>46164</v>
      </c>
      <c r="Y205" s="97"/>
      <c r="Z205" s="88" t="s">
        <v>72</v>
      </c>
      <c r="AA205" s="96">
        <v>46183</v>
      </c>
      <c r="AB205" s="88" t="s">
        <v>105</v>
      </c>
      <c r="AC205" s="119">
        <v>46191</v>
      </c>
      <c r="AD205" s="88"/>
      <c r="AE205" s="88"/>
      <c r="AF205" s="98"/>
      <c r="AG205" s="98"/>
      <c r="AH205" s="98"/>
      <c r="AI205" s="99"/>
      <c r="AJ205" s="99" t="s">
        <v>61</v>
      </c>
      <c r="AK205" s="99" t="s">
        <v>78</v>
      </c>
      <c r="AL205" s="44" t="s">
        <v>62</v>
      </c>
      <c r="AM205" s="196" t="str">
        <f>MONTH(B205)&amp;"/"&amp;YEAR(B205)</f>
        <v>5/2026</v>
      </c>
      <c r="AN205" s="44">
        <f>WEEKNUM(B205)-WEEKNUM(EOMONTH(B205,-1)+1)+1</f>
        <v>2</v>
      </c>
      <c r="AO205" s="44" t="str">
        <f>MONTH(R205)&amp;"/"&amp;YEAR(R205)</f>
        <v>6/2026</v>
      </c>
      <c r="AP205" s="44">
        <f>WEEKNUM(R205)-WEEKNUM(EOMONTH(R205,-1)+1)+1</f>
        <v>1</v>
      </c>
      <c r="AQ205" s="44">
        <f>IF(AU205="S",IF(Q205="1. Aceitou o programa",R205-B205,0),0)</f>
        <v>31</v>
      </c>
      <c r="AR205" s="44">
        <f>IF(AU205="S",IF(AND(S205&lt;&gt;"",R205&lt;&gt;""),S205-R205,0),0)</f>
        <v>0</v>
      </c>
      <c r="AS205" s="44">
        <f>IF(AU205="S",IF(Q205="1. Aceitou o programa",IF(OR(X205="Não se Aplica",X205=""),IF(OR(W205="Não se Aplica",W205=""),0,W205-V205),AVERAGE(X205-W205,W205-V205)),0),0)</f>
        <v>5.5</v>
      </c>
      <c r="AT205" s="44">
        <f>IF(AU205="S",IF(AND(Q205="1. Aceitou o programa",AB205="Realizada"),IFERROR(IF(AA205="",0,AA205-R205),0),0),0)</f>
        <v>0</v>
      </c>
      <c r="AU205" s="44" t="str">
        <f>_xlfn.XLOOKUP(U205,'Lista Suspensa'!$AA$20:$AA$23,'Lista Suspensa'!$AB$20:$AB$23,"N/A")</f>
        <v>S</v>
      </c>
    </row>
    <row r="206" spans="1:47" ht="12" hidden="1" customHeight="1">
      <c r="A206" s="86" t="s">
        <v>47</v>
      </c>
      <c r="B206" s="87">
        <v>46147</v>
      </c>
      <c r="C206" s="88" t="s">
        <v>48</v>
      </c>
      <c r="D206" s="88" t="s">
        <v>49</v>
      </c>
      <c r="E206" s="89">
        <v>81809703</v>
      </c>
      <c r="F206" s="218" t="s">
        <v>622</v>
      </c>
      <c r="G206" s="91">
        <v>77880250700</v>
      </c>
      <c r="H206" s="92">
        <v>23109</v>
      </c>
      <c r="I206" s="88">
        <v>63</v>
      </c>
      <c r="J206" s="88" t="s">
        <v>51</v>
      </c>
      <c r="K206" s="88" t="s">
        <v>80</v>
      </c>
      <c r="L206" s="88" t="s">
        <v>87</v>
      </c>
      <c r="M206" s="88"/>
      <c r="N206" s="88" t="s">
        <v>91</v>
      </c>
      <c r="O206" s="93" t="s">
        <v>623</v>
      </c>
      <c r="P206" s="94" t="s">
        <v>56</v>
      </c>
      <c r="Q206" s="142" t="s">
        <v>68</v>
      </c>
      <c r="R206" s="95">
        <v>46153</v>
      </c>
      <c r="S206" s="96"/>
      <c r="T206" s="96" t="s">
        <v>69</v>
      </c>
      <c r="U206" s="96" t="s">
        <v>70</v>
      </c>
      <c r="V206" s="92">
        <v>46153</v>
      </c>
      <c r="W206" s="92" t="s">
        <v>71</v>
      </c>
      <c r="X206" s="92" t="s">
        <v>71</v>
      </c>
      <c r="Y206" s="97"/>
      <c r="Z206" s="88" t="s">
        <v>72</v>
      </c>
      <c r="AA206" s="96" t="s">
        <v>624</v>
      </c>
      <c r="AB206" s="88" t="s">
        <v>74</v>
      </c>
      <c r="AC206" s="119"/>
      <c r="AD206" s="88" t="s">
        <v>113</v>
      </c>
      <c r="AE206" s="88">
        <v>46</v>
      </c>
      <c r="AF206" s="98" t="s">
        <v>85</v>
      </c>
      <c r="AG206" s="98" t="s">
        <v>85</v>
      </c>
      <c r="AH206" s="98" t="s">
        <v>77</v>
      </c>
      <c r="AI206" s="99" t="s">
        <v>61</v>
      </c>
      <c r="AJ206" s="99" t="s">
        <v>61</v>
      </c>
      <c r="AK206" s="99" t="s">
        <v>61</v>
      </c>
      <c r="AL206" s="44" t="s">
        <v>62</v>
      </c>
      <c r="AM206" s="196" t="str">
        <f>MONTH(B206)&amp;"/"&amp;YEAR(B206)</f>
        <v>5/2026</v>
      </c>
      <c r="AN206" s="44">
        <f>WEEKNUM(B206)-WEEKNUM(EOMONTH(B206,-1)+1)+1</f>
        <v>2</v>
      </c>
      <c r="AO206" s="44" t="str">
        <f>MONTH(R206)&amp;"/"&amp;YEAR(R206)</f>
        <v>5/2026</v>
      </c>
      <c r="AP206" s="44">
        <f>WEEKNUM(R206)-WEEKNUM(EOMONTH(R206,-1)+1)+1</f>
        <v>3</v>
      </c>
      <c r="AQ206" s="44">
        <f>IF(AU206="S",IF(Q206="1. Aceitou o programa",R206-B206,0),0)</f>
        <v>6</v>
      </c>
      <c r="AR206" s="44">
        <f>IF(AU206="S",IF(AND(S206&lt;&gt;"",R206&lt;&gt;""),S206-R206,0),0)</f>
        <v>0</v>
      </c>
      <c r="AS206" s="44">
        <f>IF(AU206="S",IF(Q206="1. Aceitou o programa",IF(OR(X206="Não se Aplica",X206=""),IF(OR(W206="Não se Aplica",W206=""),0,W206-V206),AVERAGE(X206-W206,W206-V206)),0),0)</f>
        <v>0</v>
      </c>
      <c r="AT206" s="44">
        <f>IF(AU206="S",IF(AND(Q206="1. Aceitou o programa",AB206="Realizada"),IFERROR(IF(AA206="",0,AA206-R206),0),0),0)</f>
        <v>15.652777777781012</v>
      </c>
      <c r="AU206" s="44" t="str">
        <f>_xlfn.XLOOKUP(U206,'Lista Suspensa'!$AA$20:$AA$23,'Lista Suspensa'!$AB$20:$AB$23,"N/A")</f>
        <v>S</v>
      </c>
    </row>
    <row r="207" spans="1:47" ht="12" hidden="1" customHeight="1">
      <c r="A207" s="86" t="s">
        <v>47</v>
      </c>
      <c r="B207" s="87">
        <v>46147</v>
      </c>
      <c r="C207" s="88" t="s">
        <v>48</v>
      </c>
      <c r="D207" s="88" t="s">
        <v>49</v>
      </c>
      <c r="E207" s="89">
        <v>82636142</v>
      </c>
      <c r="F207" s="218" t="s">
        <v>625</v>
      </c>
      <c r="G207" s="91">
        <v>4241651712</v>
      </c>
      <c r="H207" s="92">
        <v>27729</v>
      </c>
      <c r="I207" s="88">
        <v>50</v>
      </c>
      <c r="J207" s="88" t="s">
        <v>51</v>
      </c>
      <c r="K207" s="88" t="s">
        <v>80</v>
      </c>
      <c r="L207" s="88" t="s">
        <v>87</v>
      </c>
      <c r="M207" s="88"/>
      <c r="N207" s="88" t="s">
        <v>91</v>
      </c>
      <c r="O207" s="93" t="s">
        <v>626</v>
      </c>
      <c r="P207" s="94" t="s">
        <v>56</v>
      </c>
      <c r="Q207" s="142" t="s">
        <v>68</v>
      </c>
      <c r="R207" s="95">
        <v>46153</v>
      </c>
      <c r="S207" s="96"/>
      <c r="T207" s="96" t="s">
        <v>69</v>
      </c>
      <c r="U207" s="96" t="s">
        <v>70</v>
      </c>
      <c r="V207" s="92">
        <v>46153</v>
      </c>
      <c r="W207" s="92" t="s">
        <v>71</v>
      </c>
      <c r="X207" s="92" t="s">
        <v>71</v>
      </c>
      <c r="Y207" s="97"/>
      <c r="Z207" s="88" t="s">
        <v>72</v>
      </c>
      <c r="AA207" s="96" t="s">
        <v>627</v>
      </c>
      <c r="AB207" s="88" t="s">
        <v>105</v>
      </c>
      <c r="AC207" s="119">
        <v>46188</v>
      </c>
      <c r="AD207" s="88"/>
      <c r="AE207" s="88"/>
      <c r="AF207" s="98"/>
      <c r="AG207" s="98"/>
      <c r="AH207" s="98"/>
      <c r="AI207" s="99" t="s">
        <v>61</v>
      </c>
      <c r="AJ207" s="99" t="s">
        <v>61</v>
      </c>
      <c r="AK207" s="99" t="s">
        <v>61</v>
      </c>
      <c r="AL207" s="44" t="s">
        <v>62</v>
      </c>
      <c r="AM207" s="196" t="str">
        <f>MONTH(B207)&amp;"/"&amp;YEAR(B207)</f>
        <v>5/2026</v>
      </c>
      <c r="AN207" s="44">
        <f>WEEKNUM(B207)-WEEKNUM(EOMONTH(B207,-1)+1)+1</f>
        <v>2</v>
      </c>
      <c r="AO207" s="44" t="str">
        <f>MONTH(R207)&amp;"/"&amp;YEAR(R207)</f>
        <v>5/2026</v>
      </c>
      <c r="AP207" s="44">
        <f>WEEKNUM(R207)-WEEKNUM(EOMONTH(R207,-1)+1)+1</f>
        <v>3</v>
      </c>
      <c r="AQ207" s="44">
        <f>IF(AU207="S",IF(Q207="1. Aceitou o programa",R207-B207,0),0)</f>
        <v>6</v>
      </c>
      <c r="AR207" s="44">
        <f>IF(AU207="S",IF(AND(S207&lt;&gt;"",R207&lt;&gt;""),S207-R207,0),0)</f>
        <v>0</v>
      </c>
      <c r="AS207" s="44">
        <f>IF(AU207="S",IF(Q207="1. Aceitou o programa",IF(OR(X207="Não se Aplica",X207=""),IF(OR(W207="Não se Aplica",W207=""),0,W207-V207),AVERAGE(X207-W207,W207-V207)),0),0)</f>
        <v>0</v>
      </c>
      <c r="AT207" s="44">
        <f>IF(AU207="S",IF(AND(Q207="1. Aceitou o programa",AB207="Realizada"),IFERROR(IF(AA207="",0,AA207-R207),0),0),0)</f>
        <v>0</v>
      </c>
      <c r="AU207" s="44" t="str">
        <f>_xlfn.XLOOKUP(U207,'Lista Suspensa'!$AA$20:$AA$23,'Lista Suspensa'!$AB$20:$AB$23,"N/A")</f>
        <v>S</v>
      </c>
    </row>
    <row r="208" spans="1:47" ht="12" hidden="1" customHeight="1">
      <c r="A208" s="86" t="s">
        <v>47</v>
      </c>
      <c r="B208" s="87">
        <v>46147</v>
      </c>
      <c r="C208" s="88" t="s">
        <v>48</v>
      </c>
      <c r="D208" s="88" t="s">
        <v>49</v>
      </c>
      <c r="E208" s="89">
        <v>95884819</v>
      </c>
      <c r="F208" s="218" t="s">
        <v>628</v>
      </c>
      <c r="G208" s="91">
        <v>52800660791</v>
      </c>
      <c r="H208" s="92">
        <v>21398</v>
      </c>
      <c r="I208" s="88">
        <v>67</v>
      </c>
      <c r="J208" s="88" t="s">
        <v>64</v>
      </c>
      <c r="K208" s="88" t="s">
        <v>80</v>
      </c>
      <c r="L208" s="88" t="s">
        <v>142</v>
      </c>
      <c r="M208" s="88"/>
      <c r="N208" s="88" t="s">
        <v>210</v>
      </c>
      <c r="O208" s="93" t="s">
        <v>629</v>
      </c>
      <c r="P208" s="94" t="s">
        <v>56</v>
      </c>
      <c r="Q208" s="142" t="s">
        <v>57</v>
      </c>
      <c r="R208" s="95"/>
      <c r="S208" s="96">
        <v>46170</v>
      </c>
      <c r="T208" s="96" t="s">
        <v>58</v>
      </c>
      <c r="U208" s="96" t="s">
        <v>59</v>
      </c>
      <c r="V208" s="92">
        <v>46153</v>
      </c>
      <c r="W208" s="92">
        <v>46154</v>
      </c>
      <c r="X208" s="92">
        <v>46164</v>
      </c>
      <c r="Y208" s="97"/>
      <c r="Z208" s="88" t="s">
        <v>72</v>
      </c>
      <c r="AA208" s="96">
        <v>46142</v>
      </c>
      <c r="AB208" s="88" t="s">
        <v>74</v>
      </c>
      <c r="AC208" s="119"/>
      <c r="AD208" s="88"/>
      <c r="AE208" s="88"/>
      <c r="AF208" s="98"/>
      <c r="AG208" s="98"/>
      <c r="AH208" s="98"/>
      <c r="AI208" s="99"/>
      <c r="AJ208" s="99"/>
      <c r="AK208" s="99"/>
      <c r="AL208" s="44" t="s">
        <v>62</v>
      </c>
      <c r="AM208" s="196" t="str">
        <f>MONTH(B208)&amp;"/"&amp;YEAR(B208)</f>
        <v>5/2026</v>
      </c>
      <c r="AN208" s="44">
        <f>WEEKNUM(B208)-WEEKNUM(EOMONTH(B208,-1)+1)+1</f>
        <v>2</v>
      </c>
      <c r="AO208" s="44" t="str">
        <f>MONTH(R208)&amp;"/"&amp;YEAR(R208)</f>
        <v>1/1900</v>
      </c>
      <c r="AP208" s="44" t="e">
        <f>WEEKNUM(R208)-WEEKNUM(EOMONTH(R208,-1)+1)+1</f>
        <v>#NUM!</v>
      </c>
      <c r="AQ208" s="44">
        <f>IF(AU208="S",IF(Q208="1. Aceitou o programa",R208-B208,0),0)</f>
        <v>0</v>
      </c>
      <c r="AR208" s="44">
        <f>IF(AU208="S",IF(AND(S208&lt;&gt;"",R208&lt;&gt;""),S208-R208,0),0)</f>
        <v>0</v>
      </c>
      <c r="AS208" s="44">
        <f>IF(AU208="S",IF(Q208="1. Aceitou o programa",IF(OR(X208="Não se Aplica",X208=""),IF(OR(W208="Não se Aplica",W208=""),0,W208-V208),AVERAGE(X208-W208,W208-V208)),0),0)</f>
        <v>0</v>
      </c>
      <c r="AT208" s="44">
        <f>IF(AU208="S",IF(AND(Q208="1. Aceitou o programa",AB208="Realizada"),IFERROR(IF(AA208="",0,AA208-R208),0),0),0)</f>
        <v>0</v>
      </c>
      <c r="AU208" s="44" t="str">
        <f>_xlfn.XLOOKUP(U208,'Lista Suspensa'!$AA$20:$AA$23,'Lista Suspensa'!$AB$20:$AB$23,"N/A")</f>
        <v>S</v>
      </c>
    </row>
    <row r="209" spans="1:47" ht="12" hidden="1" customHeight="1">
      <c r="A209" s="86" t="s">
        <v>47</v>
      </c>
      <c r="B209" s="87">
        <v>46147</v>
      </c>
      <c r="C209" s="88" t="s">
        <v>48</v>
      </c>
      <c r="D209" s="88" t="s">
        <v>49</v>
      </c>
      <c r="E209" s="89">
        <v>87103679</v>
      </c>
      <c r="F209" s="218" t="s">
        <v>630</v>
      </c>
      <c r="G209" s="91">
        <v>60477628753</v>
      </c>
      <c r="H209" s="92">
        <v>22217</v>
      </c>
      <c r="I209" s="88">
        <v>65</v>
      </c>
      <c r="J209" s="88" t="s">
        <v>51</v>
      </c>
      <c r="K209" s="88" t="s">
        <v>80</v>
      </c>
      <c r="L209" s="88" t="s">
        <v>631</v>
      </c>
      <c r="M209" s="88"/>
      <c r="N209" s="88" t="s">
        <v>91</v>
      </c>
      <c r="O209" s="93" t="s">
        <v>632</v>
      </c>
      <c r="P209" s="94" t="s">
        <v>56</v>
      </c>
      <c r="Q209" s="142" t="s">
        <v>68</v>
      </c>
      <c r="R209" s="95">
        <v>46171</v>
      </c>
      <c r="S209" s="96"/>
      <c r="T209" s="96" t="s">
        <v>69</v>
      </c>
      <c r="U209" s="96" t="s">
        <v>70</v>
      </c>
      <c r="V209" s="92">
        <v>46153</v>
      </c>
      <c r="W209" s="92">
        <v>46154</v>
      </c>
      <c r="X209" s="92">
        <v>46164</v>
      </c>
      <c r="Y209" s="97"/>
      <c r="Z209" s="88" t="s">
        <v>72</v>
      </c>
      <c r="AA209" s="96">
        <v>46175</v>
      </c>
      <c r="AB209" s="88"/>
      <c r="AC209" s="119">
        <v>46175</v>
      </c>
      <c r="AD209" s="88"/>
      <c r="AE209" s="88"/>
      <c r="AF209" s="98"/>
      <c r="AG209" s="98"/>
      <c r="AH209" s="98"/>
      <c r="AI209" s="99"/>
      <c r="AJ209" s="99" t="s">
        <v>61</v>
      </c>
      <c r="AK209" s="99" t="s">
        <v>78</v>
      </c>
      <c r="AL209" s="44" t="s">
        <v>62</v>
      </c>
      <c r="AM209" s="196" t="str">
        <f>MONTH(B209)&amp;"/"&amp;YEAR(B209)</f>
        <v>5/2026</v>
      </c>
      <c r="AN209" s="44">
        <f>WEEKNUM(B209)-WEEKNUM(EOMONTH(B209,-1)+1)+1</f>
        <v>2</v>
      </c>
      <c r="AO209" s="44" t="str">
        <f>MONTH(R209)&amp;"/"&amp;YEAR(R209)</f>
        <v>5/2026</v>
      </c>
      <c r="AP209" s="44">
        <f>WEEKNUM(R209)-WEEKNUM(EOMONTH(R209,-1)+1)+1</f>
        <v>5</v>
      </c>
      <c r="AQ209" s="44">
        <f>IF(AU209="S",IF(Q209="1. Aceitou o programa",R209-B209,0),0)</f>
        <v>24</v>
      </c>
      <c r="AR209" s="44">
        <f>IF(AU209="S",IF(AND(S209&lt;&gt;"",R209&lt;&gt;""),S209-R209,0),0)</f>
        <v>0</v>
      </c>
      <c r="AS209" s="44">
        <f>IF(AU209="S",IF(Q209="1. Aceitou o programa",IF(OR(X209="Não se Aplica",X209=""),IF(OR(W209="Não se Aplica",W209=""),0,W209-V209),AVERAGE(X209-W209,W209-V209)),0),0)</f>
        <v>5.5</v>
      </c>
      <c r="AT209" s="44">
        <f>IF(AU209="S",IF(AND(Q209="1. Aceitou o programa",AB209="Realizada"),IFERROR(IF(AA209="",0,AA209-R209),0),0),0)</f>
        <v>0</v>
      </c>
      <c r="AU209" s="44" t="str">
        <f>_xlfn.XLOOKUP(U209,'Lista Suspensa'!$AA$20:$AA$23,'Lista Suspensa'!$AB$20:$AB$23,"N/A")</f>
        <v>S</v>
      </c>
    </row>
    <row r="210" spans="1:47" ht="12" hidden="1" customHeight="1">
      <c r="A210" s="86" t="s">
        <v>47</v>
      </c>
      <c r="B210" s="87">
        <v>46147</v>
      </c>
      <c r="C210" s="88" t="s">
        <v>48</v>
      </c>
      <c r="D210" s="88" t="s">
        <v>49</v>
      </c>
      <c r="E210" s="89">
        <v>93855250</v>
      </c>
      <c r="F210" s="218" t="s">
        <v>633</v>
      </c>
      <c r="G210" s="91">
        <v>87769123372</v>
      </c>
      <c r="H210" s="92">
        <v>29749</v>
      </c>
      <c r="I210" s="88">
        <v>44</v>
      </c>
      <c r="J210" s="88" t="s">
        <v>51</v>
      </c>
      <c r="K210" s="88" t="s">
        <v>80</v>
      </c>
      <c r="L210" s="88" t="s">
        <v>87</v>
      </c>
      <c r="M210" s="88"/>
      <c r="N210" s="88" t="s">
        <v>94</v>
      </c>
      <c r="O210" s="93" t="s">
        <v>634</v>
      </c>
      <c r="P210" s="94" t="s">
        <v>56</v>
      </c>
      <c r="Q210" s="142" t="s">
        <v>68</v>
      </c>
      <c r="R210" s="95">
        <v>46154</v>
      </c>
      <c r="S210" s="96"/>
      <c r="T210" s="96" t="s">
        <v>69</v>
      </c>
      <c r="U210" s="96" t="s">
        <v>70</v>
      </c>
      <c r="V210" s="92">
        <v>46153</v>
      </c>
      <c r="W210" s="92">
        <v>46154</v>
      </c>
      <c r="X210" s="92" t="s">
        <v>71</v>
      </c>
      <c r="Y210" s="97"/>
      <c r="Z210" s="88" t="s">
        <v>72</v>
      </c>
      <c r="AA210" s="96" t="s">
        <v>635</v>
      </c>
      <c r="AB210" s="88" t="s">
        <v>74</v>
      </c>
      <c r="AC210" s="119"/>
      <c r="AD210" s="88" t="s">
        <v>97</v>
      </c>
      <c r="AE210" s="88">
        <v>59</v>
      </c>
      <c r="AF210" s="98" t="s">
        <v>85</v>
      </c>
      <c r="AG210" s="98" t="s">
        <v>85</v>
      </c>
      <c r="AH210" s="98" t="s">
        <v>77</v>
      </c>
      <c r="AI210" s="99" t="s">
        <v>61</v>
      </c>
      <c r="AJ210" s="99" t="s">
        <v>61</v>
      </c>
      <c r="AK210" s="99" t="s">
        <v>61</v>
      </c>
      <c r="AL210" s="44" t="s">
        <v>62</v>
      </c>
      <c r="AM210" s="196" t="str">
        <f>MONTH(B210)&amp;"/"&amp;YEAR(B210)</f>
        <v>5/2026</v>
      </c>
      <c r="AN210" s="44">
        <f>WEEKNUM(B210)-WEEKNUM(EOMONTH(B210,-1)+1)+1</f>
        <v>2</v>
      </c>
      <c r="AO210" s="44" t="str">
        <f>MONTH(R210)&amp;"/"&amp;YEAR(R210)</f>
        <v>5/2026</v>
      </c>
      <c r="AP210" s="44">
        <f>WEEKNUM(R210)-WEEKNUM(EOMONTH(R210,-1)+1)+1</f>
        <v>3</v>
      </c>
      <c r="AQ210" s="44">
        <f>IF(AU210="S",IF(Q210="1. Aceitou o programa",R210-B210,0),0)</f>
        <v>7</v>
      </c>
      <c r="AR210" s="44">
        <f>IF(AU210="S",IF(AND(S210&lt;&gt;"",R210&lt;&gt;""),S210-R210,0),0)</f>
        <v>0</v>
      </c>
      <c r="AS210" s="44">
        <f>IF(AU210="S",IF(Q210="1. Aceitou o programa",IF(OR(X210="Não se Aplica",X210=""),IF(OR(W210="Não se Aplica",W210=""),0,W210-V210),AVERAGE(X210-W210,W210-V210)),0),0)</f>
        <v>1</v>
      </c>
      <c r="AT210" s="44">
        <f>IF(AU210="S",IF(AND(Q210="1. Aceitou o programa",AB210="Realizada"),IFERROR(IF(AA210="",0,AA210-R210),0),0),0)</f>
        <v>10.527777777781012</v>
      </c>
      <c r="AU210" s="44" t="str">
        <f>_xlfn.XLOOKUP(U210,'Lista Suspensa'!$AA$20:$AA$23,'Lista Suspensa'!$AB$20:$AB$23,"N/A")</f>
        <v>S</v>
      </c>
    </row>
    <row r="211" spans="1:47" ht="12" hidden="1" customHeight="1">
      <c r="A211" s="86" t="s">
        <v>47</v>
      </c>
      <c r="B211" s="87">
        <v>46147</v>
      </c>
      <c r="C211" s="88" t="s">
        <v>48</v>
      </c>
      <c r="D211" s="88" t="s">
        <v>49</v>
      </c>
      <c r="E211" s="89">
        <v>95403504</v>
      </c>
      <c r="F211" s="218" t="s">
        <v>636</v>
      </c>
      <c r="G211" s="91">
        <v>8892085735</v>
      </c>
      <c r="H211" s="92">
        <v>30037</v>
      </c>
      <c r="I211" s="88">
        <v>44</v>
      </c>
      <c r="J211" s="88" t="s">
        <v>51</v>
      </c>
      <c r="K211" s="88"/>
      <c r="L211" s="88" t="s">
        <v>87</v>
      </c>
      <c r="M211" s="88"/>
      <c r="N211" s="88" t="s">
        <v>88</v>
      </c>
      <c r="O211" s="93" t="s">
        <v>637</v>
      </c>
      <c r="P211" s="94" t="s">
        <v>56</v>
      </c>
      <c r="Q211" s="142" t="s">
        <v>68</v>
      </c>
      <c r="R211" s="95">
        <v>46171</v>
      </c>
      <c r="S211" s="96"/>
      <c r="T211" s="96" t="s">
        <v>69</v>
      </c>
      <c r="U211" s="96" t="s">
        <v>70</v>
      </c>
      <c r="V211" s="92">
        <v>46153</v>
      </c>
      <c r="W211" s="92">
        <v>46154</v>
      </c>
      <c r="X211" s="92">
        <v>46164</v>
      </c>
      <c r="Y211" s="97"/>
      <c r="Z211" s="88" t="s">
        <v>193</v>
      </c>
      <c r="AA211" s="96"/>
      <c r="AB211" s="88"/>
      <c r="AC211" s="119"/>
      <c r="AD211" s="88"/>
      <c r="AE211" s="88"/>
      <c r="AF211" s="98"/>
      <c r="AG211" s="98"/>
      <c r="AH211" s="98"/>
      <c r="AI211" s="99"/>
      <c r="AJ211" s="99" t="s">
        <v>61</v>
      </c>
      <c r="AK211" s="99" t="s">
        <v>78</v>
      </c>
      <c r="AL211" s="44" t="s">
        <v>62</v>
      </c>
      <c r="AM211" s="196" t="str">
        <f>MONTH(B211)&amp;"/"&amp;YEAR(B211)</f>
        <v>5/2026</v>
      </c>
      <c r="AN211" s="44">
        <f>WEEKNUM(B211)-WEEKNUM(EOMONTH(B211,-1)+1)+1</f>
        <v>2</v>
      </c>
      <c r="AO211" s="44" t="str">
        <f>MONTH(R211)&amp;"/"&amp;YEAR(R211)</f>
        <v>5/2026</v>
      </c>
      <c r="AP211" s="44">
        <f>WEEKNUM(R211)-WEEKNUM(EOMONTH(R211,-1)+1)+1</f>
        <v>5</v>
      </c>
      <c r="AQ211" s="44">
        <f>IF(AU211="S",IF(Q211="1. Aceitou o programa",R211-B211,0),0)</f>
        <v>24</v>
      </c>
      <c r="AR211" s="44">
        <f>IF(AU211="S",IF(AND(S211&lt;&gt;"",R211&lt;&gt;""),S211-R211,0),0)</f>
        <v>0</v>
      </c>
      <c r="AS211" s="44">
        <f>IF(AU211="S",IF(Q211="1. Aceitou o programa",IF(OR(X211="Não se Aplica",X211=""),IF(OR(W211="Não se Aplica",W211=""),0,W211-V211),AVERAGE(X211-W211,W211-V211)),0),0)</f>
        <v>5.5</v>
      </c>
      <c r="AT211" s="44">
        <f>IF(AU211="S",IF(AND(Q211="1. Aceitou o programa",AB211="Realizada"),IFERROR(IF(AA211="",0,AA211-R211),0),0),0)</f>
        <v>0</v>
      </c>
      <c r="AU211" s="44" t="str">
        <f>_xlfn.XLOOKUP(U211,'Lista Suspensa'!$AA$20:$AA$23,'Lista Suspensa'!$AB$20:$AB$23,"N/A")</f>
        <v>S</v>
      </c>
    </row>
    <row r="212" spans="1:47" ht="12" hidden="1" customHeight="1">
      <c r="A212" s="86" t="s">
        <v>47</v>
      </c>
      <c r="B212" s="87">
        <v>46147</v>
      </c>
      <c r="C212" s="88" t="s">
        <v>48</v>
      </c>
      <c r="D212" s="88" t="s">
        <v>49</v>
      </c>
      <c r="E212" s="89">
        <v>84806917</v>
      </c>
      <c r="F212" s="218" t="s">
        <v>638</v>
      </c>
      <c r="G212" s="91">
        <v>7328366702</v>
      </c>
      <c r="H212" s="92">
        <v>27158</v>
      </c>
      <c r="I212" s="88">
        <v>52</v>
      </c>
      <c r="J212" s="88" t="s">
        <v>51</v>
      </c>
      <c r="K212" s="88" t="s">
        <v>80</v>
      </c>
      <c r="L212" s="88" t="s">
        <v>87</v>
      </c>
      <c r="M212" s="88"/>
      <c r="N212" s="88" t="s">
        <v>162</v>
      </c>
      <c r="O212" s="93" t="s">
        <v>639</v>
      </c>
      <c r="P212" s="94" t="s">
        <v>56</v>
      </c>
      <c r="Q212" s="142" t="s">
        <v>57</v>
      </c>
      <c r="R212" s="95"/>
      <c r="S212" s="96">
        <v>46170</v>
      </c>
      <c r="T212" s="96" t="s">
        <v>58</v>
      </c>
      <c r="U212" s="96" t="s">
        <v>59</v>
      </c>
      <c r="V212" s="92">
        <v>46153</v>
      </c>
      <c r="W212" s="92">
        <v>46154</v>
      </c>
      <c r="X212" s="92">
        <v>46164</v>
      </c>
      <c r="Y212" s="97"/>
      <c r="Z212" s="88"/>
      <c r="AA212" s="96"/>
      <c r="AB212" s="88"/>
      <c r="AC212" s="119"/>
      <c r="AD212" s="88"/>
      <c r="AE212" s="88"/>
      <c r="AF212" s="98"/>
      <c r="AG212" s="98"/>
      <c r="AH212" s="98"/>
      <c r="AI212" s="99"/>
      <c r="AJ212" s="99"/>
      <c r="AK212" s="99"/>
      <c r="AL212" s="44" t="s">
        <v>62</v>
      </c>
      <c r="AM212" s="196" t="str">
        <f>MONTH(B212)&amp;"/"&amp;YEAR(B212)</f>
        <v>5/2026</v>
      </c>
      <c r="AN212" s="44">
        <f>WEEKNUM(B212)-WEEKNUM(EOMONTH(B212,-1)+1)+1</f>
        <v>2</v>
      </c>
      <c r="AO212" s="44" t="str">
        <f>MONTH(R212)&amp;"/"&amp;YEAR(R212)</f>
        <v>1/1900</v>
      </c>
      <c r="AP212" s="44" t="e">
        <f>WEEKNUM(R212)-WEEKNUM(EOMONTH(R212,-1)+1)+1</f>
        <v>#NUM!</v>
      </c>
      <c r="AQ212" s="44">
        <f>IF(AU212="S",IF(Q212="1. Aceitou o programa",R212-B212,0),0)</f>
        <v>0</v>
      </c>
      <c r="AR212" s="44">
        <f>IF(AU212="S",IF(AND(S212&lt;&gt;"",R212&lt;&gt;""),S212-R212,0),0)</f>
        <v>0</v>
      </c>
      <c r="AS212" s="44">
        <f>IF(AU212="S",IF(Q212="1. Aceitou o programa",IF(OR(X212="Não se Aplica",X212=""),IF(OR(W212="Não se Aplica",W212=""),0,W212-V212),AVERAGE(X212-W212,W212-V212)),0),0)</f>
        <v>0</v>
      </c>
      <c r="AT212" s="44">
        <f>IF(AU212="S",IF(AND(Q212="1. Aceitou o programa",AB212="Realizada"),IFERROR(IF(AA212="",0,AA212-R212),0),0),0)</f>
        <v>0</v>
      </c>
      <c r="AU212" s="44" t="str">
        <f>_xlfn.XLOOKUP(U212,'Lista Suspensa'!$AA$20:$AA$23,'Lista Suspensa'!$AB$20:$AB$23,"N/A")</f>
        <v>S</v>
      </c>
    </row>
    <row r="213" spans="1:47" ht="12" hidden="1" customHeight="1">
      <c r="A213" s="86" t="s">
        <v>47</v>
      </c>
      <c r="B213" s="87">
        <v>46147</v>
      </c>
      <c r="C213" s="88" t="s">
        <v>48</v>
      </c>
      <c r="D213" s="88" t="s">
        <v>49</v>
      </c>
      <c r="E213" s="89">
        <v>74398191</v>
      </c>
      <c r="F213" s="218" t="s">
        <v>640</v>
      </c>
      <c r="G213" s="91">
        <v>33284040749</v>
      </c>
      <c r="H213" s="92">
        <v>19161</v>
      </c>
      <c r="I213" s="88">
        <v>73</v>
      </c>
      <c r="J213" s="88" t="s">
        <v>51</v>
      </c>
      <c r="K213" s="88" t="s">
        <v>80</v>
      </c>
      <c r="L213" s="88" t="s">
        <v>87</v>
      </c>
      <c r="M213" s="88"/>
      <c r="N213" s="88" t="s">
        <v>110</v>
      </c>
      <c r="O213" s="93" t="s">
        <v>641</v>
      </c>
      <c r="P213" s="94" t="s">
        <v>56</v>
      </c>
      <c r="Q213" s="142" t="s">
        <v>68</v>
      </c>
      <c r="R213" s="95">
        <v>46154</v>
      </c>
      <c r="S213" s="96"/>
      <c r="T213" s="96" t="s">
        <v>69</v>
      </c>
      <c r="U213" s="96" t="s">
        <v>70</v>
      </c>
      <c r="V213" s="92">
        <v>46153</v>
      </c>
      <c r="W213" s="92">
        <v>46154</v>
      </c>
      <c r="X213" s="92" t="s">
        <v>71</v>
      </c>
      <c r="Y213" s="97"/>
      <c r="Z213" s="88" t="s">
        <v>72</v>
      </c>
      <c r="AA213" s="96">
        <v>46163.652777777781</v>
      </c>
      <c r="AB213" s="88"/>
      <c r="AC213" s="119"/>
      <c r="AD213" s="88"/>
      <c r="AE213" s="88"/>
      <c r="AF213" s="98"/>
      <c r="AG213" s="98"/>
      <c r="AH213" s="98"/>
      <c r="AI213" s="99" t="s">
        <v>61</v>
      </c>
      <c r="AJ213" s="99" t="s">
        <v>61</v>
      </c>
      <c r="AK213" s="99" t="s">
        <v>61</v>
      </c>
      <c r="AL213" s="44" t="s">
        <v>62</v>
      </c>
      <c r="AM213" s="196" t="str">
        <f>MONTH(B213)&amp;"/"&amp;YEAR(B213)</f>
        <v>5/2026</v>
      </c>
      <c r="AN213" s="44">
        <f>WEEKNUM(B213)-WEEKNUM(EOMONTH(B213,-1)+1)+1</f>
        <v>2</v>
      </c>
      <c r="AO213" s="44" t="str">
        <f>MONTH(R213)&amp;"/"&amp;YEAR(R213)</f>
        <v>5/2026</v>
      </c>
      <c r="AP213" s="44">
        <f>WEEKNUM(R213)-WEEKNUM(EOMONTH(R213,-1)+1)+1</f>
        <v>3</v>
      </c>
      <c r="AQ213" s="44">
        <f>IF(AU213="S",IF(Q213="1. Aceitou o programa",R213-B213,0),0)</f>
        <v>7</v>
      </c>
      <c r="AR213" s="44">
        <f>IF(AU213="S",IF(AND(S213&lt;&gt;"",R213&lt;&gt;""),S213-R213,0),0)</f>
        <v>0</v>
      </c>
      <c r="AS213" s="44">
        <f>IF(AU213="S",IF(Q213="1. Aceitou o programa",IF(OR(X213="Não se Aplica",X213=""),IF(OR(W213="Não se Aplica",W213=""),0,W213-V213),AVERAGE(X213-W213,W213-V213)),0),0)</f>
        <v>1</v>
      </c>
      <c r="AT213" s="44">
        <f>IF(AU213="S",IF(AND(Q213="1. Aceitou o programa",AB213="Realizada"),IFERROR(IF(AA213="",0,AA213-R213),0),0),0)</f>
        <v>0</v>
      </c>
      <c r="AU213" s="44" t="str">
        <f>_xlfn.XLOOKUP(U213,'Lista Suspensa'!$AA$20:$AA$23,'Lista Suspensa'!$AB$20:$AB$23,"N/A")</f>
        <v>S</v>
      </c>
    </row>
    <row r="214" spans="1:47" ht="12" hidden="1" customHeight="1">
      <c r="A214" s="86" t="s">
        <v>47</v>
      </c>
      <c r="B214" s="87">
        <v>46147</v>
      </c>
      <c r="C214" s="88" t="s">
        <v>48</v>
      </c>
      <c r="D214" s="88" t="s">
        <v>49</v>
      </c>
      <c r="E214" s="89">
        <v>87685477</v>
      </c>
      <c r="F214" s="218" t="s">
        <v>642</v>
      </c>
      <c r="G214" s="91">
        <v>1832901785</v>
      </c>
      <c r="H214" s="92">
        <v>26706</v>
      </c>
      <c r="I214" s="88">
        <v>53</v>
      </c>
      <c r="J214" s="88" t="s">
        <v>51</v>
      </c>
      <c r="K214" s="88" t="s">
        <v>80</v>
      </c>
      <c r="L214" s="88" t="s">
        <v>87</v>
      </c>
      <c r="M214" s="88"/>
      <c r="N214" s="88" t="s">
        <v>162</v>
      </c>
      <c r="O214" s="93" t="s">
        <v>643</v>
      </c>
      <c r="P214" s="94" t="s">
        <v>56</v>
      </c>
      <c r="Q214" s="142" t="s">
        <v>68</v>
      </c>
      <c r="R214" s="95">
        <v>46154</v>
      </c>
      <c r="S214" s="96"/>
      <c r="T214" s="96" t="s">
        <v>69</v>
      </c>
      <c r="U214" s="96" t="s">
        <v>70</v>
      </c>
      <c r="V214" s="92">
        <v>46153</v>
      </c>
      <c r="W214" s="92">
        <v>46154</v>
      </c>
      <c r="X214" s="92" t="s">
        <v>71</v>
      </c>
      <c r="Y214" s="97"/>
      <c r="Z214" s="88" t="s">
        <v>72</v>
      </c>
      <c r="AA214" s="96" t="s">
        <v>386</v>
      </c>
      <c r="AB214" s="88"/>
      <c r="AC214" s="119"/>
      <c r="AD214" s="88"/>
      <c r="AE214" s="88"/>
      <c r="AF214" s="98"/>
      <c r="AG214" s="98"/>
      <c r="AH214" s="98"/>
      <c r="AI214" s="99" t="s">
        <v>61</v>
      </c>
      <c r="AJ214" s="99" t="s">
        <v>61</v>
      </c>
      <c r="AK214" s="99" t="s">
        <v>61</v>
      </c>
      <c r="AL214" s="44" t="s">
        <v>62</v>
      </c>
      <c r="AM214" s="196" t="str">
        <f>MONTH(B214)&amp;"/"&amp;YEAR(B214)</f>
        <v>5/2026</v>
      </c>
      <c r="AN214" s="44">
        <f>WEEKNUM(B214)-WEEKNUM(EOMONTH(B214,-1)+1)+1</f>
        <v>2</v>
      </c>
      <c r="AO214" s="44" t="str">
        <f>MONTH(R214)&amp;"/"&amp;YEAR(R214)</f>
        <v>5/2026</v>
      </c>
      <c r="AP214" s="44">
        <f>WEEKNUM(R214)-WEEKNUM(EOMONTH(R214,-1)+1)+1</f>
        <v>3</v>
      </c>
      <c r="AQ214" s="44">
        <f>IF(AU214="S",IF(Q214="1. Aceitou o programa",R214-B214,0),0)</f>
        <v>7</v>
      </c>
      <c r="AR214" s="44">
        <f>IF(AU214="S",IF(AND(S214&lt;&gt;"",R214&lt;&gt;""),S214-R214,0),0)</f>
        <v>0</v>
      </c>
      <c r="AS214" s="44">
        <f>IF(AU214="S",IF(Q214="1. Aceitou o programa",IF(OR(X214="Não se Aplica",X214=""),IF(OR(W214="Não se Aplica",W214=""),0,W214-V214),AVERAGE(X214-W214,W214-V214)),0),0)</f>
        <v>1</v>
      </c>
      <c r="AT214" s="44">
        <f>IF(AU214="S",IF(AND(Q214="1. Aceitou o programa",AB214="Realizada"),IFERROR(IF(AA214="",0,AA214-R214),0),0),0)</f>
        <v>0</v>
      </c>
      <c r="AU214" s="44" t="str">
        <f>_xlfn.XLOOKUP(U214,'Lista Suspensa'!$AA$20:$AA$23,'Lista Suspensa'!$AB$20:$AB$23,"N/A")</f>
        <v>S</v>
      </c>
    </row>
    <row r="215" spans="1:47" ht="12" hidden="1" customHeight="1">
      <c r="A215" s="86" t="s">
        <v>47</v>
      </c>
      <c r="B215" s="87">
        <v>46147</v>
      </c>
      <c r="C215" s="88" t="s">
        <v>48</v>
      </c>
      <c r="D215" s="88" t="s">
        <v>49</v>
      </c>
      <c r="E215" s="89">
        <v>796338191</v>
      </c>
      <c r="F215" s="218" t="s">
        <v>644</v>
      </c>
      <c r="G215" s="91">
        <v>5102952820</v>
      </c>
      <c r="H215" s="92">
        <v>16940</v>
      </c>
      <c r="I215" s="88">
        <v>79</v>
      </c>
      <c r="J215" s="88" t="s">
        <v>51</v>
      </c>
      <c r="K215" s="88" t="s">
        <v>52</v>
      </c>
      <c r="L215" s="88" t="s">
        <v>53</v>
      </c>
      <c r="M215" s="88"/>
      <c r="N215" s="88" t="s">
        <v>223</v>
      </c>
      <c r="O215" s="93" t="s">
        <v>645</v>
      </c>
      <c r="P215" s="94" t="s">
        <v>56</v>
      </c>
      <c r="Q215" s="142" t="s">
        <v>57</v>
      </c>
      <c r="R215" s="95"/>
      <c r="S215" s="96">
        <v>46170</v>
      </c>
      <c r="T215" s="96" t="s">
        <v>58</v>
      </c>
      <c r="U215" s="96" t="s">
        <v>59</v>
      </c>
      <c r="V215" s="92">
        <v>46153</v>
      </c>
      <c r="W215" s="92">
        <v>46154</v>
      </c>
      <c r="X215" s="92">
        <v>46164</v>
      </c>
      <c r="Y215" s="97"/>
      <c r="Z215" s="88"/>
      <c r="AA215" s="96"/>
      <c r="AB215" s="88"/>
      <c r="AC215" s="119"/>
      <c r="AD215" s="88"/>
      <c r="AE215" s="88"/>
      <c r="AF215" s="98"/>
      <c r="AG215" s="98"/>
      <c r="AH215" s="98"/>
      <c r="AI215" s="99"/>
      <c r="AJ215" s="99"/>
      <c r="AK215" s="99"/>
      <c r="AL215" s="44" t="s">
        <v>62</v>
      </c>
      <c r="AM215" s="196" t="str">
        <f>MONTH(B215)&amp;"/"&amp;YEAR(B215)</f>
        <v>5/2026</v>
      </c>
      <c r="AN215" s="44">
        <f>WEEKNUM(B215)-WEEKNUM(EOMONTH(B215,-1)+1)+1</f>
        <v>2</v>
      </c>
      <c r="AO215" s="44" t="str">
        <f>MONTH(R215)&amp;"/"&amp;YEAR(R215)</f>
        <v>1/1900</v>
      </c>
      <c r="AP215" s="44" t="e">
        <f>WEEKNUM(R215)-WEEKNUM(EOMONTH(R215,-1)+1)+1</f>
        <v>#NUM!</v>
      </c>
      <c r="AQ215" s="44">
        <f>IF(AU215="S",IF(Q215="1. Aceitou o programa",R215-B215,0),0)</f>
        <v>0</v>
      </c>
      <c r="AR215" s="44">
        <f>IF(AU215="S",IF(AND(S215&lt;&gt;"",R215&lt;&gt;""),S215-R215,0),0)</f>
        <v>0</v>
      </c>
      <c r="AS215" s="44">
        <f>IF(AU215="S",IF(Q215="1. Aceitou o programa",IF(OR(X215="Não se Aplica",X215=""),IF(OR(W215="Não se Aplica",W215=""),0,W215-V215),AVERAGE(X215-W215,W215-V215)),0),0)</f>
        <v>0</v>
      </c>
      <c r="AT215" s="44">
        <f>IF(AU215="S",IF(AND(Q215="1. Aceitou o programa",AB215="Realizada"),IFERROR(IF(AA215="",0,AA215-R215),0),0),0)</f>
        <v>0</v>
      </c>
      <c r="AU215" s="44" t="str">
        <f>_xlfn.XLOOKUP(U215,'Lista Suspensa'!$AA$20:$AA$23,'Lista Suspensa'!$AB$20:$AB$23,"N/A")</f>
        <v>S</v>
      </c>
    </row>
    <row r="216" spans="1:47" ht="12" hidden="1" customHeight="1">
      <c r="A216" s="86" t="s">
        <v>47</v>
      </c>
      <c r="B216" s="87">
        <v>46147</v>
      </c>
      <c r="C216" s="88" t="s">
        <v>48</v>
      </c>
      <c r="D216" s="88" t="s">
        <v>49</v>
      </c>
      <c r="E216" s="89">
        <v>748214720</v>
      </c>
      <c r="F216" s="218" t="s">
        <v>646</v>
      </c>
      <c r="G216" s="91">
        <v>4202414772</v>
      </c>
      <c r="H216" s="92">
        <v>14687</v>
      </c>
      <c r="I216" s="88">
        <v>86</v>
      </c>
      <c r="J216" s="88" t="s">
        <v>51</v>
      </c>
      <c r="K216" s="88" t="s">
        <v>80</v>
      </c>
      <c r="L216" s="88" t="s">
        <v>87</v>
      </c>
      <c r="M216" s="88"/>
      <c r="N216" s="88" t="s">
        <v>138</v>
      </c>
      <c r="O216" s="93" t="s">
        <v>647</v>
      </c>
      <c r="P216" s="94" t="s">
        <v>56</v>
      </c>
      <c r="Q216" s="142" t="s">
        <v>57</v>
      </c>
      <c r="R216" s="95"/>
      <c r="S216" s="96">
        <v>46170</v>
      </c>
      <c r="T216" s="96" t="s">
        <v>58</v>
      </c>
      <c r="U216" s="96" t="s">
        <v>59</v>
      </c>
      <c r="V216" s="92">
        <v>46153</v>
      </c>
      <c r="W216" s="92">
        <v>46154</v>
      </c>
      <c r="X216" s="92">
        <v>46164</v>
      </c>
      <c r="Y216" s="97"/>
      <c r="Z216" s="88"/>
      <c r="AA216" s="96"/>
      <c r="AB216" s="88"/>
      <c r="AC216" s="119"/>
      <c r="AD216" s="88"/>
      <c r="AE216" s="88"/>
      <c r="AF216" s="98"/>
      <c r="AG216" s="98"/>
      <c r="AH216" s="98"/>
      <c r="AI216" s="99"/>
      <c r="AJ216" s="99"/>
      <c r="AK216" s="99"/>
      <c r="AL216" s="44" t="s">
        <v>62</v>
      </c>
      <c r="AM216" s="196" t="str">
        <f>MONTH(B216)&amp;"/"&amp;YEAR(B216)</f>
        <v>5/2026</v>
      </c>
      <c r="AN216" s="44">
        <f>WEEKNUM(B216)-WEEKNUM(EOMONTH(B216,-1)+1)+1</f>
        <v>2</v>
      </c>
      <c r="AO216" s="44" t="str">
        <f>MONTH(R216)&amp;"/"&amp;YEAR(R216)</f>
        <v>1/1900</v>
      </c>
      <c r="AP216" s="44" t="e">
        <f>WEEKNUM(R216)-WEEKNUM(EOMONTH(R216,-1)+1)+1</f>
        <v>#NUM!</v>
      </c>
      <c r="AQ216" s="44">
        <f>IF(AU216="S",IF(Q216="1. Aceitou o programa",R216-B216,0),0)</f>
        <v>0</v>
      </c>
      <c r="AR216" s="44">
        <f>IF(AU216="S",IF(AND(S216&lt;&gt;"",R216&lt;&gt;""),S216-R216,0),0)</f>
        <v>0</v>
      </c>
      <c r="AS216" s="44">
        <f>IF(AU216="S",IF(Q216="1. Aceitou o programa",IF(OR(X216="Não se Aplica",X216=""),IF(OR(W216="Não se Aplica",W216=""),0,W216-V216),AVERAGE(X216-W216,W216-V216)),0),0)</f>
        <v>0</v>
      </c>
      <c r="AT216" s="44">
        <f>IF(AU216="S",IF(AND(Q216="1. Aceitou o programa",AB216="Realizada"),IFERROR(IF(AA216="",0,AA216-R216),0),0),0)</f>
        <v>0</v>
      </c>
      <c r="AU216" s="44" t="str">
        <f>_xlfn.XLOOKUP(U216,'Lista Suspensa'!$AA$20:$AA$23,'Lista Suspensa'!$AB$20:$AB$23,"N/A")</f>
        <v>S</v>
      </c>
    </row>
    <row r="217" spans="1:47" ht="12" hidden="1" customHeight="1">
      <c r="A217" s="86" t="s">
        <v>47</v>
      </c>
      <c r="B217" s="87">
        <v>46147</v>
      </c>
      <c r="C217" s="88" t="s">
        <v>48</v>
      </c>
      <c r="D217" s="88" t="s">
        <v>49</v>
      </c>
      <c r="E217" s="89">
        <v>774500352</v>
      </c>
      <c r="F217" s="218" t="s">
        <v>648</v>
      </c>
      <c r="G217" s="91">
        <v>28819845849</v>
      </c>
      <c r="H217" s="92">
        <v>17543</v>
      </c>
      <c r="I217" s="88">
        <v>78</v>
      </c>
      <c r="J217" s="88" t="s">
        <v>51</v>
      </c>
      <c r="K217" s="88" t="s">
        <v>52</v>
      </c>
      <c r="L217" s="88" t="s">
        <v>53</v>
      </c>
      <c r="M217" s="88"/>
      <c r="N217" s="88" t="s">
        <v>210</v>
      </c>
      <c r="O217" s="93" t="s">
        <v>649</v>
      </c>
      <c r="P217" s="94" t="s">
        <v>56</v>
      </c>
      <c r="Q217" s="142" t="s">
        <v>68</v>
      </c>
      <c r="R217" s="95">
        <v>46153</v>
      </c>
      <c r="S217" s="96"/>
      <c r="T217" s="96" t="s">
        <v>69</v>
      </c>
      <c r="U217" s="96" t="s">
        <v>70</v>
      </c>
      <c r="V217" s="92">
        <v>46153</v>
      </c>
      <c r="W217" s="92" t="s">
        <v>71</v>
      </c>
      <c r="X217" s="92" t="s">
        <v>71</v>
      </c>
      <c r="Y217" s="97"/>
      <c r="Z217" s="88" t="s">
        <v>72</v>
      </c>
      <c r="AA217" s="96" t="s">
        <v>650</v>
      </c>
      <c r="AB217" s="88" t="s">
        <v>74</v>
      </c>
      <c r="AC217" s="119"/>
      <c r="AD217" s="88" t="s">
        <v>75</v>
      </c>
      <c r="AE217" s="88">
        <v>61</v>
      </c>
      <c r="AF217" s="98" t="s">
        <v>102</v>
      </c>
      <c r="AG217" s="98" t="s">
        <v>102</v>
      </c>
      <c r="AH217" s="98" t="s">
        <v>77</v>
      </c>
      <c r="AI217" s="99" t="s">
        <v>61</v>
      </c>
      <c r="AJ217" s="99" t="s">
        <v>61</v>
      </c>
      <c r="AK217" s="99" t="s">
        <v>61</v>
      </c>
      <c r="AL217" s="44" t="s">
        <v>62</v>
      </c>
      <c r="AM217" s="196" t="str">
        <f>MONTH(B217)&amp;"/"&amp;YEAR(B217)</f>
        <v>5/2026</v>
      </c>
      <c r="AN217" s="44">
        <f>WEEKNUM(B217)-WEEKNUM(EOMONTH(B217,-1)+1)+1</f>
        <v>2</v>
      </c>
      <c r="AO217" s="44" t="str">
        <f>MONTH(R217)&amp;"/"&amp;YEAR(R217)</f>
        <v>5/2026</v>
      </c>
      <c r="AP217" s="44">
        <f>WEEKNUM(R217)-WEEKNUM(EOMONTH(R217,-1)+1)+1</f>
        <v>3</v>
      </c>
      <c r="AQ217" s="44">
        <f>IF(AU217="S",IF(Q217="1. Aceitou o programa",R217-B217,0),0)</f>
        <v>6</v>
      </c>
      <c r="AR217" s="44">
        <f>IF(AU217="S",IF(AND(S217&lt;&gt;"",R217&lt;&gt;""),S217-R217,0),0)</f>
        <v>0</v>
      </c>
      <c r="AS217" s="44">
        <f>IF(AU217="S",IF(Q217="1. Aceitou o programa",IF(OR(X217="Não se Aplica",X217=""),IF(OR(W217="Não se Aplica",W217=""),0,W217-V217),AVERAGE(X217-W217,W217-V217)),0),0)</f>
        <v>0</v>
      </c>
      <c r="AT217" s="44">
        <f>IF(AU217="S",IF(AND(Q217="1. Aceitou o programa",AB217="Realizada"),IFERROR(IF(AA217="",0,AA217-R217),0),0),0)</f>
        <v>16.444444444445253</v>
      </c>
      <c r="AU217" s="44" t="str">
        <f>_xlfn.XLOOKUP(U217,'Lista Suspensa'!$AA$20:$AA$23,'Lista Suspensa'!$AB$20:$AB$23,"N/A")</f>
        <v>S</v>
      </c>
    </row>
    <row r="218" spans="1:47" ht="12" hidden="1" customHeight="1">
      <c r="A218" s="86" t="s">
        <v>47</v>
      </c>
      <c r="B218" s="87">
        <v>46147</v>
      </c>
      <c r="C218" s="88" t="s">
        <v>48</v>
      </c>
      <c r="D218" s="88" t="s">
        <v>49</v>
      </c>
      <c r="E218" s="89">
        <v>79204603</v>
      </c>
      <c r="F218" s="218" t="s">
        <v>651</v>
      </c>
      <c r="G218" s="91">
        <v>36194468734</v>
      </c>
      <c r="H218" s="92">
        <v>20125</v>
      </c>
      <c r="I218" s="88">
        <v>71</v>
      </c>
      <c r="J218" s="88" t="s">
        <v>51</v>
      </c>
      <c r="K218" s="88" t="s">
        <v>80</v>
      </c>
      <c r="L218" s="88" t="s">
        <v>87</v>
      </c>
      <c r="M218" s="88"/>
      <c r="N218" s="88" t="s">
        <v>162</v>
      </c>
      <c r="O218" s="93" t="s">
        <v>652</v>
      </c>
      <c r="P218" s="94" t="s">
        <v>56</v>
      </c>
      <c r="Q218" s="142" t="s">
        <v>57</v>
      </c>
      <c r="R218" s="95"/>
      <c r="S218" s="96">
        <v>46170</v>
      </c>
      <c r="T218" s="96" t="s">
        <v>58</v>
      </c>
      <c r="U218" s="96" t="s">
        <v>59</v>
      </c>
      <c r="V218" s="92">
        <v>46153</v>
      </c>
      <c r="W218" s="92">
        <v>46154</v>
      </c>
      <c r="X218" s="92">
        <v>46164</v>
      </c>
      <c r="Y218" s="97"/>
      <c r="Z218" s="88"/>
      <c r="AA218" s="96"/>
      <c r="AB218" s="88"/>
      <c r="AC218" s="119"/>
      <c r="AD218" s="88"/>
      <c r="AE218" s="88"/>
      <c r="AF218" s="98"/>
      <c r="AG218" s="98"/>
      <c r="AH218" s="98"/>
      <c r="AI218" s="99"/>
      <c r="AJ218" s="99"/>
      <c r="AK218" s="99"/>
      <c r="AL218" s="44" t="s">
        <v>62</v>
      </c>
      <c r="AM218" s="196" t="str">
        <f>MONTH(B218)&amp;"/"&amp;YEAR(B218)</f>
        <v>5/2026</v>
      </c>
      <c r="AN218" s="44">
        <f>WEEKNUM(B218)-WEEKNUM(EOMONTH(B218,-1)+1)+1</f>
        <v>2</v>
      </c>
      <c r="AO218" s="44" t="str">
        <f>MONTH(R218)&amp;"/"&amp;YEAR(R218)</f>
        <v>1/1900</v>
      </c>
      <c r="AP218" s="44" t="e">
        <f>WEEKNUM(R218)-WEEKNUM(EOMONTH(R218,-1)+1)+1</f>
        <v>#NUM!</v>
      </c>
      <c r="AQ218" s="44">
        <f>IF(AU218="S",IF(Q218="1. Aceitou o programa",R218-B218,0),0)</f>
        <v>0</v>
      </c>
      <c r="AR218" s="44">
        <f>IF(AU218="S",IF(AND(S218&lt;&gt;"",R218&lt;&gt;""),S218-R218,0),0)</f>
        <v>0</v>
      </c>
      <c r="AS218" s="44">
        <f>IF(AU218="S",IF(Q218="1. Aceitou o programa",IF(OR(X218="Não se Aplica",X218=""),IF(OR(W218="Não se Aplica",W218=""),0,W218-V218),AVERAGE(X218-W218,W218-V218)),0),0)</f>
        <v>0</v>
      </c>
      <c r="AT218" s="44">
        <f>IF(AU218="S",IF(AND(Q218="1. Aceitou o programa",AB218="Realizada"),IFERROR(IF(AA218="",0,AA218-R218),0),0),0)</f>
        <v>0</v>
      </c>
      <c r="AU218" s="44" t="str">
        <f>_xlfn.XLOOKUP(U218,'Lista Suspensa'!$AA$20:$AA$23,'Lista Suspensa'!$AB$20:$AB$23,"N/A")</f>
        <v>S</v>
      </c>
    </row>
    <row r="219" spans="1:47" ht="12" hidden="1" customHeight="1">
      <c r="A219" s="86" t="s">
        <v>47</v>
      </c>
      <c r="B219" s="87">
        <v>46147</v>
      </c>
      <c r="C219" s="88" t="s">
        <v>48</v>
      </c>
      <c r="D219" s="88" t="s">
        <v>49</v>
      </c>
      <c r="E219" s="89">
        <v>84799172</v>
      </c>
      <c r="F219" s="218" t="s">
        <v>653</v>
      </c>
      <c r="G219" s="91">
        <v>7583756707</v>
      </c>
      <c r="H219" s="92">
        <v>27402</v>
      </c>
      <c r="I219" s="88">
        <v>51</v>
      </c>
      <c r="J219" s="88" t="s">
        <v>51</v>
      </c>
      <c r="K219" s="88" t="s">
        <v>80</v>
      </c>
      <c r="L219" s="88" t="s">
        <v>186</v>
      </c>
      <c r="M219" s="88"/>
      <c r="N219" s="88" t="s">
        <v>162</v>
      </c>
      <c r="O219" s="93" t="s">
        <v>654</v>
      </c>
      <c r="P219" s="94" t="s">
        <v>56</v>
      </c>
      <c r="Q219" s="142" t="s">
        <v>57</v>
      </c>
      <c r="R219" s="95"/>
      <c r="S219" s="96">
        <v>46170</v>
      </c>
      <c r="T219" s="96" t="s">
        <v>58</v>
      </c>
      <c r="U219" s="96" t="s">
        <v>59</v>
      </c>
      <c r="V219" s="92">
        <v>46153</v>
      </c>
      <c r="W219" s="92">
        <v>46154</v>
      </c>
      <c r="X219" s="92">
        <v>46164</v>
      </c>
      <c r="Y219" s="97"/>
      <c r="Z219" s="88"/>
      <c r="AA219" s="96"/>
      <c r="AB219" s="88"/>
      <c r="AC219" s="119"/>
      <c r="AD219" s="88"/>
      <c r="AE219" s="88"/>
      <c r="AF219" s="98"/>
      <c r="AG219" s="98"/>
      <c r="AH219" s="98"/>
      <c r="AI219" s="99"/>
      <c r="AJ219" s="99"/>
      <c r="AK219" s="99"/>
      <c r="AL219" s="44" t="s">
        <v>62</v>
      </c>
      <c r="AM219" s="196" t="str">
        <f>MONTH(B219)&amp;"/"&amp;YEAR(B219)</f>
        <v>5/2026</v>
      </c>
      <c r="AN219" s="44">
        <f>WEEKNUM(B219)-WEEKNUM(EOMONTH(B219,-1)+1)+1</f>
        <v>2</v>
      </c>
      <c r="AO219" s="44" t="str">
        <f>MONTH(R219)&amp;"/"&amp;YEAR(R219)</f>
        <v>1/1900</v>
      </c>
      <c r="AP219" s="44" t="e">
        <f>WEEKNUM(R219)-WEEKNUM(EOMONTH(R219,-1)+1)+1</f>
        <v>#NUM!</v>
      </c>
      <c r="AQ219" s="44">
        <f>IF(AU219="S",IF(Q219="1. Aceitou o programa",R219-B219,0),0)</f>
        <v>0</v>
      </c>
      <c r="AR219" s="44">
        <f>IF(AU219="S",IF(AND(S219&lt;&gt;"",R219&lt;&gt;""),S219-R219,0),0)</f>
        <v>0</v>
      </c>
      <c r="AS219" s="44">
        <f>IF(AU219="S",IF(Q219="1. Aceitou o programa",IF(OR(X219="Não se Aplica",X219=""),IF(OR(W219="Não se Aplica",W219=""),0,W219-V219),AVERAGE(X219-W219,W219-V219)),0),0)</f>
        <v>0</v>
      </c>
      <c r="AT219" s="44">
        <f>IF(AU219="S",IF(AND(Q219="1. Aceitou o programa",AB219="Realizada"),IFERROR(IF(AA219="",0,AA219-R219),0),0),0)</f>
        <v>0</v>
      </c>
      <c r="AU219" s="44" t="str">
        <f>_xlfn.XLOOKUP(U219,'Lista Suspensa'!$AA$20:$AA$23,'Lista Suspensa'!$AB$20:$AB$23,"N/A")</f>
        <v>S</v>
      </c>
    </row>
    <row r="220" spans="1:47" ht="12" hidden="1" customHeight="1">
      <c r="A220" s="86" t="s">
        <v>47</v>
      </c>
      <c r="B220" s="87">
        <v>46147</v>
      </c>
      <c r="C220" s="88" t="s">
        <v>48</v>
      </c>
      <c r="D220" s="88" t="s">
        <v>49</v>
      </c>
      <c r="E220" s="89">
        <v>87023432</v>
      </c>
      <c r="F220" s="218" t="s">
        <v>655</v>
      </c>
      <c r="G220" s="91">
        <v>2944811762</v>
      </c>
      <c r="H220" s="92">
        <v>26945</v>
      </c>
      <c r="I220" s="88">
        <v>52</v>
      </c>
      <c r="J220" s="88" t="s">
        <v>51</v>
      </c>
      <c r="K220" s="88" t="s">
        <v>80</v>
      </c>
      <c r="L220" s="88" t="s">
        <v>87</v>
      </c>
      <c r="M220" s="88"/>
      <c r="N220" s="88" t="s">
        <v>91</v>
      </c>
      <c r="O220" s="93" t="s">
        <v>656</v>
      </c>
      <c r="P220" s="94" t="s">
        <v>56</v>
      </c>
      <c r="Q220" s="142" t="s">
        <v>68</v>
      </c>
      <c r="R220" s="95">
        <v>46154</v>
      </c>
      <c r="S220" s="96"/>
      <c r="T220" s="96" t="s">
        <v>69</v>
      </c>
      <c r="U220" s="96" t="s">
        <v>70</v>
      </c>
      <c r="V220" s="92">
        <v>46153</v>
      </c>
      <c r="W220" s="92">
        <v>46154</v>
      </c>
      <c r="X220" s="92" t="s">
        <v>71</v>
      </c>
      <c r="Y220" s="97"/>
      <c r="Z220" s="88" t="s">
        <v>72</v>
      </c>
      <c r="AA220" s="96">
        <v>46161.666666666664</v>
      </c>
      <c r="AB220" s="88"/>
      <c r="AC220" s="119"/>
      <c r="AD220" s="88"/>
      <c r="AE220" s="88"/>
      <c r="AF220" s="98"/>
      <c r="AG220" s="98"/>
      <c r="AH220" s="98"/>
      <c r="AI220" s="99" t="s">
        <v>61</v>
      </c>
      <c r="AJ220" s="99" t="s">
        <v>61</v>
      </c>
      <c r="AK220" s="99" t="s">
        <v>61</v>
      </c>
      <c r="AL220" s="44" t="s">
        <v>62</v>
      </c>
      <c r="AM220" s="196" t="str">
        <f>MONTH(B220)&amp;"/"&amp;YEAR(B220)</f>
        <v>5/2026</v>
      </c>
      <c r="AN220" s="44">
        <f>WEEKNUM(B220)-WEEKNUM(EOMONTH(B220,-1)+1)+1</f>
        <v>2</v>
      </c>
      <c r="AO220" s="44" t="str">
        <f>MONTH(R220)&amp;"/"&amp;YEAR(R220)</f>
        <v>5/2026</v>
      </c>
      <c r="AP220" s="44">
        <f>WEEKNUM(R220)-WEEKNUM(EOMONTH(R220,-1)+1)+1</f>
        <v>3</v>
      </c>
      <c r="AQ220" s="44">
        <f>IF(AU220="S",IF(Q220="1. Aceitou o programa",R220-B220,0),0)</f>
        <v>7</v>
      </c>
      <c r="AR220" s="44">
        <f>IF(AU220="S",IF(AND(S220&lt;&gt;"",R220&lt;&gt;""),S220-R220,0),0)</f>
        <v>0</v>
      </c>
      <c r="AS220" s="44">
        <f>IF(AU220="S",IF(Q220="1. Aceitou o programa",IF(OR(X220="Não se Aplica",X220=""),IF(OR(W220="Não se Aplica",W220=""),0,W220-V220),AVERAGE(X220-W220,W220-V220)),0),0)</f>
        <v>1</v>
      </c>
      <c r="AT220" s="44">
        <f>IF(AU220="S",IF(AND(Q220="1. Aceitou o programa",AB220="Realizada"),IFERROR(IF(AA220="",0,AA220-R220),0),0),0)</f>
        <v>0</v>
      </c>
      <c r="AU220" s="44" t="str">
        <f>_xlfn.XLOOKUP(U220,'Lista Suspensa'!$AA$20:$AA$23,'Lista Suspensa'!$AB$20:$AB$23,"N/A")</f>
        <v>S</v>
      </c>
    </row>
    <row r="221" spans="1:47" ht="12" hidden="1" customHeight="1">
      <c r="A221" s="86" t="s">
        <v>47</v>
      </c>
      <c r="B221" s="87">
        <v>46147</v>
      </c>
      <c r="C221" s="88" t="s">
        <v>48</v>
      </c>
      <c r="D221" s="88" t="s">
        <v>49</v>
      </c>
      <c r="E221" s="89">
        <v>92646087</v>
      </c>
      <c r="F221" s="218" t="s">
        <v>657</v>
      </c>
      <c r="G221" s="91">
        <v>5436357750</v>
      </c>
      <c r="H221" s="92">
        <v>29229</v>
      </c>
      <c r="I221" s="88">
        <v>46</v>
      </c>
      <c r="J221" s="88" t="s">
        <v>51</v>
      </c>
      <c r="K221" s="88" t="s">
        <v>80</v>
      </c>
      <c r="L221" s="88" t="s">
        <v>257</v>
      </c>
      <c r="M221" s="88"/>
      <c r="N221" s="88" t="s">
        <v>94</v>
      </c>
      <c r="O221" s="93" t="s">
        <v>658</v>
      </c>
      <c r="P221" s="94" t="s">
        <v>56</v>
      </c>
      <c r="Q221" s="142" t="s">
        <v>57</v>
      </c>
      <c r="R221" s="95"/>
      <c r="S221" s="96">
        <v>46170</v>
      </c>
      <c r="T221" s="96" t="s">
        <v>58</v>
      </c>
      <c r="U221" s="96" t="s">
        <v>59</v>
      </c>
      <c r="V221" s="92">
        <v>46153</v>
      </c>
      <c r="W221" s="92">
        <v>46154</v>
      </c>
      <c r="X221" s="92">
        <v>46164</v>
      </c>
      <c r="Y221" s="97"/>
      <c r="Z221" s="88"/>
      <c r="AA221" s="96"/>
      <c r="AB221" s="88"/>
      <c r="AC221" s="119"/>
      <c r="AD221" s="88"/>
      <c r="AE221" s="88"/>
      <c r="AF221" s="98"/>
      <c r="AG221" s="98"/>
      <c r="AH221" s="98"/>
      <c r="AI221" s="99"/>
      <c r="AJ221" s="99"/>
      <c r="AK221" s="99"/>
      <c r="AL221" s="44" t="s">
        <v>62</v>
      </c>
      <c r="AM221" s="196" t="str">
        <f>MONTH(B221)&amp;"/"&amp;YEAR(B221)</f>
        <v>5/2026</v>
      </c>
      <c r="AN221" s="44">
        <f>WEEKNUM(B221)-WEEKNUM(EOMONTH(B221,-1)+1)+1</f>
        <v>2</v>
      </c>
      <c r="AO221" s="44" t="str">
        <f>MONTH(R221)&amp;"/"&amp;YEAR(R221)</f>
        <v>1/1900</v>
      </c>
      <c r="AP221" s="44" t="e">
        <f>WEEKNUM(R221)-WEEKNUM(EOMONTH(R221,-1)+1)+1</f>
        <v>#NUM!</v>
      </c>
      <c r="AQ221" s="44">
        <f>IF(AU221="S",IF(Q221="1. Aceitou o programa",R221-B221,0),0)</f>
        <v>0</v>
      </c>
      <c r="AR221" s="44">
        <f>IF(AU221="S",IF(AND(S221&lt;&gt;"",R221&lt;&gt;""),S221-R221,0),0)</f>
        <v>0</v>
      </c>
      <c r="AS221" s="44">
        <f>IF(AU221="S",IF(Q221="1. Aceitou o programa",IF(OR(X221="Não se Aplica",X221=""),IF(OR(W221="Não se Aplica",W221=""),0,W221-V221),AVERAGE(X221-W221,W221-V221)),0),0)</f>
        <v>0</v>
      </c>
      <c r="AT221" s="44">
        <f>IF(AU221="S",IF(AND(Q221="1. Aceitou o programa",AB221="Realizada"),IFERROR(IF(AA221="",0,AA221-R221),0),0),0)</f>
        <v>0</v>
      </c>
      <c r="AU221" s="44" t="str">
        <f>_xlfn.XLOOKUP(U221,'Lista Suspensa'!$AA$20:$AA$23,'Lista Suspensa'!$AB$20:$AB$23,"N/A")</f>
        <v>S</v>
      </c>
    </row>
    <row r="222" spans="1:47" ht="12" hidden="1" customHeight="1">
      <c r="A222" s="86" t="s">
        <v>47</v>
      </c>
      <c r="B222" s="87">
        <v>46147</v>
      </c>
      <c r="C222" s="88" t="s">
        <v>48</v>
      </c>
      <c r="D222" s="88" t="s">
        <v>49</v>
      </c>
      <c r="E222" s="89">
        <v>810640996</v>
      </c>
      <c r="F222" s="218" t="s">
        <v>659</v>
      </c>
      <c r="G222" s="91">
        <v>39943391898</v>
      </c>
      <c r="H222" s="92">
        <v>39215</v>
      </c>
      <c r="I222" s="88">
        <v>19</v>
      </c>
      <c r="J222" s="88" t="s">
        <v>51</v>
      </c>
      <c r="K222" s="88" t="s">
        <v>52</v>
      </c>
      <c r="L222" s="88" t="s">
        <v>53</v>
      </c>
      <c r="M222" s="88"/>
      <c r="N222" s="88" t="s">
        <v>138</v>
      </c>
      <c r="O222" s="93" t="s">
        <v>660</v>
      </c>
      <c r="P222" s="94" t="s">
        <v>56</v>
      </c>
      <c r="Q222" s="142" t="s">
        <v>57</v>
      </c>
      <c r="R222" s="95"/>
      <c r="S222" s="96">
        <v>46170</v>
      </c>
      <c r="T222" s="96" t="s">
        <v>58</v>
      </c>
      <c r="U222" s="96" t="s">
        <v>59</v>
      </c>
      <c r="V222" s="92">
        <v>46153</v>
      </c>
      <c r="W222" s="92">
        <v>46154</v>
      </c>
      <c r="X222" s="92">
        <v>46164</v>
      </c>
      <c r="Y222" s="97"/>
      <c r="Z222" s="88"/>
      <c r="AA222" s="96"/>
      <c r="AB222" s="88"/>
      <c r="AC222" s="119"/>
      <c r="AD222" s="88"/>
      <c r="AE222" s="88"/>
      <c r="AF222" s="98"/>
      <c r="AG222" s="98"/>
      <c r="AH222" s="98"/>
      <c r="AI222" s="99"/>
      <c r="AJ222" s="99"/>
      <c r="AK222" s="99"/>
      <c r="AL222" s="44" t="s">
        <v>62</v>
      </c>
      <c r="AM222" s="196" t="str">
        <f>MONTH(B222)&amp;"/"&amp;YEAR(B222)</f>
        <v>5/2026</v>
      </c>
      <c r="AN222" s="44">
        <f>WEEKNUM(B222)-WEEKNUM(EOMONTH(B222,-1)+1)+1</f>
        <v>2</v>
      </c>
      <c r="AO222" s="44" t="str">
        <f>MONTH(R222)&amp;"/"&amp;YEAR(R222)</f>
        <v>1/1900</v>
      </c>
      <c r="AP222" s="44" t="e">
        <f>WEEKNUM(R222)-WEEKNUM(EOMONTH(R222,-1)+1)+1</f>
        <v>#NUM!</v>
      </c>
      <c r="AQ222" s="44">
        <f>IF(AU222="S",IF(Q222="1. Aceitou o programa",R222-B222,0),0)</f>
        <v>0</v>
      </c>
      <c r="AR222" s="44">
        <f>IF(AU222="S",IF(AND(S222&lt;&gt;"",R222&lt;&gt;""),S222-R222,0),0)</f>
        <v>0</v>
      </c>
      <c r="AS222" s="44">
        <f>IF(AU222="S",IF(Q222="1. Aceitou o programa",IF(OR(X222="Não se Aplica",X222=""),IF(OR(W222="Não se Aplica",W222=""),0,W222-V222),AVERAGE(X222-W222,W222-V222)),0),0)</f>
        <v>0</v>
      </c>
      <c r="AT222" s="44">
        <f>IF(AU222="S",IF(AND(Q222="1. Aceitou o programa",AB222="Realizada"),IFERROR(IF(AA222="",0,AA222-R222),0),0),0)</f>
        <v>0</v>
      </c>
      <c r="AU222" s="44" t="str">
        <f>_xlfn.XLOOKUP(U222,'Lista Suspensa'!$AA$20:$AA$23,'Lista Suspensa'!$AB$20:$AB$23,"N/A")</f>
        <v>S</v>
      </c>
    </row>
    <row r="223" spans="1:47" ht="12" hidden="1" customHeight="1">
      <c r="A223" s="86" t="s">
        <v>47</v>
      </c>
      <c r="B223" s="87">
        <v>46147</v>
      </c>
      <c r="C223" s="88" t="s">
        <v>48</v>
      </c>
      <c r="D223" s="88" t="s">
        <v>49</v>
      </c>
      <c r="E223" s="89">
        <v>89291634</v>
      </c>
      <c r="F223" s="218" t="s">
        <v>661</v>
      </c>
      <c r="G223" s="91">
        <v>33322041816</v>
      </c>
      <c r="H223" s="92">
        <v>31264</v>
      </c>
      <c r="I223" s="88">
        <v>40</v>
      </c>
      <c r="J223" s="88" t="s">
        <v>51</v>
      </c>
      <c r="K223" s="88" t="s">
        <v>52</v>
      </c>
      <c r="L223" s="88" t="s">
        <v>53</v>
      </c>
      <c r="M223" s="88"/>
      <c r="N223" s="88" t="s">
        <v>91</v>
      </c>
      <c r="O223" s="93" t="s">
        <v>637</v>
      </c>
      <c r="P223" s="94" t="s">
        <v>56</v>
      </c>
      <c r="Q223" s="142" t="s">
        <v>57</v>
      </c>
      <c r="R223" s="95"/>
      <c r="S223" s="96">
        <v>46170</v>
      </c>
      <c r="T223" s="96" t="s">
        <v>58</v>
      </c>
      <c r="U223" s="96" t="s">
        <v>59</v>
      </c>
      <c r="V223" s="92">
        <v>46153</v>
      </c>
      <c r="W223" s="92">
        <v>46154</v>
      </c>
      <c r="X223" s="92">
        <v>46164</v>
      </c>
      <c r="Y223" s="97"/>
      <c r="Z223" s="88"/>
      <c r="AA223" s="96"/>
      <c r="AB223" s="88"/>
      <c r="AC223" s="119"/>
      <c r="AD223" s="88"/>
      <c r="AE223" s="88"/>
      <c r="AF223" s="98"/>
      <c r="AG223" s="98"/>
      <c r="AH223" s="98"/>
      <c r="AI223" s="99"/>
      <c r="AJ223" s="99"/>
      <c r="AK223" s="99"/>
      <c r="AL223" s="44" t="s">
        <v>62</v>
      </c>
      <c r="AM223" s="196" t="str">
        <f>MONTH(B223)&amp;"/"&amp;YEAR(B223)</f>
        <v>5/2026</v>
      </c>
      <c r="AN223" s="44">
        <f>WEEKNUM(B223)-WEEKNUM(EOMONTH(B223,-1)+1)+1</f>
        <v>2</v>
      </c>
      <c r="AO223" s="44" t="str">
        <f>MONTH(R223)&amp;"/"&amp;YEAR(R223)</f>
        <v>1/1900</v>
      </c>
      <c r="AP223" s="44" t="e">
        <f>WEEKNUM(R223)-WEEKNUM(EOMONTH(R223,-1)+1)+1</f>
        <v>#NUM!</v>
      </c>
      <c r="AQ223" s="44">
        <f>IF(AU223="S",IF(Q223="1. Aceitou o programa",R223-B223,0),0)</f>
        <v>0</v>
      </c>
      <c r="AR223" s="44">
        <f>IF(AU223="S",IF(AND(S223&lt;&gt;"",R223&lt;&gt;""),S223-R223,0),0)</f>
        <v>0</v>
      </c>
      <c r="AS223" s="44">
        <f>IF(AU223="S",IF(Q223="1. Aceitou o programa",IF(OR(X223="Não se Aplica",X223=""),IF(OR(W223="Não se Aplica",W223=""),0,W223-V223),AVERAGE(X223-W223,W223-V223)),0),0)</f>
        <v>0</v>
      </c>
      <c r="AT223" s="44">
        <f>IF(AU223="S",IF(AND(Q223="1. Aceitou o programa",AB223="Realizada"),IFERROR(IF(AA223="",0,AA223-R223),0),0),0)</f>
        <v>0</v>
      </c>
      <c r="AU223" s="44" t="str">
        <f>_xlfn.XLOOKUP(U223,'Lista Suspensa'!$AA$20:$AA$23,'Lista Suspensa'!$AB$20:$AB$23,"N/A")</f>
        <v>S</v>
      </c>
    </row>
    <row r="224" spans="1:47" ht="12" hidden="1" customHeight="1">
      <c r="A224" s="86" t="s">
        <v>47</v>
      </c>
      <c r="B224" s="87">
        <v>46147</v>
      </c>
      <c r="C224" s="88" t="s">
        <v>48</v>
      </c>
      <c r="D224" s="88" t="s">
        <v>49</v>
      </c>
      <c r="E224" s="89">
        <v>85719477</v>
      </c>
      <c r="F224" s="218" t="s">
        <v>662</v>
      </c>
      <c r="G224" s="91">
        <v>19605714000</v>
      </c>
      <c r="H224" s="92">
        <v>19299</v>
      </c>
      <c r="I224" s="88">
        <v>73</v>
      </c>
      <c r="J224" s="88" t="s">
        <v>51</v>
      </c>
      <c r="K224" s="88" t="s">
        <v>80</v>
      </c>
      <c r="L224" s="88" t="s">
        <v>87</v>
      </c>
      <c r="M224" s="88"/>
      <c r="N224" s="88" t="s">
        <v>91</v>
      </c>
      <c r="O224" s="93" t="s">
        <v>663</v>
      </c>
      <c r="P224" s="94" t="s">
        <v>56</v>
      </c>
      <c r="Q224" s="142" t="s">
        <v>57</v>
      </c>
      <c r="R224" s="95"/>
      <c r="S224" s="96">
        <v>46170</v>
      </c>
      <c r="T224" s="96" t="s">
        <v>58</v>
      </c>
      <c r="U224" s="96" t="s">
        <v>59</v>
      </c>
      <c r="V224" s="92">
        <v>46153</v>
      </c>
      <c r="W224" s="92">
        <v>46154</v>
      </c>
      <c r="X224" s="92">
        <v>46164</v>
      </c>
      <c r="Y224" s="97"/>
      <c r="Z224" s="88"/>
      <c r="AA224" s="96"/>
      <c r="AB224" s="88"/>
      <c r="AC224" s="119"/>
      <c r="AD224" s="88"/>
      <c r="AE224" s="88"/>
      <c r="AF224" s="98"/>
      <c r="AG224" s="98"/>
      <c r="AH224" s="98"/>
      <c r="AI224" s="99"/>
      <c r="AJ224" s="99"/>
      <c r="AK224" s="99"/>
      <c r="AL224" s="44" t="s">
        <v>62</v>
      </c>
      <c r="AM224" s="196" t="str">
        <f>MONTH(B224)&amp;"/"&amp;YEAR(B224)</f>
        <v>5/2026</v>
      </c>
      <c r="AN224" s="44">
        <f>WEEKNUM(B224)-WEEKNUM(EOMONTH(B224,-1)+1)+1</f>
        <v>2</v>
      </c>
      <c r="AO224" s="44" t="str">
        <f>MONTH(R224)&amp;"/"&amp;YEAR(R224)</f>
        <v>1/1900</v>
      </c>
      <c r="AP224" s="44" t="e">
        <f>WEEKNUM(R224)-WEEKNUM(EOMONTH(R224,-1)+1)+1</f>
        <v>#NUM!</v>
      </c>
      <c r="AQ224" s="44">
        <f>IF(AU224="S",IF(Q224="1. Aceitou o programa",R224-B224,0),0)</f>
        <v>0</v>
      </c>
      <c r="AR224" s="44">
        <f>IF(AU224="S",IF(AND(S224&lt;&gt;"",R224&lt;&gt;""),S224-R224,0),0)</f>
        <v>0</v>
      </c>
      <c r="AS224" s="44">
        <f>IF(AU224="S",IF(Q224="1. Aceitou o programa",IF(OR(X224="Não se Aplica",X224=""),IF(OR(W224="Não se Aplica",W224=""),0,W224-V224),AVERAGE(X224-W224,W224-V224)),0),0)</f>
        <v>0</v>
      </c>
      <c r="AT224" s="44">
        <f>IF(AU224="S",IF(AND(Q224="1. Aceitou o programa",AB224="Realizada"),IFERROR(IF(AA224="",0,AA224-R224),0),0),0)</f>
        <v>0</v>
      </c>
      <c r="AU224" s="44" t="str">
        <f>_xlfn.XLOOKUP(U224,'Lista Suspensa'!$AA$20:$AA$23,'Lista Suspensa'!$AB$20:$AB$23,"N/A")</f>
        <v>S</v>
      </c>
    </row>
    <row r="225" spans="1:47" ht="12" hidden="1" customHeight="1">
      <c r="A225" s="86" t="s">
        <v>47</v>
      </c>
      <c r="B225" s="87">
        <v>46147</v>
      </c>
      <c r="C225" s="88" t="s">
        <v>48</v>
      </c>
      <c r="D225" s="88" t="s">
        <v>49</v>
      </c>
      <c r="E225" s="89">
        <v>89329988</v>
      </c>
      <c r="F225" s="218" t="s">
        <v>664</v>
      </c>
      <c r="G225" s="91">
        <v>86546333791</v>
      </c>
      <c r="H225" s="92">
        <v>23818</v>
      </c>
      <c r="I225" s="88">
        <v>61</v>
      </c>
      <c r="J225" s="88" t="s">
        <v>51</v>
      </c>
      <c r="K225" s="88" t="s">
        <v>80</v>
      </c>
      <c r="L225" s="88" t="s">
        <v>87</v>
      </c>
      <c r="M225" s="88"/>
      <c r="N225" s="88" t="s">
        <v>94</v>
      </c>
      <c r="O225" s="93" t="s">
        <v>665</v>
      </c>
      <c r="P225" s="94" t="s">
        <v>56</v>
      </c>
      <c r="Q225" s="142" t="s">
        <v>68</v>
      </c>
      <c r="R225" s="95">
        <v>46154</v>
      </c>
      <c r="S225" s="96"/>
      <c r="T225" s="96" t="s">
        <v>69</v>
      </c>
      <c r="U225" s="96" t="s">
        <v>70</v>
      </c>
      <c r="V225" s="92">
        <v>46153</v>
      </c>
      <c r="W225" s="92">
        <v>46154</v>
      </c>
      <c r="X225" s="92" t="s">
        <v>71</v>
      </c>
      <c r="Y225" s="97"/>
      <c r="Z225" s="88" t="s">
        <v>72</v>
      </c>
      <c r="AA225" s="96">
        <v>46164.430555555555</v>
      </c>
      <c r="AB225" s="88"/>
      <c r="AC225" s="119"/>
      <c r="AD225" s="88"/>
      <c r="AE225" s="88"/>
      <c r="AF225" s="98"/>
      <c r="AG225" s="98"/>
      <c r="AH225" s="98"/>
      <c r="AI225" s="99" t="s">
        <v>61</v>
      </c>
      <c r="AJ225" s="99" t="s">
        <v>61</v>
      </c>
      <c r="AK225" s="99" t="s">
        <v>61</v>
      </c>
      <c r="AL225" s="44" t="s">
        <v>62</v>
      </c>
      <c r="AM225" s="196" t="str">
        <f>MONTH(B225)&amp;"/"&amp;YEAR(B225)</f>
        <v>5/2026</v>
      </c>
      <c r="AN225" s="44">
        <f>WEEKNUM(B225)-WEEKNUM(EOMONTH(B225,-1)+1)+1</f>
        <v>2</v>
      </c>
      <c r="AO225" s="44" t="str">
        <f>MONTH(R225)&amp;"/"&amp;YEAR(R225)</f>
        <v>5/2026</v>
      </c>
      <c r="AP225" s="44">
        <f>WEEKNUM(R225)-WEEKNUM(EOMONTH(R225,-1)+1)+1</f>
        <v>3</v>
      </c>
      <c r="AQ225" s="44">
        <f>IF(AU225="S",IF(Q225="1. Aceitou o programa",R225-B225,0),0)</f>
        <v>7</v>
      </c>
      <c r="AR225" s="44">
        <f>IF(AU225="S",IF(AND(S225&lt;&gt;"",R225&lt;&gt;""),S225-R225,0),0)</f>
        <v>0</v>
      </c>
      <c r="AS225" s="44">
        <f>IF(AU225="S",IF(Q225="1. Aceitou o programa",IF(OR(X225="Não se Aplica",X225=""),IF(OR(W225="Não se Aplica",W225=""),0,W225-V225),AVERAGE(X225-W225,W225-V225)),0),0)</f>
        <v>1</v>
      </c>
      <c r="AT225" s="44">
        <f>IF(AU225="S",IF(AND(Q225="1. Aceitou o programa",AB225="Realizada"),IFERROR(IF(AA225="",0,AA225-R225),0),0),0)</f>
        <v>0</v>
      </c>
      <c r="AU225" s="44" t="str">
        <f>_xlfn.XLOOKUP(U225,'Lista Suspensa'!$AA$20:$AA$23,'Lista Suspensa'!$AB$20:$AB$23,"N/A")</f>
        <v>S</v>
      </c>
    </row>
    <row r="226" spans="1:47" ht="12" hidden="1" customHeight="1">
      <c r="A226" s="86" t="s">
        <v>47</v>
      </c>
      <c r="B226" s="87">
        <v>46147</v>
      </c>
      <c r="C226" s="88" t="s">
        <v>48</v>
      </c>
      <c r="D226" s="88" t="s">
        <v>49</v>
      </c>
      <c r="E226" s="89">
        <v>415349796</v>
      </c>
      <c r="F226" s="218" t="s">
        <v>666</v>
      </c>
      <c r="G226" s="91">
        <v>61286800706</v>
      </c>
      <c r="H226" s="92">
        <v>21601</v>
      </c>
      <c r="I226" s="88">
        <v>67</v>
      </c>
      <c r="J226" s="88" t="s">
        <v>64</v>
      </c>
      <c r="K226" s="88" t="s">
        <v>80</v>
      </c>
      <c r="L226" s="88" t="s">
        <v>87</v>
      </c>
      <c r="M226" s="88"/>
      <c r="N226" s="88" t="s">
        <v>223</v>
      </c>
      <c r="O226" s="93" t="s">
        <v>667</v>
      </c>
      <c r="P226" s="94" t="s">
        <v>56</v>
      </c>
      <c r="Q226" s="142" t="s">
        <v>68</v>
      </c>
      <c r="R226" s="95">
        <v>46154</v>
      </c>
      <c r="S226" s="96"/>
      <c r="T226" s="96" t="s">
        <v>69</v>
      </c>
      <c r="U226" s="96" t="s">
        <v>70</v>
      </c>
      <c r="V226" s="92">
        <v>46153</v>
      </c>
      <c r="W226" s="92">
        <v>46154</v>
      </c>
      <c r="X226" s="92" t="s">
        <v>71</v>
      </c>
      <c r="Y226" s="97"/>
      <c r="Z226" s="88" t="s">
        <v>72</v>
      </c>
      <c r="AA226" s="96">
        <v>46161.527777777781</v>
      </c>
      <c r="AB226" s="88"/>
      <c r="AC226" s="119"/>
      <c r="AD226" s="88"/>
      <c r="AE226" s="88"/>
      <c r="AF226" s="98"/>
      <c r="AG226" s="98"/>
      <c r="AH226" s="98"/>
      <c r="AI226" s="99" t="s">
        <v>61</v>
      </c>
      <c r="AJ226" s="99" t="s">
        <v>61</v>
      </c>
      <c r="AK226" s="99" t="s">
        <v>61</v>
      </c>
      <c r="AL226" s="44" t="s">
        <v>62</v>
      </c>
      <c r="AM226" s="196" t="str">
        <f>MONTH(B226)&amp;"/"&amp;YEAR(B226)</f>
        <v>5/2026</v>
      </c>
      <c r="AN226" s="44">
        <f>WEEKNUM(B226)-WEEKNUM(EOMONTH(B226,-1)+1)+1</f>
        <v>2</v>
      </c>
      <c r="AO226" s="44" t="str">
        <f>MONTH(R226)&amp;"/"&amp;YEAR(R226)</f>
        <v>5/2026</v>
      </c>
      <c r="AP226" s="44">
        <f>WEEKNUM(R226)-WEEKNUM(EOMONTH(R226,-1)+1)+1</f>
        <v>3</v>
      </c>
      <c r="AQ226" s="44">
        <f>IF(AU226="S",IF(Q226="1. Aceitou o programa",R226-B226,0),0)</f>
        <v>7</v>
      </c>
      <c r="AR226" s="44">
        <f>IF(AU226="S",IF(AND(S226&lt;&gt;"",R226&lt;&gt;""),S226-R226,0),0)</f>
        <v>0</v>
      </c>
      <c r="AS226" s="44">
        <f>IF(AU226="S",IF(Q226="1. Aceitou o programa",IF(OR(X226="Não se Aplica",X226=""),IF(OR(W226="Não se Aplica",W226=""),0,W226-V226),AVERAGE(X226-W226,W226-V226)),0),0)</f>
        <v>1</v>
      </c>
      <c r="AT226" s="44">
        <f>IF(AU226="S",IF(AND(Q226="1. Aceitou o programa",AB226="Realizada"),IFERROR(IF(AA226="",0,AA226-R226),0),0),0)</f>
        <v>0</v>
      </c>
      <c r="AU226" s="44" t="str">
        <f>_xlfn.XLOOKUP(U226,'Lista Suspensa'!$AA$20:$AA$23,'Lista Suspensa'!$AB$20:$AB$23,"N/A")</f>
        <v>S</v>
      </c>
    </row>
    <row r="227" spans="1:47" ht="12" hidden="1" customHeight="1">
      <c r="A227" s="86" t="s">
        <v>47</v>
      </c>
      <c r="B227" s="87">
        <v>46147</v>
      </c>
      <c r="C227" s="88" t="s">
        <v>48</v>
      </c>
      <c r="D227" s="88" t="s">
        <v>49</v>
      </c>
      <c r="E227" s="89">
        <v>85091670</v>
      </c>
      <c r="F227" s="218" t="s">
        <v>668</v>
      </c>
      <c r="G227" s="91">
        <v>28505339800</v>
      </c>
      <c r="H227" s="92">
        <v>27648</v>
      </c>
      <c r="I227" s="88">
        <v>50</v>
      </c>
      <c r="J227" s="88" t="s">
        <v>64</v>
      </c>
      <c r="K227" s="88" t="s">
        <v>52</v>
      </c>
      <c r="L227" s="88" t="s">
        <v>53</v>
      </c>
      <c r="M227" s="88"/>
      <c r="N227" s="88" t="s">
        <v>91</v>
      </c>
      <c r="O227" s="93" t="s">
        <v>669</v>
      </c>
      <c r="P227" s="94" t="s">
        <v>56</v>
      </c>
      <c r="Q227" s="142" t="s">
        <v>68</v>
      </c>
      <c r="R227" s="95">
        <v>46153</v>
      </c>
      <c r="S227" s="96"/>
      <c r="T227" s="96" t="s">
        <v>69</v>
      </c>
      <c r="U227" s="96" t="s">
        <v>70</v>
      </c>
      <c r="V227" s="92">
        <v>46153</v>
      </c>
      <c r="W227" s="92" t="s">
        <v>71</v>
      </c>
      <c r="X227" s="92" t="s">
        <v>71</v>
      </c>
      <c r="Y227" s="97"/>
      <c r="Z227" s="88" t="s">
        <v>72</v>
      </c>
      <c r="AA227" s="96" t="s">
        <v>670</v>
      </c>
      <c r="AB227" s="88" t="s">
        <v>105</v>
      </c>
      <c r="AC227" s="119">
        <v>46188</v>
      </c>
      <c r="AD227" s="88"/>
      <c r="AE227" s="88"/>
      <c r="AF227" s="98"/>
      <c r="AG227" s="98"/>
      <c r="AH227" s="98"/>
      <c r="AI227" s="99" t="s">
        <v>61</v>
      </c>
      <c r="AJ227" s="99" t="s">
        <v>61</v>
      </c>
      <c r="AK227" s="99" t="s">
        <v>61</v>
      </c>
      <c r="AL227" s="44" t="s">
        <v>62</v>
      </c>
      <c r="AM227" s="196" t="str">
        <f>MONTH(B227)&amp;"/"&amp;YEAR(B227)</f>
        <v>5/2026</v>
      </c>
      <c r="AN227" s="44">
        <f>WEEKNUM(B227)-WEEKNUM(EOMONTH(B227,-1)+1)+1</f>
        <v>2</v>
      </c>
      <c r="AO227" s="44" t="str">
        <f>MONTH(R227)&amp;"/"&amp;YEAR(R227)</f>
        <v>5/2026</v>
      </c>
      <c r="AP227" s="44">
        <f>WEEKNUM(R227)-WEEKNUM(EOMONTH(R227,-1)+1)+1</f>
        <v>3</v>
      </c>
      <c r="AQ227" s="44">
        <f>IF(AU227="S",IF(Q227="1. Aceitou o programa",R227-B227,0),0)</f>
        <v>6</v>
      </c>
      <c r="AR227" s="44">
        <f>IF(AU227="S",IF(AND(S227&lt;&gt;"",R227&lt;&gt;""),S227-R227,0),0)</f>
        <v>0</v>
      </c>
      <c r="AS227" s="44">
        <f>IF(AU227="S",IF(Q227="1. Aceitou o programa",IF(OR(X227="Não se Aplica",X227=""),IF(OR(W227="Não se Aplica",W227=""),0,W227-V227),AVERAGE(X227-W227,W227-V227)),0),0)</f>
        <v>0</v>
      </c>
      <c r="AT227" s="44">
        <f>IF(AU227="S",IF(AND(Q227="1. Aceitou o programa",AB227="Realizada"),IFERROR(IF(AA227="",0,AA227-R227),0),0),0)</f>
        <v>0</v>
      </c>
      <c r="AU227" s="44" t="str">
        <f>_xlfn.XLOOKUP(U227,'Lista Suspensa'!$AA$20:$AA$23,'Lista Suspensa'!$AB$20:$AB$23,"N/A")</f>
        <v>S</v>
      </c>
    </row>
    <row r="228" spans="1:47" ht="12" hidden="1" customHeight="1">
      <c r="A228" s="86" t="s">
        <v>47</v>
      </c>
      <c r="B228" s="87">
        <v>46147</v>
      </c>
      <c r="C228" s="88" t="s">
        <v>48</v>
      </c>
      <c r="D228" s="88" t="s">
        <v>49</v>
      </c>
      <c r="E228" s="89">
        <v>743085876</v>
      </c>
      <c r="F228" s="218" t="s">
        <v>671</v>
      </c>
      <c r="G228" s="91">
        <v>64021173749</v>
      </c>
      <c r="H228" s="92">
        <v>22096</v>
      </c>
      <c r="I228" s="88">
        <v>65</v>
      </c>
      <c r="J228" s="88" t="s">
        <v>64</v>
      </c>
      <c r="K228" s="88" t="s">
        <v>80</v>
      </c>
      <c r="L228" s="88" t="s">
        <v>316</v>
      </c>
      <c r="M228" s="88"/>
      <c r="N228" s="88" t="s">
        <v>138</v>
      </c>
      <c r="O228" s="93" t="s">
        <v>672</v>
      </c>
      <c r="P228" s="94" t="s">
        <v>56</v>
      </c>
      <c r="Q228" s="142" t="s">
        <v>68</v>
      </c>
      <c r="R228" s="95">
        <v>46154</v>
      </c>
      <c r="S228" s="96"/>
      <c r="T228" s="96" t="s">
        <v>69</v>
      </c>
      <c r="U228" s="96" t="s">
        <v>70</v>
      </c>
      <c r="V228" s="92">
        <v>46153</v>
      </c>
      <c r="W228" s="92">
        <v>46154</v>
      </c>
      <c r="X228" s="92" t="s">
        <v>71</v>
      </c>
      <c r="Y228" s="97"/>
      <c r="Z228" s="88" t="s">
        <v>72</v>
      </c>
      <c r="AA228" s="96" t="s">
        <v>308</v>
      </c>
      <c r="AB228" s="88"/>
      <c r="AC228" s="119">
        <v>46174</v>
      </c>
      <c r="AD228" s="88"/>
      <c r="AE228" s="88"/>
      <c r="AF228" s="98"/>
      <c r="AG228" s="98"/>
      <c r="AH228" s="98"/>
      <c r="AI228" s="99" t="s">
        <v>61</v>
      </c>
      <c r="AJ228" s="99" t="s">
        <v>61</v>
      </c>
      <c r="AK228" s="99" t="s">
        <v>61</v>
      </c>
      <c r="AL228" s="44" t="s">
        <v>62</v>
      </c>
      <c r="AM228" s="196" t="str">
        <f>MONTH(B228)&amp;"/"&amp;YEAR(B228)</f>
        <v>5/2026</v>
      </c>
      <c r="AN228" s="44">
        <f>WEEKNUM(B228)-WEEKNUM(EOMONTH(B228,-1)+1)+1</f>
        <v>2</v>
      </c>
      <c r="AO228" s="44" t="str">
        <f>MONTH(R228)&amp;"/"&amp;YEAR(R228)</f>
        <v>5/2026</v>
      </c>
      <c r="AP228" s="44">
        <f>WEEKNUM(R228)-WEEKNUM(EOMONTH(R228,-1)+1)+1</f>
        <v>3</v>
      </c>
      <c r="AQ228" s="44">
        <f>IF(AU228="S",IF(Q228="1. Aceitou o programa",R228-B228,0),0)</f>
        <v>7</v>
      </c>
      <c r="AR228" s="44">
        <f>IF(AU228="S",IF(AND(S228&lt;&gt;"",R228&lt;&gt;""),S228-R228,0),0)</f>
        <v>0</v>
      </c>
      <c r="AS228" s="44">
        <f>IF(AU228="S",IF(Q228="1. Aceitou o programa",IF(OR(X228="Não se Aplica",X228=""),IF(OR(W228="Não se Aplica",W228=""),0,W228-V228),AVERAGE(X228-W228,W228-V228)),0),0)</f>
        <v>1</v>
      </c>
      <c r="AT228" s="44">
        <f>IF(AU228="S",IF(AND(Q228="1. Aceitou o programa",AB228="Realizada"),IFERROR(IF(AA228="",0,AA228-R228),0),0),0)</f>
        <v>0</v>
      </c>
      <c r="AU228" s="44" t="str">
        <f>_xlfn.XLOOKUP(U228,'Lista Suspensa'!$AA$20:$AA$23,'Lista Suspensa'!$AB$20:$AB$23,"N/A")</f>
        <v>S</v>
      </c>
    </row>
    <row r="229" spans="1:47" ht="12" hidden="1" customHeight="1">
      <c r="A229" s="86" t="s">
        <v>47</v>
      </c>
      <c r="B229" s="87">
        <v>46147</v>
      </c>
      <c r="C229" s="88" t="s">
        <v>48</v>
      </c>
      <c r="D229" s="88" t="s">
        <v>49</v>
      </c>
      <c r="E229" s="89">
        <v>76270500</v>
      </c>
      <c r="F229" s="218" t="s">
        <v>673</v>
      </c>
      <c r="G229" s="91">
        <v>32848854715</v>
      </c>
      <c r="H229" s="92">
        <v>19887</v>
      </c>
      <c r="I229" s="88">
        <v>71</v>
      </c>
      <c r="J229" s="88" t="s">
        <v>51</v>
      </c>
      <c r="K229" s="88" t="s">
        <v>80</v>
      </c>
      <c r="L229" s="88" t="s">
        <v>87</v>
      </c>
      <c r="M229" s="88"/>
      <c r="N229" s="88" t="s">
        <v>110</v>
      </c>
      <c r="O229" s="93" t="s">
        <v>674</v>
      </c>
      <c r="P229" s="94" t="s">
        <v>56</v>
      </c>
      <c r="Q229" s="142" t="s">
        <v>68</v>
      </c>
      <c r="R229" s="95">
        <v>46153</v>
      </c>
      <c r="S229" s="96"/>
      <c r="T229" s="96" t="s">
        <v>69</v>
      </c>
      <c r="U229" s="96" t="s">
        <v>70</v>
      </c>
      <c r="V229" s="92">
        <v>46153</v>
      </c>
      <c r="W229" s="92" t="s">
        <v>71</v>
      </c>
      <c r="X229" s="92" t="s">
        <v>71</v>
      </c>
      <c r="Y229" s="97"/>
      <c r="Z229" s="88" t="s">
        <v>72</v>
      </c>
      <c r="AA229" s="96" t="s">
        <v>675</v>
      </c>
      <c r="AB229" s="88" t="s">
        <v>74</v>
      </c>
      <c r="AC229" s="119"/>
      <c r="AD229" s="88" t="s">
        <v>75</v>
      </c>
      <c r="AE229" s="88">
        <v>64</v>
      </c>
      <c r="AF229" s="98" t="s">
        <v>151</v>
      </c>
      <c r="AG229" s="98" t="s">
        <v>151</v>
      </c>
      <c r="AH229" s="98" t="s">
        <v>77</v>
      </c>
      <c r="AI229" s="99" t="s">
        <v>61</v>
      </c>
      <c r="AJ229" s="99" t="s">
        <v>61</v>
      </c>
      <c r="AK229" s="99" t="s">
        <v>61</v>
      </c>
      <c r="AL229" s="44" t="s">
        <v>62</v>
      </c>
      <c r="AM229" s="196" t="str">
        <f>MONTH(B229)&amp;"/"&amp;YEAR(B229)</f>
        <v>5/2026</v>
      </c>
      <c r="AN229" s="44">
        <f>WEEKNUM(B229)-WEEKNUM(EOMONTH(B229,-1)+1)+1</f>
        <v>2</v>
      </c>
      <c r="AO229" s="44" t="str">
        <f>MONTH(R229)&amp;"/"&amp;YEAR(R229)</f>
        <v>5/2026</v>
      </c>
      <c r="AP229" s="44">
        <f>WEEKNUM(R229)-WEEKNUM(EOMONTH(R229,-1)+1)+1</f>
        <v>3</v>
      </c>
      <c r="AQ229" s="44">
        <f>IF(AU229="S",IF(Q229="1. Aceitou o programa",R229-B229,0),0)</f>
        <v>6</v>
      </c>
      <c r="AR229" s="44">
        <f>IF(AU229="S",IF(AND(S229&lt;&gt;"",R229&lt;&gt;""),S229-R229,0),0)</f>
        <v>0</v>
      </c>
      <c r="AS229" s="44">
        <f>IF(AU229="S",IF(Q229="1. Aceitou o programa",IF(OR(X229="Não se Aplica",X229=""),IF(OR(W229="Não se Aplica",W229=""),0,W229-V229),AVERAGE(X229-W229,W229-V229)),0),0)</f>
        <v>0</v>
      </c>
      <c r="AT229" s="44">
        <f>IF(AU229="S",IF(AND(Q229="1. Aceitou o programa",AB229="Realizada"),IFERROR(IF(AA229="",0,AA229-R229),0),0),0)</f>
        <v>8.5833333333357587</v>
      </c>
      <c r="AU229" s="44" t="str">
        <f>_xlfn.XLOOKUP(U229,'Lista Suspensa'!$AA$20:$AA$23,'Lista Suspensa'!$AB$20:$AB$23,"N/A")</f>
        <v>S</v>
      </c>
    </row>
    <row r="230" spans="1:47" ht="12" hidden="1" customHeight="1">
      <c r="A230" s="86" t="s">
        <v>47</v>
      </c>
      <c r="B230" s="87">
        <v>46147</v>
      </c>
      <c r="C230" s="88" t="s">
        <v>48</v>
      </c>
      <c r="D230" s="88" t="s">
        <v>49</v>
      </c>
      <c r="E230" s="89">
        <v>86929403</v>
      </c>
      <c r="F230" s="218" t="s">
        <v>676</v>
      </c>
      <c r="G230" s="91">
        <v>68776225704</v>
      </c>
      <c r="H230" s="92">
        <v>21945</v>
      </c>
      <c r="I230" s="88">
        <v>66</v>
      </c>
      <c r="J230" s="88" t="s">
        <v>64</v>
      </c>
      <c r="K230" s="88" t="s">
        <v>80</v>
      </c>
      <c r="L230" s="88" t="s">
        <v>87</v>
      </c>
      <c r="M230" s="88"/>
      <c r="N230" s="88" t="s">
        <v>91</v>
      </c>
      <c r="O230" s="93" t="s">
        <v>677</v>
      </c>
      <c r="P230" s="94" t="s">
        <v>56</v>
      </c>
      <c r="Q230" s="142" t="s">
        <v>57</v>
      </c>
      <c r="R230" s="95"/>
      <c r="S230" s="96">
        <v>46170</v>
      </c>
      <c r="T230" s="96" t="s">
        <v>58</v>
      </c>
      <c r="U230" s="96" t="s">
        <v>59</v>
      </c>
      <c r="V230" s="92">
        <v>46153</v>
      </c>
      <c r="W230" s="92">
        <v>46154</v>
      </c>
      <c r="X230" s="92">
        <v>46164</v>
      </c>
      <c r="Y230" s="97"/>
      <c r="Z230" s="88"/>
      <c r="AA230" s="96"/>
      <c r="AB230" s="88"/>
      <c r="AC230" s="119"/>
      <c r="AD230" s="88"/>
      <c r="AE230" s="88"/>
      <c r="AF230" s="98"/>
      <c r="AG230" s="98"/>
      <c r="AH230" s="98"/>
      <c r="AI230" s="99"/>
      <c r="AJ230" s="99"/>
      <c r="AK230" s="99"/>
      <c r="AL230" s="44" t="s">
        <v>62</v>
      </c>
      <c r="AM230" s="196" t="str">
        <f>MONTH(B230)&amp;"/"&amp;YEAR(B230)</f>
        <v>5/2026</v>
      </c>
      <c r="AN230" s="44">
        <f>WEEKNUM(B230)-WEEKNUM(EOMONTH(B230,-1)+1)+1</f>
        <v>2</v>
      </c>
      <c r="AO230" s="44" t="str">
        <f>MONTH(R230)&amp;"/"&amp;YEAR(R230)</f>
        <v>1/1900</v>
      </c>
      <c r="AP230" s="44" t="e">
        <f>WEEKNUM(R230)-WEEKNUM(EOMONTH(R230,-1)+1)+1</f>
        <v>#NUM!</v>
      </c>
      <c r="AQ230" s="44">
        <f>IF(AU230="S",IF(Q230="1. Aceitou o programa",R230-B230,0),0)</f>
        <v>0</v>
      </c>
      <c r="AR230" s="44">
        <f>IF(AU230="S",IF(AND(S230&lt;&gt;"",R230&lt;&gt;""),S230-R230,0),0)</f>
        <v>0</v>
      </c>
      <c r="AS230" s="44">
        <f>IF(AU230="S",IF(Q230="1. Aceitou o programa",IF(OR(X230="Não se Aplica",X230=""),IF(OR(W230="Não se Aplica",W230=""),0,W230-V230),AVERAGE(X230-W230,W230-V230)),0),0)</f>
        <v>0</v>
      </c>
      <c r="AT230" s="44">
        <f>IF(AU230="S",IF(AND(Q230="1. Aceitou o programa",AB230="Realizada"),IFERROR(IF(AA230="",0,AA230-R230),0),0),0)</f>
        <v>0</v>
      </c>
      <c r="AU230" s="44" t="str">
        <f>_xlfn.XLOOKUP(U230,'Lista Suspensa'!$AA$20:$AA$23,'Lista Suspensa'!$AB$20:$AB$23,"N/A")</f>
        <v>S</v>
      </c>
    </row>
    <row r="231" spans="1:47" ht="12" hidden="1" customHeight="1">
      <c r="A231" s="86" t="s">
        <v>47</v>
      </c>
      <c r="B231" s="87">
        <v>46147</v>
      </c>
      <c r="C231" s="88" t="s">
        <v>48</v>
      </c>
      <c r="D231" s="88" t="s">
        <v>49</v>
      </c>
      <c r="E231" s="89">
        <v>77463969</v>
      </c>
      <c r="F231" s="218" t="s">
        <v>678</v>
      </c>
      <c r="G231" s="91">
        <v>26483864833</v>
      </c>
      <c r="H231" s="92">
        <v>27327</v>
      </c>
      <c r="I231" s="88">
        <v>51</v>
      </c>
      <c r="J231" s="88" t="s">
        <v>64</v>
      </c>
      <c r="K231" s="88" t="s">
        <v>52</v>
      </c>
      <c r="L231" s="88" t="s">
        <v>53</v>
      </c>
      <c r="M231" s="88"/>
      <c r="N231" s="88" t="s">
        <v>91</v>
      </c>
      <c r="O231" s="93" t="s">
        <v>679</v>
      </c>
      <c r="P231" s="94" t="s">
        <v>56</v>
      </c>
      <c r="Q231" s="142" t="s">
        <v>68</v>
      </c>
      <c r="R231" s="95">
        <v>46153</v>
      </c>
      <c r="S231" s="96"/>
      <c r="T231" s="96" t="s">
        <v>69</v>
      </c>
      <c r="U231" s="96" t="s">
        <v>70</v>
      </c>
      <c r="V231" s="92">
        <v>46153</v>
      </c>
      <c r="W231" s="92" t="s">
        <v>71</v>
      </c>
      <c r="X231" s="92" t="s">
        <v>71</v>
      </c>
      <c r="Y231" s="97"/>
      <c r="Z231" s="88" t="s">
        <v>72</v>
      </c>
      <c r="AA231" s="96" t="s">
        <v>245</v>
      </c>
      <c r="AB231" s="88" t="s">
        <v>74</v>
      </c>
      <c r="AC231" s="119"/>
      <c r="AD231" s="88" t="s">
        <v>97</v>
      </c>
      <c r="AE231" s="88">
        <v>56</v>
      </c>
      <c r="AF231" s="98" t="s">
        <v>170</v>
      </c>
      <c r="AG231" s="98" t="s">
        <v>170</v>
      </c>
      <c r="AH231" s="98" t="s">
        <v>77</v>
      </c>
      <c r="AI231" s="99" t="s">
        <v>61</v>
      </c>
      <c r="AJ231" s="99" t="s">
        <v>61</v>
      </c>
      <c r="AK231" s="99" t="s">
        <v>61</v>
      </c>
      <c r="AL231" s="44" t="s">
        <v>62</v>
      </c>
      <c r="AM231" s="196" t="str">
        <f>MONTH(B231)&amp;"/"&amp;YEAR(B231)</f>
        <v>5/2026</v>
      </c>
      <c r="AN231" s="44">
        <f>WEEKNUM(B231)-WEEKNUM(EOMONTH(B231,-1)+1)+1</f>
        <v>2</v>
      </c>
      <c r="AO231" s="44" t="str">
        <f>MONTH(R231)&amp;"/"&amp;YEAR(R231)</f>
        <v>5/2026</v>
      </c>
      <c r="AP231" s="44">
        <f>WEEKNUM(R231)-WEEKNUM(EOMONTH(R231,-1)+1)+1</f>
        <v>3</v>
      </c>
      <c r="AQ231" s="44">
        <f>IF(AU231="S",IF(Q231="1. Aceitou o programa",R231-B231,0),0)</f>
        <v>6</v>
      </c>
      <c r="AR231" s="44">
        <f>IF(AU231="S",IF(AND(S231&lt;&gt;"",R231&lt;&gt;""),S231-R231,0),0)</f>
        <v>0</v>
      </c>
      <c r="AS231" s="44">
        <f>IF(AU231="S",IF(Q231="1. Aceitou o programa",IF(OR(X231="Não se Aplica",X231=""),IF(OR(W231="Não se Aplica",W231=""),0,W231-V231),AVERAGE(X231-W231,W231-V231)),0),0)</f>
        <v>0</v>
      </c>
      <c r="AT231" s="44">
        <f>IF(AU231="S",IF(AND(Q231="1. Aceitou o programa",AB231="Realizada"),IFERROR(IF(AA231="",0,AA231-R231),0),0),0)</f>
        <v>8.625</v>
      </c>
      <c r="AU231" s="44" t="str">
        <f>_xlfn.XLOOKUP(U231,'Lista Suspensa'!$AA$20:$AA$23,'Lista Suspensa'!$AB$20:$AB$23,"N/A")</f>
        <v>S</v>
      </c>
    </row>
    <row r="232" spans="1:47" ht="12" hidden="1" customHeight="1">
      <c r="A232" s="86" t="s">
        <v>47</v>
      </c>
      <c r="B232" s="87">
        <v>46147</v>
      </c>
      <c r="C232" s="88" t="s">
        <v>48</v>
      </c>
      <c r="D232" s="88" t="s">
        <v>49</v>
      </c>
      <c r="E232" s="89">
        <v>222858800</v>
      </c>
      <c r="F232" s="218" t="s">
        <v>680</v>
      </c>
      <c r="G232" s="91">
        <v>179388800</v>
      </c>
      <c r="H232" s="92">
        <v>14662</v>
      </c>
      <c r="I232" s="88">
        <v>86</v>
      </c>
      <c r="J232" s="88" t="s">
        <v>51</v>
      </c>
      <c r="K232" s="88" t="s">
        <v>52</v>
      </c>
      <c r="L232" s="88" t="s">
        <v>53</v>
      </c>
      <c r="M232" s="88"/>
      <c r="N232" s="88" t="s">
        <v>223</v>
      </c>
      <c r="O232" s="93" t="s">
        <v>681</v>
      </c>
      <c r="P232" s="94" t="s">
        <v>56</v>
      </c>
      <c r="Q232" s="142" t="s">
        <v>57</v>
      </c>
      <c r="R232" s="95"/>
      <c r="S232" s="96">
        <v>46170</v>
      </c>
      <c r="T232" s="96" t="s">
        <v>58</v>
      </c>
      <c r="U232" s="96" t="s">
        <v>59</v>
      </c>
      <c r="V232" s="92">
        <v>46153</v>
      </c>
      <c r="W232" s="92">
        <v>46154</v>
      </c>
      <c r="X232" s="92">
        <v>46164</v>
      </c>
      <c r="Y232" s="97"/>
      <c r="Z232" s="88"/>
      <c r="AA232" s="96"/>
      <c r="AB232" s="88"/>
      <c r="AC232" s="119"/>
      <c r="AD232" s="88"/>
      <c r="AE232" s="88"/>
      <c r="AF232" s="98"/>
      <c r="AG232" s="98"/>
      <c r="AH232" s="98"/>
      <c r="AI232" s="99"/>
      <c r="AJ232" s="99"/>
      <c r="AK232" s="99"/>
      <c r="AL232" s="44" t="s">
        <v>62</v>
      </c>
      <c r="AM232" s="196" t="str">
        <f>MONTH(B232)&amp;"/"&amp;YEAR(B232)</f>
        <v>5/2026</v>
      </c>
      <c r="AN232" s="44">
        <f>WEEKNUM(B232)-WEEKNUM(EOMONTH(B232,-1)+1)+1</f>
        <v>2</v>
      </c>
      <c r="AO232" s="44" t="str">
        <f>MONTH(R232)&amp;"/"&amp;YEAR(R232)</f>
        <v>1/1900</v>
      </c>
      <c r="AP232" s="44" t="e">
        <f>WEEKNUM(R232)-WEEKNUM(EOMONTH(R232,-1)+1)+1</f>
        <v>#NUM!</v>
      </c>
      <c r="AQ232" s="44">
        <f>IF(AU232="S",IF(Q232="1. Aceitou o programa",R232-B232,0),0)</f>
        <v>0</v>
      </c>
      <c r="AR232" s="44">
        <f>IF(AU232="S",IF(AND(S232&lt;&gt;"",R232&lt;&gt;""),S232-R232,0),0)</f>
        <v>0</v>
      </c>
      <c r="AS232" s="44">
        <f>IF(AU232="S",IF(Q232="1. Aceitou o programa",IF(OR(X232="Não se Aplica",X232=""),IF(OR(W232="Não se Aplica",W232=""),0,W232-V232),AVERAGE(X232-W232,W232-V232)),0),0)</f>
        <v>0</v>
      </c>
      <c r="AT232" s="44">
        <f>IF(AU232="S",IF(AND(Q232="1. Aceitou o programa",AB232="Realizada"),IFERROR(IF(AA232="",0,AA232-R232),0),0),0)</f>
        <v>0</v>
      </c>
      <c r="AU232" s="44" t="str">
        <f>_xlfn.XLOOKUP(U232,'Lista Suspensa'!$AA$20:$AA$23,'Lista Suspensa'!$AB$20:$AB$23,"N/A")</f>
        <v>S</v>
      </c>
    </row>
    <row r="233" spans="1:47" ht="12" hidden="1" customHeight="1">
      <c r="A233" s="86" t="s">
        <v>47</v>
      </c>
      <c r="B233" s="87">
        <v>46147</v>
      </c>
      <c r="C233" s="88" t="s">
        <v>48</v>
      </c>
      <c r="D233" s="88" t="s">
        <v>49</v>
      </c>
      <c r="E233" s="89">
        <v>75093731</v>
      </c>
      <c r="F233" s="218" t="s">
        <v>682</v>
      </c>
      <c r="G233" s="91">
        <v>41010655787</v>
      </c>
      <c r="H233" s="92">
        <v>19994</v>
      </c>
      <c r="I233" s="88">
        <v>71</v>
      </c>
      <c r="J233" s="88" t="s">
        <v>51</v>
      </c>
      <c r="K233" s="88" t="s">
        <v>52</v>
      </c>
      <c r="L233" s="88" t="s">
        <v>87</v>
      </c>
      <c r="M233" s="88"/>
      <c r="N233" s="88" t="s">
        <v>110</v>
      </c>
      <c r="O233" s="93" t="s">
        <v>683</v>
      </c>
      <c r="P233" s="94" t="s">
        <v>56</v>
      </c>
      <c r="Q233" s="142" t="s">
        <v>57</v>
      </c>
      <c r="R233" s="95"/>
      <c r="S233" s="96">
        <v>46170</v>
      </c>
      <c r="T233" s="96" t="s">
        <v>58</v>
      </c>
      <c r="U233" s="96" t="s">
        <v>59</v>
      </c>
      <c r="V233" s="92">
        <v>46153</v>
      </c>
      <c r="W233" s="92">
        <v>46154</v>
      </c>
      <c r="X233" s="92">
        <v>46164</v>
      </c>
      <c r="Y233" s="97"/>
      <c r="Z233" s="88"/>
      <c r="AA233" s="96"/>
      <c r="AB233" s="88"/>
      <c r="AC233" s="119"/>
      <c r="AD233" s="88"/>
      <c r="AE233" s="88"/>
      <c r="AF233" s="98"/>
      <c r="AG233" s="98"/>
      <c r="AH233" s="98"/>
      <c r="AI233" s="99"/>
      <c r="AJ233" s="99"/>
      <c r="AK233" s="99"/>
      <c r="AL233" s="44" t="s">
        <v>62</v>
      </c>
      <c r="AM233" s="196" t="str">
        <f>MONTH(B233)&amp;"/"&amp;YEAR(B233)</f>
        <v>5/2026</v>
      </c>
      <c r="AN233" s="44">
        <f>WEEKNUM(B233)-WEEKNUM(EOMONTH(B233,-1)+1)+1</f>
        <v>2</v>
      </c>
      <c r="AO233" s="44" t="str">
        <f>MONTH(R233)&amp;"/"&amp;YEAR(R233)</f>
        <v>1/1900</v>
      </c>
      <c r="AP233" s="44" t="e">
        <f>WEEKNUM(R233)-WEEKNUM(EOMONTH(R233,-1)+1)+1</f>
        <v>#NUM!</v>
      </c>
      <c r="AQ233" s="44">
        <f>IF(AU233="S",IF(Q233="1. Aceitou o programa",R233-B233,0),0)</f>
        <v>0</v>
      </c>
      <c r="AR233" s="44">
        <f>IF(AU233="S",IF(AND(S233&lt;&gt;"",R233&lt;&gt;""),S233-R233,0),0)</f>
        <v>0</v>
      </c>
      <c r="AS233" s="44">
        <f>IF(AU233="S",IF(Q233="1. Aceitou o programa",IF(OR(X233="Não se Aplica",X233=""),IF(OR(W233="Não se Aplica",W233=""),0,W233-V233),AVERAGE(X233-W233,W233-V233)),0),0)</f>
        <v>0</v>
      </c>
      <c r="AT233" s="44">
        <f>IF(AU233="S",IF(AND(Q233="1. Aceitou o programa",AB233="Realizada"),IFERROR(IF(AA233="",0,AA233-R233),0),0),0)</f>
        <v>0</v>
      </c>
      <c r="AU233" s="44" t="str">
        <f>_xlfn.XLOOKUP(U233,'Lista Suspensa'!$AA$20:$AA$23,'Lista Suspensa'!$AB$20:$AB$23,"N/A")</f>
        <v>S</v>
      </c>
    </row>
    <row r="234" spans="1:47" ht="12" hidden="1" customHeight="1">
      <c r="A234" s="86" t="s">
        <v>47</v>
      </c>
      <c r="B234" s="87">
        <v>46147</v>
      </c>
      <c r="C234" s="88" t="s">
        <v>48</v>
      </c>
      <c r="D234" s="88" t="s">
        <v>49</v>
      </c>
      <c r="E234" s="89">
        <v>775336700</v>
      </c>
      <c r="F234" s="218" t="s">
        <v>684</v>
      </c>
      <c r="G234" s="91">
        <v>18266585806</v>
      </c>
      <c r="H234" s="92">
        <v>18609</v>
      </c>
      <c r="I234" s="88">
        <v>75</v>
      </c>
      <c r="J234" s="88" t="s">
        <v>64</v>
      </c>
      <c r="K234" s="88" t="s">
        <v>52</v>
      </c>
      <c r="L234" s="88" t="s">
        <v>53</v>
      </c>
      <c r="M234" s="88"/>
      <c r="N234" s="88" t="s">
        <v>210</v>
      </c>
      <c r="O234" s="93" t="s">
        <v>685</v>
      </c>
      <c r="P234" s="94" t="s">
        <v>56</v>
      </c>
      <c r="Q234" s="142" t="s">
        <v>68</v>
      </c>
      <c r="R234" s="95">
        <v>46170</v>
      </c>
      <c r="S234" s="96"/>
      <c r="T234" s="96" t="s">
        <v>69</v>
      </c>
      <c r="U234" s="96" t="s">
        <v>70</v>
      </c>
      <c r="V234" s="92">
        <v>46153</v>
      </c>
      <c r="W234" s="92">
        <v>46154</v>
      </c>
      <c r="X234" s="92">
        <v>46164</v>
      </c>
      <c r="Y234" s="97"/>
      <c r="Z234" s="88" t="s">
        <v>72</v>
      </c>
      <c r="AA234" s="96">
        <v>46171.611111111109</v>
      </c>
      <c r="AB234" s="88" t="s">
        <v>105</v>
      </c>
      <c r="AC234" s="119"/>
      <c r="AD234" s="88"/>
      <c r="AE234" s="88"/>
      <c r="AF234" s="98"/>
      <c r="AG234" s="98"/>
      <c r="AH234" s="98"/>
      <c r="AI234" s="99"/>
      <c r="AJ234" s="99" t="s">
        <v>61</v>
      </c>
      <c r="AK234" s="99" t="s">
        <v>78</v>
      </c>
      <c r="AL234" s="44" t="s">
        <v>62</v>
      </c>
      <c r="AM234" s="196" t="str">
        <f>MONTH(B234)&amp;"/"&amp;YEAR(B234)</f>
        <v>5/2026</v>
      </c>
      <c r="AN234" s="44">
        <f>WEEKNUM(B234)-WEEKNUM(EOMONTH(B234,-1)+1)+1</f>
        <v>2</v>
      </c>
      <c r="AO234" s="44" t="str">
        <f>MONTH(R234)&amp;"/"&amp;YEAR(R234)</f>
        <v>5/2026</v>
      </c>
      <c r="AP234" s="44">
        <f>WEEKNUM(R234)-WEEKNUM(EOMONTH(R234,-1)+1)+1</f>
        <v>5</v>
      </c>
      <c r="AQ234" s="44">
        <f>IF(AU234="S",IF(Q234="1. Aceitou o programa",R234-B234,0),0)</f>
        <v>23</v>
      </c>
      <c r="AR234" s="44">
        <f>IF(AU234="S",IF(AND(S234&lt;&gt;"",R234&lt;&gt;""),S234-R234,0),0)</f>
        <v>0</v>
      </c>
      <c r="AS234" s="44">
        <f>IF(AU234="S",IF(Q234="1. Aceitou o programa",IF(OR(X234="Não se Aplica",X234=""),IF(OR(W234="Não se Aplica",W234=""),0,W234-V234),AVERAGE(X234-W234,W234-V234)),0),0)</f>
        <v>5.5</v>
      </c>
      <c r="AT234" s="44">
        <f>IF(AU234="S",IF(AND(Q234="1. Aceitou o programa",AB234="Realizada"),IFERROR(IF(AA234="",0,AA234-R234),0),0),0)</f>
        <v>0</v>
      </c>
      <c r="AU234" s="44" t="str">
        <f>_xlfn.XLOOKUP(U234,'Lista Suspensa'!$AA$20:$AA$23,'Lista Suspensa'!$AB$20:$AB$23,"N/A")</f>
        <v>S</v>
      </c>
    </row>
    <row r="235" spans="1:47" ht="12" hidden="1" customHeight="1">
      <c r="A235" s="86" t="s">
        <v>47</v>
      </c>
      <c r="B235" s="87">
        <v>46147</v>
      </c>
      <c r="C235" s="88" t="s">
        <v>48</v>
      </c>
      <c r="D235" s="88" t="s">
        <v>49</v>
      </c>
      <c r="E235" s="89">
        <v>24728373</v>
      </c>
      <c r="F235" s="218" t="s">
        <v>686</v>
      </c>
      <c r="G235" s="91">
        <v>95058397820</v>
      </c>
      <c r="H235" s="92">
        <v>19801</v>
      </c>
      <c r="I235" s="88">
        <v>72</v>
      </c>
      <c r="J235" s="88" t="s">
        <v>51</v>
      </c>
      <c r="K235" s="88" t="s">
        <v>52</v>
      </c>
      <c r="L235" s="88" t="s">
        <v>53</v>
      </c>
      <c r="M235" s="88"/>
      <c r="N235" s="88" t="s">
        <v>223</v>
      </c>
      <c r="O235" s="93" t="s">
        <v>687</v>
      </c>
      <c r="P235" s="94" t="s">
        <v>56</v>
      </c>
      <c r="Q235" s="142" t="s">
        <v>57</v>
      </c>
      <c r="R235" s="95"/>
      <c r="S235" s="96">
        <v>46170</v>
      </c>
      <c r="T235" s="96" t="s">
        <v>58</v>
      </c>
      <c r="U235" s="96" t="s">
        <v>59</v>
      </c>
      <c r="V235" s="92">
        <v>46153</v>
      </c>
      <c r="W235" s="92">
        <v>46154</v>
      </c>
      <c r="X235" s="92">
        <v>46164</v>
      </c>
      <c r="Y235" s="97"/>
      <c r="Z235" s="88" t="s">
        <v>72</v>
      </c>
      <c r="AA235" s="96">
        <v>46171</v>
      </c>
      <c r="AB235" s="88" t="s">
        <v>105</v>
      </c>
      <c r="AC235" s="119"/>
      <c r="AD235" s="88"/>
      <c r="AE235" s="88"/>
      <c r="AF235" s="98"/>
      <c r="AG235" s="98"/>
      <c r="AH235" s="98"/>
      <c r="AI235" s="99"/>
      <c r="AJ235" s="99"/>
      <c r="AK235" s="99"/>
      <c r="AL235" s="44" t="s">
        <v>62</v>
      </c>
      <c r="AM235" s="196" t="str">
        <f>MONTH(B235)&amp;"/"&amp;YEAR(B235)</f>
        <v>5/2026</v>
      </c>
      <c r="AN235" s="44">
        <f>WEEKNUM(B235)-WEEKNUM(EOMONTH(B235,-1)+1)+1</f>
        <v>2</v>
      </c>
      <c r="AO235" s="44" t="str">
        <f>MONTH(R235)&amp;"/"&amp;YEAR(R235)</f>
        <v>1/1900</v>
      </c>
      <c r="AP235" s="44" t="e">
        <f>WEEKNUM(R235)-WEEKNUM(EOMONTH(R235,-1)+1)+1</f>
        <v>#NUM!</v>
      </c>
      <c r="AQ235" s="44">
        <f>IF(AU235="S",IF(Q235="1. Aceitou o programa",R235-B235,0),0)</f>
        <v>0</v>
      </c>
      <c r="AR235" s="44">
        <f>IF(AU235="S",IF(AND(S235&lt;&gt;"",R235&lt;&gt;""),S235-R235,0),0)</f>
        <v>0</v>
      </c>
      <c r="AS235" s="44">
        <f>IF(AU235="S",IF(Q235="1. Aceitou o programa",IF(OR(X235="Não se Aplica",X235=""),IF(OR(W235="Não se Aplica",W235=""),0,W235-V235),AVERAGE(X235-W235,W235-V235)),0),0)</f>
        <v>0</v>
      </c>
      <c r="AT235" s="44">
        <f>IF(AU235="S",IF(AND(Q235="1. Aceitou o programa",AB235="Realizada"),IFERROR(IF(AA235="",0,AA235-R235),0),0),0)</f>
        <v>0</v>
      </c>
      <c r="AU235" s="44" t="str">
        <f>_xlfn.XLOOKUP(U235,'Lista Suspensa'!$AA$20:$AA$23,'Lista Suspensa'!$AB$20:$AB$23,"N/A")</f>
        <v>S</v>
      </c>
    </row>
    <row r="236" spans="1:47" ht="12" hidden="1" customHeight="1">
      <c r="A236" s="86" t="s">
        <v>47</v>
      </c>
      <c r="B236" s="87">
        <v>46147</v>
      </c>
      <c r="C236" s="88" t="s">
        <v>48</v>
      </c>
      <c r="D236" s="88" t="s">
        <v>49</v>
      </c>
      <c r="E236" s="89">
        <v>811362795</v>
      </c>
      <c r="F236" s="218" t="s">
        <v>688</v>
      </c>
      <c r="G236" s="91">
        <v>5305403804</v>
      </c>
      <c r="H236" s="92">
        <v>17177</v>
      </c>
      <c r="I236" s="88">
        <v>79</v>
      </c>
      <c r="J236" s="88" t="s">
        <v>51</v>
      </c>
      <c r="K236" s="88" t="s">
        <v>52</v>
      </c>
      <c r="L236" s="88" t="s">
        <v>53</v>
      </c>
      <c r="M236" s="88"/>
      <c r="N236" s="88" t="s">
        <v>54</v>
      </c>
      <c r="O236" s="93" t="s">
        <v>689</v>
      </c>
      <c r="P236" s="94" t="s">
        <v>56</v>
      </c>
      <c r="Q236" s="142" t="s">
        <v>68</v>
      </c>
      <c r="R236" s="95">
        <v>46154</v>
      </c>
      <c r="S236" s="96"/>
      <c r="T236" s="96" t="s">
        <v>69</v>
      </c>
      <c r="U236" s="96" t="s">
        <v>70</v>
      </c>
      <c r="V236" s="92">
        <v>46153</v>
      </c>
      <c r="W236" s="92">
        <v>46154</v>
      </c>
      <c r="X236" s="92" t="s">
        <v>71</v>
      </c>
      <c r="Y236" s="97"/>
      <c r="Z236" s="88" t="s">
        <v>72</v>
      </c>
      <c r="AA236" s="96">
        <v>46161.638888888891</v>
      </c>
      <c r="AB236" s="88"/>
      <c r="AC236" s="119"/>
      <c r="AD236" s="88"/>
      <c r="AE236" s="88"/>
      <c r="AF236" s="98"/>
      <c r="AG236" s="98"/>
      <c r="AH236" s="98"/>
      <c r="AI236" s="99" t="s">
        <v>61</v>
      </c>
      <c r="AJ236" s="99" t="s">
        <v>61</v>
      </c>
      <c r="AK236" s="99" t="s">
        <v>61</v>
      </c>
      <c r="AL236" s="44" t="s">
        <v>62</v>
      </c>
      <c r="AM236" s="196" t="str">
        <f>MONTH(B236)&amp;"/"&amp;YEAR(B236)</f>
        <v>5/2026</v>
      </c>
      <c r="AN236" s="44">
        <f>WEEKNUM(B236)-WEEKNUM(EOMONTH(B236,-1)+1)+1</f>
        <v>2</v>
      </c>
      <c r="AO236" s="44" t="str">
        <f>MONTH(R236)&amp;"/"&amp;YEAR(R236)</f>
        <v>5/2026</v>
      </c>
      <c r="AP236" s="44">
        <f>WEEKNUM(R236)-WEEKNUM(EOMONTH(R236,-1)+1)+1</f>
        <v>3</v>
      </c>
      <c r="AQ236" s="44">
        <f>IF(AU236="S",IF(Q236="1. Aceitou o programa",R236-B236,0),0)</f>
        <v>7</v>
      </c>
      <c r="AR236" s="44">
        <f>IF(AU236="S",IF(AND(S236&lt;&gt;"",R236&lt;&gt;""),S236-R236,0),0)</f>
        <v>0</v>
      </c>
      <c r="AS236" s="44">
        <f>IF(AU236="S",IF(Q236="1. Aceitou o programa",IF(OR(X236="Não se Aplica",X236=""),IF(OR(W236="Não se Aplica",W236=""),0,W236-V236),AVERAGE(X236-W236,W236-V236)),0),0)</f>
        <v>1</v>
      </c>
      <c r="AT236" s="44">
        <f>IF(AU236="S",IF(AND(Q236="1. Aceitou o programa",AB236="Realizada"),IFERROR(IF(AA236="",0,AA236-R236),0),0),0)</f>
        <v>0</v>
      </c>
      <c r="AU236" s="44" t="str">
        <f>_xlfn.XLOOKUP(U236,'Lista Suspensa'!$AA$20:$AA$23,'Lista Suspensa'!$AB$20:$AB$23,"N/A")</f>
        <v>S</v>
      </c>
    </row>
    <row r="237" spans="1:47" ht="12" hidden="1" customHeight="1">
      <c r="A237" s="86" t="s">
        <v>47</v>
      </c>
      <c r="B237" s="87">
        <v>46147</v>
      </c>
      <c r="C237" s="88" t="s">
        <v>48</v>
      </c>
      <c r="D237" s="88" t="s">
        <v>49</v>
      </c>
      <c r="E237" s="89">
        <v>84199382</v>
      </c>
      <c r="F237" s="218" t="s">
        <v>690</v>
      </c>
      <c r="G237" s="91">
        <v>16104793860</v>
      </c>
      <c r="H237" s="92">
        <v>24786</v>
      </c>
      <c r="I237" s="88">
        <v>58</v>
      </c>
      <c r="J237" s="88" t="s">
        <v>51</v>
      </c>
      <c r="K237" s="88" t="s">
        <v>52</v>
      </c>
      <c r="L237" s="88" t="s">
        <v>53</v>
      </c>
      <c r="M237" s="88"/>
      <c r="N237" s="88" t="s">
        <v>162</v>
      </c>
      <c r="O237" s="93" t="s">
        <v>691</v>
      </c>
      <c r="P237" s="94" t="s">
        <v>56</v>
      </c>
      <c r="Q237" s="142" t="s">
        <v>68</v>
      </c>
      <c r="R237" s="95">
        <v>46153</v>
      </c>
      <c r="S237" s="96"/>
      <c r="T237" s="96" t="s">
        <v>69</v>
      </c>
      <c r="U237" s="96" t="s">
        <v>70</v>
      </c>
      <c r="V237" s="92">
        <v>46153</v>
      </c>
      <c r="W237" s="92" t="s">
        <v>71</v>
      </c>
      <c r="X237" s="92" t="s">
        <v>71</v>
      </c>
      <c r="Y237" s="97"/>
      <c r="Z237" s="88" t="s">
        <v>72</v>
      </c>
      <c r="AA237" s="96" t="s">
        <v>343</v>
      </c>
      <c r="AB237" s="88" t="s">
        <v>105</v>
      </c>
      <c r="AC237" s="119">
        <v>46176</v>
      </c>
      <c r="AD237" s="88"/>
      <c r="AE237" s="88"/>
      <c r="AF237" s="98"/>
      <c r="AG237" s="98"/>
      <c r="AH237" s="98"/>
      <c r="AI237" s="99" t="s">
        <v>61</v>
      </c>
      <c r="AJ237" s="99" t="s">
        <v>61</v>
      </c>
      <c r="AK237" s="99" t="s">
        <v>61</v>
      </c>
      <c r="AL237" s="44" t="s">
        <v>62</v>
      </c>
      <c r="AM237" s="196" t="str">
        <f>MONTH(B237)&amp;"/"&amp;YEAR(B237)</f>
        <v>5/2026</v>
      </c>
      <c r="AN237" s="44">
        <f>WEEKNUM(B237)-WEEKNUM(EOMONTH(B237,-1)+1)+1</f>
        <v>2</v>
      </c>
      <c r="AO237" s="44" t="str">
        <f>MONTH(R237)&amp;"/"&amp;YEAR(R237)</f>
        <v>5/2026</v>
      </c>
      <c r="AP237" s="44">
        <f>WEEKNUM(R237)-WEEKNUM(EOMONTH(R237,-1)+1)+1</f>
        <v>3</v>
      </c>
      <c r="AQ237" s="44">
        <f>IF(AU237="S",IF(Q237="1. Aceitou o programa",R237-B237,0),0)</f>
        <v>6</v>
      </c>
      <c r="AR237" s="44">
        <f>IF(AU237="S",IF(AND(S237&lt;&gt;"",R237&lt;&gt;""),S237-R237,0),0)</f>
        <v>0</v>
      </c>
      <c r="AS237" s="44">
        <f>IF(AU237="S",IF(Q237="1. Aceitou o programa",IF(OR(X237="Não se Aplica",X237=""),IF(OR(W237="Não se Aplica",W237=""),0,W237-V237),AVERAGE(X237-W237,W237-V237)),0),0)</f>
        <v>0</v>
      </c>
      <c r="AT237" s="44">
        <f>IF(AU237="S",IF(AND(Q237="1. Aceitou o programa",AB237="Realizada"),IFERROR(IF(AA237="",0,AA237-R237),0),0),0)</f>
        <v>0</v>
      </c>
      <c r="AU237" s="44" t="str">
        <f>_xlfn.XLOOKUP(U237,'Lista Suspensa'!$AA$20:$AA$23,'Lista Suspensa'!$AB$20:$AB$23,"N/A")</f>
        <v>S</v>
      </c>
    </row>
    <row r="238" spans="1:47" ht="12" hidden="1" customHeight="1">
      <c r="A238" s="86" t="s">
        <v>47</v>
      </c>
      <c r="B238" s="87">
        <v>46147</v>
      </c>
      <c r="C238" s="88" t="s">
        <v>48</v>
      </c>
      <c r="D238" s="88" t="s">
        <v>49</v>
      </c>
      <c r="E238" s="111">
        <v>451802560</v>
      </c>
      <c r="F238" s="218" t="s">
        <v>692</v>
      </c>
      <c r="G238" s="91">
        <v>63515962891</v>
      </c>
      <c r="H238" s="92">
        <v>18598</v>
      </c>
      <c r="I238" s="88">
        <v>75</v>
      </c>
      <c r="J238" s="88" t="s">
        <v>51</v>
      </c>
      <c r="K238" s="88" t="s">
        <v>52</v>
      </c>
      <c r="L238" s="88" t="s">
        <v>53</v>
      </c>
      <c r="M238" s="88"/>
      <c r="N238" s="88" t="s">
        <v>223</v>
      </c>
      <c r="O238" s="93" t="s">
        <v>693</v>
      </c>
      <c r="P238" s="94" t="s">
        <v>56</v>
      </c>
      <c r="Q238" s="142" t="s">
        <v>68</v>
      </c>
      <c r="R238" s="95">
        <v>46163</v>
      </c>
      <c r="S238" s="96"/>
      <c r="T238" s="96" t="s">
        <v>69</v>
      </c>
      <c r="U238" s="96" t="s">
        <v>70</v>
      </c>
      <c r="V238" s="92">
        <v>46153</v>
      </c>
      <c r="W238" s="92">
        <v>46154</v>
      </c>
      <c r="X238" s="92">
        <v>46160</v>
      </c>
      <c r="Y238" s="97"/>
      <c r="Z238" s="88" t="s">
        <v>72</v>
      </c>
      <c r="AA238" s="96">
        <v>46171.402777777781</v>
      </c>
      <c r="AB238" s="88"/>
      <c r="AC238" s="119"/>
      <c r="AD238" s="88"/>
      <c r="AE238" s="88"/>
      <c r="AF238" s="98"/>
      <c r="AG238" s="98"/>
      <c r="AH238" s="98"/>
      <c r="AI238" s="99"/>
      <c r="AJ238" s="99" t="s">
        <v>61</v>
      </c>
      <c r="AK238" s="99" t="s">
        <v>61</v>
      </c>
      <c r="AL238" s="44" t="s">
        <v>62</v>
      </c>
      <c r="AM238" s="196" t="str">
        <f>MONTH(B238)&amp;"/"&amp;YEAR(B238)</f>
        <v>5/2026</v>
      </c>
      <c r="AN238" s="44">
        <f>WEEKNUM(B238)-WEEKNUM(EOMONTH(B238,-1)+1)+1</f>
        <v>2</v>
      </c>
      <c r="AO238" s="44" t="str">
        <f>MONTH(R238)&amp;"/"&amp;YEAR(R238)</f>
        <v>5/2026</v>
      </c>
      <c r="AP238" s="44">
        <f>WEEKNUM(R238)-WEEKNUM(EOMONTH(R238,-1)+1)+1</f>
        <v>4</v>
      </c>
      <c r="AQ238" s="44">
        <f>IF(AU238="S",IF(Q238="1. Aceitou o programa",R238-B238,0),0)</f>
        <v>16</v>
      </c>
      <c r="AR238" s="44">
        <f>IF(AU238="S",IF(AND(S238&lt;&gt;"",R238&lt;&gt;""),S238-R238,0),0)</f>
        <v>0</v>
      </c>
      <c r="AS238" s="44">
        <f>IF(AU238="S",IF(Q238="1. Aceitou o programa",IF(OR(X238="Não se Aplica",X238=""),IF(OR(W238="Não se Aplica",W238=""),0,W238-V238),AVERAGE(X238-W238,W238-V238)),0),0)</f>
        <v>3.5</v>
      </c>
      <c r="AT238" s="44">
        <f>IF(AU238="S",IF(AND(Q238="1. Aceitou o programa",AB238="Realizada"),IFERROR(IF(AA238="",0,AA238-R238),0),0),0)</f>
        <v>0</v>
      </c>
      <c r="AU238" s="44" t="str">
        <f>_xlfn.XLOOKUP(U238,'Lista Suspensa'!$AA$20:$AA$23,'Lista Suspensa'!$AB$20:$AB$23,"N/A")</f>
        <v>S</v>
      </c>
    </row>
    <row r="239" spans="1:47" ht="12" hidden="1" customHeight="1">
      <c r="A239" s="86" t="s">
        <v>47</v>
      </c>
      <c r="B239" s="87">
        <v>46147</v>
      </c>
      <c r="C239" s="88" t="s">
        <v>48</v>
      </c>
      <c r="D239" s="88" t="s">
        <v>49</v>
      </c>
      <c r="E239" s="89">
        <v>84806965</v>
      </c>
      <c r="F239" s="218" t="s">
        <v>694</v>
      </c>
      <c r="G239" s="91">
        <v>3442151724</v>
      </c>
      <c r="H239" s="92">
        <v>24112</v>
      </c>
      <c r="I239" s="88">
        <v>60</v>
      </c>
      <c r="J239" s="88" t="s">
        <v>64</v>
      </c>
      <c r="K239" s="88" t="s">
        <v>80</v>
      </c>
      <c r="L239" s="88" t="s">
        <v>87</v>
      </c>
      <c r="M239" s="88"/>
      <c r="N239" s="88" t="s">
        <v>162</v>
      </c>
      <c r="O239" s="93" t="s">
        <v>695</v>
      </c>
      <c r="P239" s="94" t="s">
        <v>56</v>
      </c>
      <c r="Q239" s="142" t="s">
        <v>57</v>
      </c>
      <c r="R239" s="95"/>
      <c r="S239" s="96">
        <v>46170</v>
      </c>
      <c r="T239" s="96" t="s">
        <v>58</v>
      </c>
      <c r="U239" s="96" t="s">
        <v>59</v>
      </c>
      <c r="V239" s="92">
        <v>46153</v>
      </c>
      <c r="W239" s="92">
        <v>46154</v>
      </c>
      <c r="X239" s="92">
        <v>46164</v>
      </c>
      <c r="Y239" s="97"/>
      <c r="Z239" s="88"/>
      <c r="AA239" s="96"/>
      <c r="AB239" s="88"/>
      <c r="AC239" s="119"/>
      <c r="AD239" s="88"/>
      <c r="AE239" s="88"/>
      <c r="AF239" s="98"/>
      <c r="AG239" s="98"/>
      <c r="AH239" s="98"/>
      <c r="AI239" s="99"/>
      <c r="AJ239" s="99"/>
      <c r="AK239" s="99"/>
      <c r="AL239" s="44" t="s">
        <v>62</v>
      </c>
      <c r="AM239" s="196" t="str">
        <f>MONTH(B239)&amp;"/"&amp;YEAR(B239)</f>
        <v>5/2026</v>
      </c>
      <c r="AN239" s="44">
        <f>WEEKNUM(B239)-WEEKNUM(EOMONTH(B239,-1)+1)+1</f>
        <v>2</v>
      </c>
      <c r="AO239" s="44" t="str">
        <f>MONTH(R239)&amp;"/"&amp;YEAR(R239)</f>
        <v>1/1900</v>
      </c>
      <c r="AP239" s="44" t="e">
        <f>WEEKNUM(R239)-WEEKNUM(EOMONTH(R239,-1)+1)+1</f>
        <v>#NUM!</v>
      </c>
      <c r="AQ239" s="44">
        <f>IF(AU239="S",IF(Q239="1. Aceitou o programa",R239-B239,0),0)</f>
        <v>0</v>
      </c>
      <c r="AR239" s="44">
        <f>IF(AU239="S",IF(AND(S239&lt;&gt;"",R239&lt;&gt;""),S239-R239,0),0)</f>
        <v>0</v>
      </c>
      <c r="AS239" s="44">
        <f>IF(AU239="S",IF(Q239="1. Aceitou o programa",IF(OR(X239="Não se Aplica",X239=""),IF(OR(W239="Não se Aplica",W239=""),0,W239-V239),AVERAGE(X239-W239,W239-V239)),0),0)</f>
        <v>0</v>
      </c>
      <c r="AT239" s="44">
        <f>IF(AU239="S",IF(AND(Q239="1. Aceitou o programa",AB239="Realizada"),IFERROR(IF(AA239="",0,AA239-R239),0),0),0)</f>
        <v>0</v>
      </c>
      <c r="AU239" s="44" t="str">
        <f>_xlfn.XLOOKUP(U239,'Lista Suspensa'!$AA$20:$AA$23,'Lista Suspensa'!$AB$20:$AB$23,"N/A")</f>
        <v>S</v>
      </c>
    </row>
    <row r="240" spans="1:47" ht="12" hidden="1" customHeight="1">
      <c r="A240" s="86" t="s">
        <v>47</v>
      </c>
      <c r="B240" s="87">
        <v>46147</v>
      </c>
      <c r="C240" s="88" t="s">
        <v>48</v>
      </c>
      <c r="D240" s="88" t="s">
        <v>49</v>
      </c>
      <c r="E240" s="89">
        <v>757227066</v>
      </c>
      <c r="F240" s="218" t="s">
        <v>696</v>
      </c>
      <c r="G240" s="91">
        <v>4473679780</v>
      </c>
      <c r="H240" s="92">
        <v>26681</v>
      </c>
      <c r="I240" s="88">
        <v>53</v>
      </c>
      <c r="J240" s="88" t="s">
        <v>64</v>
      </c>
      <c r="K240" s="88" t="s">
        <v>80</v>
      </c>
      <c r="L240" s="88" t="s">
        <v>142</v>
      </c>
      <c r="M240" s="88"/>
      <c r="N240" s="88" t="s">
        <v>138</v>
      </c>
      <c r="O240" s="93" t="s">
        <v>697</v>
      </c>
      <c r="P240" s="94" t="s">
        <v>56</v>
      </c>
      <c r="Q240" s="142" t="s">
        <v>68</v>
      </c>
      <c r="R240" s="95">
        <v>46153</v>
      </c>
      <c r="S240" s="96"/>
      <c r="T240" s="96" t="s">
        <v>69</v>
      </c>
      <c r="U240" s="96" t="s">
        <v>70</v>
      </c>
      <c r="V240" s="92">
        <v>46153</v>
      </c>
      <c r="W240" s="92" t="s">
        <v>71</v>
      </c>
      <c r="X240" s="92" t="s">
        <v>71</v>
      </c>
      <c r="Y240" s="97"/>
      <c r="Z240" s="88" t="s">
        <v>72</v>
      </c>
      <c r="AA240" s="96" t="s">
        <v>698</v>
      </c>
      <c r="AB240" s="88" t="s">
        <v>74</v>
      </c>
      <c r="AC240" s="119"/>
      <c r="AD240" s="88" t="s">
        <v>113</v>
      </c>
      <c r="AE240" s="88">
        <v>45</v>
      </c>
      <c r="AF240" s="98" t="s">
        <v>85</v>
      </c>
      <c r="AG240" s="98" t="s">
        <v>85</v>
      </c>
      <c r="AH240" s="98" t="s">
        <v>152</v>
      </c>
      <c r="AI240" s="99" t="s">
        <v>61</v>
      </c>
      <c r="AJ240" s="99" t="s">
        <v>61</v>
      </c>
      <c r="AK240" s="99" t="s">
        <v>61</v>
      </c>
      <c r="AL240" s="44" t="s">
        <v>62</v>
      </c>
      <c r="AM240" s="196" t="str">
        <f>MONTH(B240)&amp;"/"&amp;YEAR(B240)</f>
        <v>5/2026</v>
      </c>
      <c r="AN240" s="44">
        <f>WEEKNUM(B240)-WEEKNUM(EOMONTH(B240,-1)+1)+1</f>
        <v>2</v>
      </c>
      <c r="AO240" s="44" t="str">
        <f>MONTH(R240)&amp;"/"&amp;YEAR(R240)</f>
        <v>5/2026</v>
      </c>
      <c r="AP240" s="44">
        <f>WEEKNUM(R240)-WEEKNUM(EOMONTH(R240,-1)+1)+1</f>
        <v>3</v>
      </c>
      <c r="AQ240" s="44">
        <f>IF(AU240="S",IF(Q240="1. Aceitou o programa",R240-B240,0),0)</f>
        <v>6</v>
      </c>
      <c r="AR240" s="44">
        <f>IF(AU240="S",IF(AND(S240&lt;&gt;"",R240&lt;&gt;""),S240-R240,0),0)</f>
        <v>0</v>
      </c>
      <c r="AS240" s="44">
        <f>IF(AU240="S",IF(Q240="1. Aceitou o programa",IF(OR(X240="Não se Aplica",X240=""),IF(OR(W240="Não se Aplica",W240=""),0,W240-V240),AVERAGE(X240-W240,W240-V240)),0),0)</f>
        <v>0</v>
      </c>
      <c r="AT240" s="44">
        <f>IF(AU240="S",IF(AND(Q240="1. Aceitou o programa",AB240="Realizada"),IFERROR(IF(AA240="",0,AA240-R240),0),0),0)</f>
        <v>10.583333333335759</v>
      </c>
      <c r="AU240" s="44" t="str">
        <f>_xlfn.XLOOKUP(U240,'Lista Suspensa'!$AA$20:$AA$23,'Lista Suspensa'!$AB$20:$AB$23,"N/A")</f>
        <v>S</v>
      </c>
    </row>
    <row r="241" spans="1:47" ht="12" hidden="1" customHeight="1">
      <c r="A241" s="86" t="s">
        <v>47</v>
      </c>
      <c r="B241" s="87">
        <v>46147</v>
      </c>
      <c r="C241" s="88" t="s">
        <v>48</v>
      </c>
      <c r="D241" s="88" t="s">
        <v>49</v>
      </c>
      <c r="E241" s="89">
        <v>84673903</v>
      </c>
      <c r="F241" s="218" t="s">
        <v>699</v>
      </c>
      <c r="G241" s="91">
        <v>12730892788</v>
      </c>
      <c r="H241" s="92">
        <v>32583</v>
      </c>
      <c r="I241" s="88">
        <v>37</v>
      </c>
      <c r="J241" s="88" t="s">
        <v>51</v>
      </c>
      <c r="K241" s="88" t="s">
        <v>80</v>
      </c>
      <c r="L241" s="88" t="s">
        <v>142</v>
      </c>
      <c r="M241" s="88"/>
      <c r="N241" s="88" t="s">
        <v>110</v>
      </c>
      <c r="O241" s="93" t="s">
        <v>700</v>
      </c>
      <c r="P241" s="94" t="s">
        <v>56</v>
      </c>
      <c r="Q241" s="142" t="s">
        <v>68</v>
      </c>
      <c r="R241" s="95">
        <v>46153</v>
      </c>
      <c r="S241" s="96"/>
      <c r="T241" s="96" t="s">
        <v>69</v>
      </c>
      <c r="U241" s="96" t="s">
        <v>70</v>
      </c>
      <c r="V241" s="92">
        <v>46153</v>
      </c>
      <c r="W241" s="92" t="s">
        <v>71</v>
      </c>
      <c r="X241" s="92" t="s">
        <v>71</v>
      </c>
      <c r="Y241" s="97"/>
      <c r="Z241" s="88" t="s">
        <v>72</v>
      </c>
      <c r="AA241" s="96" t="s">
        <v>701</v>
      </c>
      <c r="AB241" s="88" t="s">
        <v>74</v>
      </c>
      <c r="AC241" s="119"/>
      <c r="AD241" s="88"/>
      <c r="AE241" s="88"/>
      <c r="AF241" s="98"/>
      <c r="AG241" s="98"/>
      <c r="AH241" s="98"/>
      <c r="AI241" s="99" t="s">
        <v>61</v>
      </c>
      <c r="AJ241" s="99" t="s">
        <v>61</v>
      </c>
      <c r="AK241" s="99" t="s">
        <v>61</v>
      </c>
      <c r="AL241" s="44" t="s">
        <v>62</v>
      </c>
      <c r="AM241" s="196" t="str">
        <f>MONTH(B241)&amp;"/"&amp;YEAR(B241)</f>
        <v>5/2026</v>
      </c>
      <c r="AN241" s="44">
        <f>WEEKNUM(B241)-WEEKNUM(EOMONTH(B241,-1)+1)+1</f>
        <v>2</v>
      </c>
      <c r="AO241" s="44" t="str">
        <f>MONTH(R241)&amp;"/"&amp;YEAR(R241)</f>
        <v>5/2026</v>
      </c>
      <c r="AP241" s="44">
        <f>WEEKNUM(R241)-WEEKNUM(EOMONTH(R241,-1)+1)+1</f>
        <v>3</v>
      </c>
      <c r="AQ241" s="44">
        <f>IF(AU241="S",IF(Q241="1. Aceitou o programa",R241-B241,0),0)</f>
        <v>6</v>
      </c>
      <c r="AR241" s="44">
        <f>IF(AU241="S",IF(AND(S241&lt;&gt;"",R241&lt;&gt;""),S241-R241,0),0)</f>
        <v>0</v>
      </c>
      <c r="AS241" s="44">
        <f>IF(AU241="S",IF(Q241="1. Aceitou o programa",IF(OR(X241="Não se Aplica",X241=""),IF(OR(W241="Não se Aplica",W241=""),0,W241-V241),AVERAGE(X241-W241,W241-V241)),0),0)</f>
        <v>0</v>
      </c>
      <c r="AT241" s="44">
        <f>IF(AU241="S",IF(AND(Q241="1. Aceitou o programa",AB241="Realizada"),IFERROR(IF(AA241="",0,AA241-R241),0),0),0)</f>
        <v>9.4861111111094942</v>
      </c>
      <c r="AU241" s="44" t="str">
        <f>_xlfn.XLOOKUP(U241,'Lista Suspensa'!$AA$20:$AA$23,'Lista Suspensa'!$AB$20:$AB$23,"N/A")</f>
        <v>S</v>
      </c>
    </row>
    <row r="242" spans="1:47" ht="12" hidden="1" customHeight="1">
      <c r="A242" s="86" t="s">
        <v>47</v>
      </c>
      <c r="B242" s="87">
        <v>46147</v>
      </c>
      <c r="C242" s="88" t="s">
        <v>48</v>
      </c>
      <c r="D242" s="88" t="s">
        <v>49</v>
      </c>
      <c r="E242" s="89">
        <v>84629396</v>
      </c>
      <c r="F242" s="218" t="s">
        <v>702</v>
      </c>
      <c r="G242" s="91">
        <v>81876254734</v>
      </c>
      <c r="H242" s="92">
        <v>20590</v>
      </c>
      <c r="I242" s="88">
        <v>70</v>
      </c>
      <c r="J242" s="88" t="s">
        <v>64</v>
      </c>
      <c r="K242" s="88" t="s">
        <v>80</v>
      </c>
      <c r="L242" s="88" t="s">
        <v>87</v>
      </c>
      <c r="M242" s="88"/>
      <c r="N242" s="88" t="s">
        <v>91</v>
      </c>
      <c r="O242" s="93" t="s">
        <v>703</v>
      </c>
      <c r="P242" s="94" t="s">
        <v>56</v>
      </c>
      <c r="Q242" s="142" t="s">
        <v>57</v>
      </c>
      <c r="R242" s="95"/>
      <c r="S242" s="96">
        <v>46170</v>
      </c>
      <c r="T242" s="96" t="s">
        <v>58</v>
      </c>
      <c r="U242" s="96" t="s">
        <v>59</v>
      </c>
      <c r="V242" s="92">
        <v>46153</v>
      </c>
      <c r="W242" s="92">
        <v>46154</v>
      </c>
      <c r="X242" s="92">
        <v>46164</v>
      </c>
      <c r="Y242" s="97"/>
      <c r="Z242" s="88"/>
      <c r="AA242" s="96"/>
      <c r="AB242" s="88"/>
      <c r="AC242" s="119"/>
      <c r="AD242" s="88"/>
      <c r="AE242" s="88"/>
      <c r="AF242" s="98"/>
      <c r="AG242" s="98"/>
      <c r="AH242" s="98"/>
      <c r="AI242" s="99"/>
      <c r="AJ242" s="99"/>
      <c r="AK242" s="99"/>
      <c r="AL242" s="44" t="s">
        <v>62</v>
      </c>
      <c r="AM242" s="196" t="str">
        <f>MONTH(B242)&amp;"/"&amp;YEAR(B242)</f>
        <v>5/2026</v>
      </c>
      <c r="AN242" s="44">
        <f>WEEKNUM(B242)-WEEKNUM(EOMONTH(B242,-1)+1)+1</f>
        <v>2</v>
      </c>
      <c r="AO242" s="44" t="str">
        <f>MONTH(R242)&amp;"/"&amp;YEAR(R242)</f>
        <v>1/1900</v>
      </c>
      <c r="AP242" s="44" t="e">
        <f>WEEKNUM(R242)-WEEKNUM(EOMONTH(R242,-1)+1)+1</f>
        <v>#NUM!</v>
      </c>
      <c r="AQ242" s="44">
        <f>IF(AU242="S",IF(Q242="1. Aceitou o programa",R242-B242,0),0)</f>
        <v>0</v>
      </c>
      <c r="AR242" s="44">
        <f>IF(AU242="S",IF(AND(S242&lt;&gt;"",R242&lt;&gt;""),S242-R242,0),0)</f>
        <v>0</v>
      </c>
      <c r="AS242" s="44">
        <f>IF(AU242="S",IF(Q242="1. Aceitou o programa",IF(OR(X242="Não se Aplica",X242=""),IF(OR(W242="Não se Aplica",W242=""),0,W242-V242),AVERAGE(X242-W242,W242-V242)),0),0)</f>
        <v>0</v>
      </c>
      <c r="AT242" s="44">
        <f>IF(AU242="S",IF(AND(Q242="1. Aceitou o programa",AB242="Realizada"),IFERROR(IF(AA242="",0,AA242-R242),0),0),0)</f>
        <v>0</v>
      </c>
      <c r="AU242" s="44" t="str">
        <f>_xlfn.XLOOKUP(U242,'Lista Suspensa'!$AA$20:$AA$23,'Lista Suspensa'!$AB$20:$AB$23,"N/A")</f>
        <v>S</v>
      </c>
    </row>
    <row r="243" spans="1:47" ht="12" hidden="1" customHeight="1">
      <c r="A243" s="86" t="s">
        <v>47</v>
      </c>
      <c r="B243" s="87">
        <v>46147</v>
      </c>
      <c r="C243" s="88" t="s">
        <v>48</v>
      </c>
      <c r="D243" s="88" t="s">
        <v>49</v>
      </c>
      <c r="E243" s="89">
        <v>94018797</v>
      </c>
      <c r="F243" s="218" t="s">
        <v>704</v>
      </c>
      <c r="G243" s="91">
        <v>43122540797</v>
      </c>
      <c r="H243" s="92">
        <v>20168</v>
      </c>
      <c r="I243" s="88">
        <v>71</v>
      </c>
      <c r="J243" s="88" t="s">
        <v>64</v>
      </c>
      <c r="K243" s="88" t="s">
        <v>80</v>
      </c>
      <c r="L243" s="88" t="s">
        <v>87</v>
      </c>
      <c r="M243" s="88"/>
      <c r="N243" s="88" t="s">
        <v>94</v>
      </c>
      <c r="O243" s="93" t="s">
        <v>705</v>
      </c>
      <c r="P243" s="94" t="s">
        <v>56</v>
      </c>
      <c r="Q243" s="142" t="s">
        <v>57</v>
      </c>
      <c r="R243" s="95"/>
      <c r="S243" s="96">
        <v>46170</v>
      </c>
      <c r="T243" s="96" t="s">
        <v>58</v>
      </c>
      <c r="U243" s="96" t="s">
        <v>59</v>
      </c>
      <c r="V243" s="92">
        <v>46153</v>
      </c>
      <c r="W243" s="92">
        <v>46154</v>
      </c>
      <c r="X243" s="92">
        <v>46164</v>
      </c>
      <c r="Y243" s="97"/>
      <c r="Z243" s="88"/>
      <c r="AA243" s="96"/>
      <c r="AB243" s="88"/>
      <c r="AC243" s="119"/>
      <c r="AD243" s="88"/>
      <c r="AE243" s="88"/>
      <c r="AF243" s="98"/>
      <c r="AG243" s="98"/>
      <c r="AH243" s="98"/>
      <c r="AI243" s="99"/>
      <c r="AJ243" s="99"/>
      <c r="AK243" s="99"/>
      <c r="AL243" s="44" t="s">
        <v>62</v>
      </c>
      <c r="AM243" s="196" t="str">
        <f>MONTH(B243)&amp;"/"&amp;YEAR(B243)</f>
        <v>5/2026</v>
      </c>
      <c r="AN243" s="44">
        <f>WEEKNUM(B243)-WEEKNUM(EOMONTH(B243,-1)+1)+1</f>
        <v>2</v>
      </c>
      <c r="AO243" s="44" t="str">
        <f>MONTH(R243)&amp;"/"&amp;YEAR(R243)</f>
        <v>1/1900</v>
      </c>
      <c r="AP243" s="44" t="e">
        <f>WEEKNUM(R243)-WEEKNUM(EOMONTH(R243,-1)+1)+1</f>
        <v>#NUM!</v>
      </c>
      <c r="AQ243" s="44">
        <f>IF(AU243="S",IF(Q243="1. Aceitou o programa",R243-B243,0),0)</f>
        <v>0</v>
      </c>
      <c r="AR243" s="44">
        <f>IF(AU243="S",IF(AND(S243&lt;&gt;"",R243&lt;&gt;""),S243-R243,0),0)</f>
        <v>0</v>
      </c>
      <c r="AS243" s="44">
        <f>IF(AU243="S",IF(Q243="1. Aceitou o programa",IF(OR(X243="Não se Aplica",X243=""),IF(OR(W243="Não se Aplica",W243=""),0,W243-V243),AVERAGE(X243-W243,W243-V243)),0),0)</f>
        <v>0</v>
      </c>
      <c r="AT243" s="44">
        <f>IF(AU243="S",IF(AND(Q243="1. Aceitou o programa",AB243="Realizada"),IFERROR(IF(AA243="",0,AA243-R243),0),0),0)</f>
        <v>0</v>
      </c>
      <c r="AU243" s="44" t="str">
        <f>_xlfn.XLOOKUP(U243,'Lista Suspensa'!$AA$20:$AA$23,'Lista Suspensa'!$AB$20:$AB$23,"N/A")</f>
        <v>S</v>
      </c>
    </row>
    <row r="244" spans="1:47" ht="12" hidden="1" customHeight="1">
      <c r="A244" s="86" t="s">
        <v>47</v>
      </c>
      <c r="B244" s="87">
        <v>46147</v>
      </c>
      <c r="C244" s="88" t="s">
        <v>48</v>
      </c>
      <c r="D244" s="88" t="s">
        <v>49</v>
      </c>
      <c r="E244" s="89">
        <v>486621960</v>
      </c>
      <c r="F244" s="218" t="s">
        <v>706</v>
      </c>
      <c r="G244" s="91">
        <v>62477315749</v>
      </c>
      <c r="H244" s="92">
        <v>21652</v>
      </c>
      <c r="I244" s="88">
        <v>67</v>
      </c>
      <c r="J244" s="88" t="s">
        <v>64</v>
      </c>
      <c r="K244" s="88" t="s">
        <v>80</v>
      </c>
      <c r="L244" s="88" t="s">
        <v>87</v>
      </c>
      <c r="M244" s="88"/>
      <c r="N244" s="88" t="s">
        <v>207</v>
      </c>
      <c r="O244" s="93" t="s">
        <v>707</v>
      </c>
      <c r="P244" s="94" t="s">
        <v>56</v>
      </c>
      <c r="Q244" s="142" t="s">
        <v>57</v>
      </c>
      <c r="R244" s="95"/>
      <c r="S244" s="96">
        <v>46170</v>
      </c>
      <c r="T244" s="96" t="s">
        <v>58</v>
      </c>
      <c r="U244" s="96" t="s">
        <v>59</v>
      </c>
      <c r="V244" s="92">
        <v>46153</v>
      </c>
      <c r="W244" s="92">
        <v>46154</v>
      </c>
      <c r="X244" s="92">
        <v>46164</v>
      </c>
      <c r="Y244" s="97"/>
      <c r="Z244" s="88"/>
      <c r="AA244" s="96"/>
      <c r="AB244" s="88"/>
      <c r="AC244" s="119"/>
      <c r="AD244" s="88"/>
      <c r="AE244" s="88"/>
      <c r="AF244" s="98"/>
      <c r="AG244" s="98"/>
      <c r="AH244" s="98"/>
      <c r="AI244" s="99"/>
      <c r="AJ244" s="99"/>
      <c r="AK244" s="99"/>
      <c r="AL244" s="44" t="s">
        <v>62</v>
      </c>
      <c r="AM244" s="196" t="str">
        <f>MONTH(B244)&amp;"/"&amp;YEAR(B244)</f>
        <v>5/2026</v>
      </c>
      <c r="AN244" s="44">
        <f>WEEKNUM(B244)-WEEKNUM(EOMONTH(B244,-1)+1)+1</f>
        <v>2</v>
      </c>
      <c r="AO244" s="44" t="str">
        <f>MONTH(R244)&amp;"/"&amp;YEAR(R244)</f>
        <v>1/1900</v>
      </c>
      <c r="AP244" s="44" t="e">
        <f>WEEKNUM(R244)-WEEKNUM(EOMONTH(R244,-1)+1)+1</f>
        <v>#NUM!</v>
      </c>
      <c r="AQ244" s="44">
        <f>IF(AU244="S",IF(Q244="1. Aceitou o programa",R244-B244,0),0)</f>
        <v>0</v>
      </c>
      <c r="AR244" s="44">
        <f>IF(AU244="S",IF(AND(S244&lt;&gt;"",R244&lt;&gt;""),S244-R244,0),0)</f>
        <v>0</v>
      </c>
      <c r="AS244" s="44">
        <f>IF(AU244="S",IF(Q244="1. Aceitou o programa",IF(OR(X244="Não se Aplica",X244=""),IF(OR(W244="Não se Aplica",W244=""),0,W244-V244),AVERAGE(X244-W244,W244-V244)),0),0)</f>
        <v>0</v>
      </c>
      <c r="AT244" s="44">
        <f>IF(AU244="S",IF(AND(Q244="1. Aceitou o programa",AB244="Realizada"),IFERROR(IF(AA244="",0,AA244-R244),0),0),0)</f>
        <v>0</v>
      </c>
      <c r="AU244" s="44" t="str">
        <f>_xlfn.XLOOKUP(U244,'Lista Suspensa'!$AA$20:$AA$23,'Lista Suspensa'!$AB$20:$AB$23,"N/A")</f>
        <v>S</v>
      </c>
    </row>
    <row r="245" spans="1:47" ht="12" hidden="1" customHeight="1">
      <c r="A245" s="86" t="s">
        <v>47</v>
      </c>
      <c r="B245" s="87">
        <v>46147</v>
      </c>
      <c r="C245" s="88" t="s">
        <v>48</v>
      </c>
      <c r="D245" s="88" t="s">
        <v>49</v>
      </c>
      <c r="E245" s="89">
        <v>811362809</v>
      </c>
      <c r="F245" s="218" t="s">
        <v>708</v>
      </c>
      <c r="G245" s="91">
        <v>27226145880</v>
      </c>
      <c r="H245" s="92">
        <v>18996</v>
      </c>
      <c r="I245" s="88">
        <v>74</v>
      </c>
      <c r="J245" s="88" t="s">
        <v>64</v>
      </c>
      <c r="K245" s="88" t="s">
        <v>52</v>
      </c>
      <c r="L245" s="88" t="s">
        <v>53</v>
      </c>
      <c r="M245" s="88"/>
      <c r="N245" s="88" t="s">
        <v>54</v>
      </c>
      <c r="O245" s="93" t="s">
        <v>689</v>
      </c>
      <c r="P245" s="94" t="s">
        <v>56</v>
      </c>
      <c r="Q245" s="142" t="s">
        <v>68</v>
      </c>
      <c r="R245" s="95">
        <v>46170</v>
      </c>
      <c r="S245" s="96"/>
      <c r="T245" s="96" t="s">
        <v>69</v>
      </c>
      <c r="U245" s="96" t="s">
        <v>70</v>
      </c>
      <c r="V245" s="92">
        <v>46153</v>
      </c>
      <c r="W245" s="92">
        <v>46154</v>
      </c>
      <c r="X245" s="92">
        <v>46164</v>
      </c>
      <c r="Y245" s="97"/>
      <c r="Z245" s="88" t="s">
        <v>72</v>
      </c>
      <c r="AA245" s="96">
        <v>46185</v>
      </c>
      <c r="AB245" s="88"/>
      <c r="AC245" s="119"/>
      <c r="AD245" s="88"/>
      <c r="AE245" s="88"/>
      <c r="AF245" s="98"/>
      <c r="AG245" s="98"/>
      <c r="AH245" s="98"/>
      <c r="AI245" s="99"/>
      <c r="AJ245" s="99" t="s">
        <v>61</v>
      </c>
      <c r="AK245" s="99" t="s">
        <v>78</v>
      </c>
      <c r="AL245" s="44" t="s">
        <v>62</v>
      </c>
      <c r="AM245" s="196" t="str">
        <f>MONTH(B245)&amp;"/"&amp;YEAR(B245)</f>
        <v>5/2026</v>
      </c>
      <c r="AN245" s="44">
        <f>WEEKNUM(B245)-WEEKNUM(EOMONTH(B245,-1)+1)+1</f>
        <v>2</v>
      </c>
      <c r="AO245" s="44" t="str">
        <f>MONTH(R245)&amp;"/"&amp;YEAR(R245)</f>
        <v>5/2026</v>
      </c>
      <c r="AP245" s="44">
        <f>WEEKNUM(R245)-WEEKNUM(EOMONTH(R245,-1)+1)+1</f>
        <v>5</v>
      </c>
      <c r="AQ245" s="44">
        <f>IF(AU245="S",IF(Q245="1. Aceitou o programa",R245-B245,0),0)</f>
        <v>23</v>
      </c>
      <c r="AR245" s="44">
        <f>IF(AU245="S",IF(AND(S245&lt;&gt;"",R245&lt;&gt;""),S245-R245,0),0)</f>
        <v>0</v>
      </c>
      <c r="AS245" s="44">
        <f>IF(AU245="S",IF(Q245="1. Aceitou o programa",IF(OR(X245="Não se Aplica",X245=""),IF(OR(W245="Não se Aplica",W245=""),0,W245-V245),AVERAGE(X245-W245,W245-V245)),0),0)</f>
        <v>5.5</v>
      </c>
      <c r="AT245" s="44">
        <f>IF(AU245="S",IF(AND(Q245="1. Aceitou o programa",AB245="Realizada"),IFERROR(IF(AA245="",0,AA245-R245),0),0),0)</f>
        <v>0</v>
      </c>
      <c r="AU245" s="44" t="str">
        <f>_xlfn.XLOOKUP(U245,'Lista Suspensa'!$AA$20:$AA$23,'Lista Suspensa'!$AB$20:$AB$23,"N/A")</f>
        <v>S</v>
      </c>
    </row>
    <row r="246" spans="1:47" ht="12" hidden="1" customHeight="1">
      <c r="A246" s="86" t="s">
        <v>47</v>
      </c>
      <c r="B246" s="87">
        <v>46147</v>
      </c>
      <c r="C246" s="88" t="s">
        <v>48</v>
      </c>
      <c r="D246" s="88" t="s">
        <v>49</v>
      </c>
      <c r="E246" s="89">
        <v>82459124</v>
      </c>
      <c r="F246" s="218" t="s">
        <v>709</v>
      </c>
      <c r="G246" s="91">
        <v>33452089894</v>
      </c>
      <c r="H246" s="92">
        <v>28615</v>
      </c>
      <c r="I246" s="88">
        <v>48</v>
      </c>
      <c r="J246" s="88" t="s">
        <v>64</v>
      </c>
      <c r="K246" s="88" t="s">
        <v>52</v>
      </c>
      <c r="L246" s="88" t="s">
        <v>53</v>
      </c>
      <c r="M246" s="88"/>
      <c r="N246" s="88" t="s">
        <v>118</v>
      </c>
      <c r="O246" s="93" t="s">
        <v>710</v>
      </c>
      <c r="P246" s="94" t="s">
        <v>56</v>
      </c>
      <c r="Q246" s="142" t="s">
        <v>68</v>
      </c>
      <c r="R246" s="95">
        <v>46153</v>
      </c>
      <c r="S246" s="96"/>
      <c r="T246" s="96" t="s">
        <v>69</v>
      </c>
      <c r="U246" s="96" t="s">
        <v>70</v>
      </c>
      <c r="V246" s="92">
        <v>46153</v>
      </c>
      <c r="W246" s="92" t="s">
        <v>71</v>
      </c>
      <c r="X246" s="92" t="s">
        <v>71</v>
      </c>
      <c r="Y246" s="97"/>
      <c r="Z246" s="88" t="s">
        <v>72</v>
      </c>
      <c r="AA246" s="96" t="s">
        <v>711</v>
      </c>
      <c r="AB246" s="88" t="s">
        <v>105</v>
      </c>
      <c r="AC246" s="119">
        <v>46188</v>
      </c>
      <c r="AD246" s="88"/>
      <c r="AE246" s="88"/>
      <c r="AF246" s="98"/>
      <c r="AG246" s="98"/>
      <c r="AH246" s="98"/>
      <c r="AI246" s="99" t="s">
        <v>61</v>
      </c>
      <c r="AJ246" s="99" t="s">
        <v>61</v>
      </c>
      <c r="AK246" s="99" t="s">
        <v>61</v>
      </c>
      <c r="AL246" s="44" t="s">
        <v>62</v>
      </c>
      <c r="AM246" s="196" t="str">
        <f>MONTH(B246)&amp;"/"&amp;YEAR(B246)</f>
        <v>5/2026</v>
      </c>
      <c r="AN246" s="44">
        <f>WEEKNUM(B246)-WEEKNUM(EOMONTH(B246,-1)+1)+1</f>
        <v>2</v>
      </c>
      <c r="AO246" s="44" t="str">
        <f>MONTH(R246)&amp;"/"&amp;YEAR(R246)</f>
        <v>5/2026</v>
      </c>
      <c r="AP246" s="44">
        <f>WEEKNUM(R246)-WEEKNUM(EOMONTH(R246,-1)+1)+1</f>
        <v>3</v>
      </c>
      <c r="AQ246" s="44">
        <f>IF(AU246="S",IF(Q246="1. Aceitou o programa",R246-B246,0),0)</f>
        <v>6</v>
      </c>
      <c r="AR246" s="44">
        <f>IF(AU246="S",IF(AND(S246&lt;&gt;"",R246&lt;&gt;""),S246-R246,0),0)</f>
        <v>0</v>
      </c>
      <c r="AS246" s="44">
        <f>IF(AU246="S",IF(Q246="1. Aceitou o programa",IF(OR(X246="Não se Aplica",X246=""),IF(OR(W246="Não se Aplica",W246=""),0,W246-V246),AVERAGE(X246-W246,W246-V246)),0),0)</f>
        <v>0</v>
      </c>
      <c r="AT246" s="44">
        <f>IF(AU246="S",IF(AND(Q246="1. Aceitou o programa",AB246="Realizada"),IFERROR(IF(AA246="",0,AA246-R246),0),0),0)</f>
        <v>0</v>
      </c>
      <c r="AU246" s="44" t="str">
        <f>_xlfn.XLOOKUP(U246,'Lista Suspensa'!$AA$20:$AA$23,'Lista Suspensa'!$AB$20:$AB$23,"N/A")</f>
        <v>S</v>
      </c>
    </row>
    <row r="247" spans="1:47" ht="12" hidden="1" customHeight="1">
      <c r="A247" s="86" t="s">
        <v>47</v>
      </c>
      <c r="B247" s="87">
        <v>46147</v>
      </c>
      <c r="C247" s="88" t="s">
        <v>48</v>
      </c>
      <c r="D247" s="88" t="s">
        <v>49</v>
      </c>
      <c r="E247" s="89">
        <v>85111092</v>
      </c>
      <c r="F247" s="218" t="s">
        <v>712</v>
      </c>
      <c r="G247" s="91">
        <v>25086640814</v>
      </c>
      <c r="H247" s="92">
        <v>27946</v>
      </c>
      <c r="I247" s="88">
        <v>49</v>
      </c>
      <c r="J247" s="88" t="s">
        <v>64</v>
      </c>
      <c r="K247" s="88" t="s">
        <v>52</v>
      </c>
      <c r="L247" s="88" t="s">
        <v>133</v>
      </c>
      <c r="M247" s="88"/>
      <c r="N247" s="88" t="s">
        <v>91</v>
      </c>
      <c r="O247" s="93" t="s">
        <v>713</v>
      </c>
      <c r="P247" s="94" t="s">
        <v>56</v>
      </c>
      <c r="Q247" s="142" t="s">
        <v>68</v>
      </c>
      <c r="R247" s="95">
        <v>46153</v>
      </c>
      <c r="S247" s="96"/>
      <c r="T247" s="96" t="s">
        <v>69</v>
      </c>
      <c r="U247" s="96" t="s">
        <v>70</v>
      </c>
      <c r="V247" s="92">
        <v>46153</v>
      </c>
      <c r="W247" s="92" t="s">
        <v>71</v>
      </c>
      <c r="X247" s="92" t="s">
        <v>71</v>
      </c>
      <c r="Y247" s="97"/>
      <c r="Z247" s="88" t="s">
        <v>72</v>
      </c>
      <c r="AA247" s="96" t="s">
        <v>714</v>
      </c>
      <c r="AB247" s="88" t="s">
        <v>105</v>
      </c>
      <c r="AC247" s="119">
        <v>46188</v>
      </c>
      <c r="AD247" s="88"/>
      <c r="AE247" s="88"/>
      <c r="AF247" s="98"/>
      <c r="AG247" s="98"/>
      <c r="AH247" s="98"/>
      <c r="AI247" s="99" t="s">
        <v>61</v>
      </c>
      <c r="AJ247" s="99" t="s">
        <v>61</v>
      </c>
      <c r="AK247" s="99" t="s">
        <v>61</v>
      </c>
      <c r="AL247" s="44" t="s">
        <v>62</v>
      </c>
      <c r="AM247" s="196" t="str">
        <f>MONTH(B247)&amp;"/"&amp;YEAR(B247)</f>
        <v>5/2026</v>
      </c>
      <c r="AN247" s="44">
        <f>WEEKNUM(B247)-WEEKNUM(EOMONTH(B247,-1)+1)+1</f>
        <v>2</v>
      </c>
      <c r="AO247" s="44" t="str">
        <f>MONTH(R247)&amp;"/"&amp;YEAR(R247)</f>
        <v>5/2026</v>
      </c>
      <c r="AP247" s="44">
        <f>WEEKNUM(R247)-WEEKNUM(EOMONTH(R247,-1)+1)+1</f>
        <v>3</v>
      </c>
      <c r="AQ247" s="44">
        <f>IF(AU247="S",IF(Q247="1. Aceitou o programa",R247-B247,0),0)</f>
        <v>6</v>
      </c>
      <c r="AR247" s="44">
        <f>IF(AU247="S",IF(AND(S247&lt;&gt;"",R247&lt;&gt;""),S247-R247,0),0)</f>
        <v>0</v>
      </c>
      <c r="AS247" s="44">
        <f>IF(AU247="S",IF(Q247="1. Aceitou o programa",IF(OR(X247="Não se Aplica",X247=""),IF(OR(W247="Não se Aplica",W247=""),0,W247-V247),AVERAGE(X247-W247,W247-V247)),0),0)</f>
        <v>0</v>
      </c>
      <c r="AT247" s="44">
        <f>IF(AU247="S",IF(AND(Q247="1. Aceitou o programa",AB247="Realizada"),IFERROR(IF(AA247="",0,AA247-R247),0),0),0)</f>
        <v>0</v>
      </c>
      <c r="AU247" s="44" t="str">
        <f>_xlfn.XLOOKUP(U247,'Lista Suspensa'!$AA$20:$AA$23,'Lista Suspensa'!$AB$20:$AB$23,"N/A")</f>
        <v>S</v>
      </c>
    </row>
    <row r="248" spans="1:47" ht="12" hidden="1" customHeight="1">
      <c r="A248" s="86" t="s">
        <v>47</v>
      </c>
      <c r="B248" s="87">
        <v>46147</v>
      </c>
      <c r="C248" s="88" t="s">
        <v>48</v>
      </c>
      <c r="D248" s="88" t="s">
        <v>49</v>
      </c>
      <c r="E248" s="89">
        <v>82596292</v>
      </c>
      <c r="F248" s="218" t="s">
        <v>715</v>
      </c>
      <c r="G248" s="91">
        <v>10628326718</v>
      </c>
      <c r="H248" s="92">
        <v>30772</v>
      </c>
      <c r="I248" s="88">
        <v>42</v>
      </c>
      <c r="J248" s="88" t="s">
        <v>51</v>
      </c>
      <c r="K248" s="88" t="s">
        <v>80</v>
      </c>
      <c r="L248" s="88" t="s">
        <v>251</v>
      </c>
      <c r="M248" s="88"/>
      <c r="N248" s="88" t="s">
        <v>88</v>
      </c>
      <c r="O248" s="93" t="s">
        <v>716</v>
      </c>
      <c r="P248" s="94" t="s">
        <v>56</v>
      </c>
      <c r="Q248" s="142" t="s">
        <v>68</v>
      </c>
      <c r="R248" s="95">
        <v>46153</v>
      </c>
      <c r="S248" s="96"/>
      <c r="T248" s="96" t="s">
        <v>69</v>
      </c>
      <c r="U248" s="96" t="s">
        <v>70</v>
      </c>
      <c r="V248" s="92">
        <v>46153</v>
      </c>
      <c r="W248" s="92" t="s">
        <v>71</v>
      </c>
      <c r="X248" s="92" t="s">
        <v>71</v>
      </c>
      <c r="Y248" s="97"/>
      <c r="Z248" s="88" t="s">
        <v>72</v>
      </c>
      <c r="AA248" s="96" t="s">
        <v>717</v>
      </c>
      <c r="AB248" s="88" t="s">
        <v>105</v>
      </c>
      <c r="AC248" s="119">
        <v>46177</v>
      </c>
      <c r="AD248" s="88"/>
      <c r="AE248" s="88"/>
      <c r="AF248" s="98"/>
      <c r="AG248" s="98"/>
      <c r="AH248" s="98"/>
      <c r="AI248" s="99" t="s">
        <v>61</v>
      </c>
      <c r="AJ248" s="99" t="s">
        <v>61</v>
      </c>
      <c r="AK248" s="99" t="s">
        <v>61</v>
      </c>
      <c r="AL248" s="44" t="s">
        <v>62</v>
      </c>
      <c r="AM248" s="196" t="str">
        <f>MONTH(B248)&amp;"/"&amp;YEAR(B248)</f>
        <v>5/2026</v>
      </c>
      <c r="AN248" s="44">
        <f>WEEKNUM(B248)-WEEKNUM(EOMONTH(B248,-1)+1)+1</f>
        <v>2</v>
      </c>
      <c r="AO248" s="44" t="str">
        <f>MONTH(R248)&amp;"/"&amp;YEAR(R248)</f>
        <v>5/2026</v>
      </c>
      <c r="AP248" s="44">
        <f>WEEKNUM(R248)-WEEKNUM(EOMONTH(R248,-1)+1)+1</f>
        <v>3</v>
      </c>
      <c r="AQ248" s="44">
        <f>IF(AU248="S",IF(Q248="1. Aceitou o programa",R248-B248,0),0)</f>
        <v>6</v>
      </c>
      <c r="AR248" s="44">
        <f>IF(AU248="S",IF(AND(S248&lt;&gt;"",R248&lt;&gt;""),S248-R248,0),0)</f>
        <v>0</v>
      </c>
      <c r="AS248" s="44">
        <f>IF(AU248="S",IF(Q248="1. Aceitou o programa",IF(OR(X248="Não se Aplica",X248=""),IF(OR(W248="Não se Aplica",W248=""),0,W248-V248),AVERAGE(X248-W248,W248-V248)),0),0)</f>
        <v>0</v>
      </c>
      <c r="AT248" s="44">
        <f>IF(AU248="S",IF(AND(Q248="1. Aceitou o programa",AB248="Realizada"),IFERROR(IF(AA248="",0,AA248-R248),0),0),0)</f>
        <v>0</v>
      </c>
      <c r="AU248" s="44" t="str">
        <f>_xlfn.XLOOKUP(U248,'Lista Suspensa'!$AA$20:$AA$23,'Lista Suspensa'!$AB$20:$AB$23,"N/A")</f>
        <v>S</v>
      </c>
    </row>
    <row r="249" spans="1:47" ht="12" hidden="1" customHeight="1">
      <c r="A249" s="86" t="s">
        <v>47</v>
      </c>
      <c r="B249" s="87">
        <v>46147</v>
      </c>
      <c r="C249" s="88" t="s">
        <v>48</v>
      </c>
      <c r="D249" s="88" t="s">
        <v>49</v>
      </c>
      <c r="E249" s="89">
        <v>87926442</v>
      </c>
      <c r="F249" s="218" t="s">
        <v>718</v>
      </c>
      <c r="G249" s="91">
        <v>64039471768</v>
      </c>
      <c r="H249" s="92">
        <v>21069</v>
      </c>
      <c r="I249" s="88">
        <v>68</v>
      </c>
      <c r="J249" s="88" t="s">
        <v>51</v>
      </c>
      <c r="K249" s="88" t="s">
        <v>80</v>
      </c>
      <c r="L249" s="88" t="s">
        <v>631</v>
      </c>
      <c r="M249" s="88"/>
      <c r="N249" s="88" t="s">
        <v>143</v>
      </c>
      <c r="O249" s="93" t="s">
        <v>719</v>
      </c>
      <c r="P249" s="94" t="s">
        <v>56</v>
      </c>
      <c r="Q249" s="142" t="s">
        <v>68</v>
      </c>
      <c r="R249" s="95">
        <v>46153</v>
      </c>
      <c r="S249" s="96"/>
      <c r="T249" s="96" t="s">
        <v>69</v>
      </c>
      <c r="U249" s="96" t="s">
        <v>70</v>
      </c>
      <c r="V249" s="92">
        <v>46153</v>
      </c>
      <c r="W249" s="92" t="s">
        <v>71</v>
      </c>
      <c r="X249" s="92" t="s">
        <v>71</v>
      </c>
      <c r="Y249" s="97"/>
      <c r="Z249" s="88" t="s">
        <v>72</v>
      </c>
      <c r="AA249" s="96" t="s">
        <v>720</v>
      </c>
      <c r="AB249" s="88" t="s">
        <v>74</v>
      </c>
      <c r="AC249" s="119"/>
      <c r="AD249" s="88"/>
      <c r="AE249" s="88"/>
      <c r="AF249" s="98"/>
      <c r="AG249" s="98"/>
      <c r="AH249" s="98"/>
      <c r="AI249" s="99" t="s">
        <v>61</v>
      </c>
      <c r="AJ249" s="99" t="s">
        <v>61</v>
      </c>
      <c r="AK249" s="99" t="s">
        <v>61</v>
      </c>
      <c r="AL249" s="44" t="s">
        <v>62</v>
      </c>
      <c r="AM249" s="196" t="str">
        <f>MONTH(B249)&amp;"/"&amp;YEAR(B249)</f>
        <v>5/2026</v>
      </c>
      <c r="AN249" s="44">
        <f>WEEKNUM(B249)-WEEKNUM(EOMONTH(B249,-1)+1)+1</f>
        <v>2</v>
      </c>
      <c r="AO249" s="44" t="str">
        <f>MONTH(R249)&amp;"/"&amp;YEAR(R249)</f>
        <v>5/2026</v>
      </c>
      <c r="AP249" s="44">
        <f>WEEKNUM(R249)-WEEKNUM(EOMONTH(R249,-1)+1)+1</f>
        <v>3</v>
      </c>
      <c r="AQ249" s="44">
        <f>IF(AU249="S",IF(Q249="1. Aceitou o programa",R249-B249,0),0)</f>
        <v>6</v>
      </c>
      <c r="AR249" s="44">
        <f>IF(AU249="S",IF(AND(S249&lt;&gt;"",R249&lt;&gt;""),S249-R249,0),0)</f>
        <v>0</v>
      </c>
      <c r="AS249" s="44">
        <f>IF(AU249="S",IF(Q249="1. Aceitou o programa",IF(OR(X249="Não se Aplica",X249=""),IF(OR(W249="Não se Aplica",W249=""),0,W249-V249),AVERAGE(X249-W249,W249-V249)),0),0)</f>
        <v>0</v>
      </c>
      <c r="AT249" s="44">
        <f>IF(AU249="S",IF(AND(Q249="1. Aceitou o programa",AB249="Realizada"),IFERROR(IF(AA249="",0,AA249-R249),0),0),0)</f>
        <v>9.5833333333357587</v>
      </c>
      <c r="AU249" s="44" t="str">
        <f>_xlfn.XLOOKUP(U249,'Lista Suspensa'!$AA$20:$AA$23,'Lista Suspensa'!$AB$20:$AB$23,"N/A")</f>
        <v>S</v>
      </c>
    </row>
    <row r="250" spans="1:47" ht="12" hidden="1" customHeight="1">
      <c r="A250" s="86" t="s">
        <v>47</v>
      </c>
      <c r="B250" s="87">
        <v>46147</v>
      </c>
      <c r="C250" s="88" t="s">
        <v>48</v>
      </c>
      <c r="D250" s="88" t="s">
        <v>49</v>
      </c>
      <c r="E250" s="89">
        <v>439217628</v>
      </c>
      <c r="F250" s="218" t="s">
        <v>721</v>
      </c>
      <c r="G250" s="91">
        <v>936087722</v>
      </c>
      <c r="H250" s="92">
        <v>24933</v>
      </c>
      <c r="I250" s="88">
        <v>58</v>
      </c>
      <c r="J250" s="88" t="s">
        <v>51</v>
      </c>
      <c r="K250" s="88" t="s">
        <v>80</v>
      </c>
      <c r="L250" s="88" t="s">
        <v>186</v>
      </c>
      <c r="M250" s="88"/>
      <c r="N250" s="88" t="s">
        <v>223</v>
      </c>
      <c r="O250" s="93" t="s">
        <v>722</v>
      </c>
      <c r="P250" s="94" t="s">
        <v>56</v>
      </c>
      <c r="Q250" s="142" t="s">
        <v>57</v>
      </c>
      <c r="R250" s="95"/>
      <c r="S250" s="96">
        <v>46170</v>
      </c>
      <c r="T250" s="96" t="s">
        <v>58</v>
      </c>
      <c r="U250" s="96" t="s">
        <v>59</v>
      </c>
      <c r="V250" s="92">
        <v>46153</v>
      </c>
      <c r="W250" s="92">
        <v>46154</v>
      </c>
      <c r="X250" s="92">
        <v>46164</v>
      </c>
      <c r="Y250" s="97"/>
      <c r="Z250" s="88"/>
      <c r="AA250" s="96"/>
      <c r="AB250" s="88"/>
      <c r="AC250" s="119"/>
      <c r="AD250" s="88"/>
      <c r="AE250" s="88"/>
      <c r="AF250" s="98"/>
      <c r="AG250" s="98"/>
      <c r="AH250" s="98"/>
      <c r="AI250" s="99"/>
      <c r="AJ250" s="99"/>
      <c r="AK250" s="99"/>
      <c r="AL250" s="44" t="s">
        <v>62</v>
      </c>
      <c r="AM250" s="196" t="str">
        <f>MONTH(B250)&amp;"/"&amp;YEAR(B250)</f>
        <v>5/2026</v>
      </c>
      <c r="AN250" s="44">
        <f>WEEKNUM(B250)-WEEKNUM(EOMONTH(B250,-1)+1)+1</f>
        <v>2</v>
      </c>
      <c r="AO250" s="44" t="str">
        <f>MONTH(R250)&amp;"/"&amp;YEAR(R250)</f>
        <v>1/1900</v>
      </c>
      <c r="AP250" s="44" t="e">
        <f>WEEKNUM(R250)-WEEKNUM(EOMONTH(R250,-1)+1)+1</f>
        <v>#NUM!</v>
      </c>
      <c r="AQ250" s="44">
        <f>IF(AU250="S",IF(Q250="1. Aceitou o programa",R250-B250,0),0)</f>
        <v>0</v>
      </c>
      <c r="AR250" s="44">
        <f>IF(AU250="S",IF(AND(S250&lt;&gt;"",R250&lt;&gt;""),S250-R250,0),0)</f>
        <v>0</v>
      </c>
      <c r="AS250" s="44">
        <f>IF(AU250="S",IF(Q250="1. Aceitou o programa",IF(OR(X250="Não se Aplica",X250=""),IF(OR(W250="Não se Aplica",W250=""),0,W250-V250),AVERAGE(X250-W250,W250-V250)),0),0)</f>
        <v>0</v>
      </c>
      <c r="AT250" s="44">
        <f>IF(AU250="S",IF(AND(Q250="1. Aceitou o programa",AB250="Realizada"),IFERROR(IF(AA250="",0,AA250-R250),0),0),0)</f>
        <v>0</v>
      </c>
      <c r="AU250" s="44" t="str">
        <f>_xlfn.XLOOKUP(U250,'Lista Suspensa'!$AA$20:$AA$23,'Lista Suspensa'!$AB$20:$AB$23,"N/A")</f>
        <v>S</v>
      </c>
    </row>
    <row r="251" spans="1:47" ht="12" hidden="1" customHeight="1">
      <c r="A251" s="86" t="s">
        <v>47</v>
      </c>
      <c r="B251" s="87">
        <v>46147</v>
      </c>
      <c r="C251" s="88" t="s">
        <v>48</v>
      </c>
      <c r="D251" s="88" t="s">
        <v>49</v>
      </c>
      <c r="E251" s="89">
        <v>758105398</v>
      </c>
      <c r="F251" s="218" t="s">
        <v>723</v>
      </c>
      <c r="G251" s="91">
        <v>53900049734</v>
      </c>
      <c r="H251" s="92">
        <v>18078</v>
      </c>
      <c r="I251" s="88">
        <v>76</v>
      </c>
      <c r="J251" s="88" t="s">
        <v>51</v>
      </c>
      <c r="K251" s="88" t="s">
        <v>80</v>
      </c>
      <c r="L251" s="88" t="s">
        <v>87</v>
      </c>
      <c r="M251" s="88"/>
      <c r="N251" s="88" t="s">
        <v>54</v>
      </c>
      <c r="O251" s="93" t="s">
        <v>724</v>
      </c>
      <c r="P251" s="94" t="s">
        <v>56</v>
      </c>
      <c r="Q251" s="142" t="s">
        <v>443</v>
      </c>
      <c r="R251" s="95">
        <v>46154</v>
      </c>
      <c r="S251" s="96">
        <v>46183</v>
      </c>
      <c r="T251" s="96" t="s">
        <v>69</v>
      </c>
      <c r="U251" s="96" t="s">
        <v>530</v>
      </c>
      <c r="V251" s="92">
        <v>46153</v>
      </c>
      <c r="W251" s="92">
        <v>46154</v>
      </c>
      <c r="X251" s="92" t="s">
        <v>71</v>
      </c>
      <c r="Y251" s="97"/>
      <c r="Z251" s="88" t="s">
        <v>72</v>
      </c>
      <c r="AA251" s="96">
        <v>46183</v>
      </c>
      <c r="AB251" s="88" t="s">
        <v>725</v>
      </c>
      <c r="AC251" s="119"/>
      <c r="AD251" s="88"/>
      <c r="AE251" s="88"/>
      <c r="AF251" s="98"/>
      <c r="AG251" s="98"/>
      <c r="AH251" s="98"/>
      <c r="AI251" s="99" t="s">
        <v>61</v>
      </c>
      <c r="AJ251" s="99" t="s">
        <v>61</v>
      </c>
      <c r="AK251" s="99" t="s">
        <v>61</v>
      </c>
      <c r="AL251" s="44" t="s">
        <v>62</v>
      </c>
      <c r="AM251" s="196" t="str">
        <f>MONTH(B251)&amp;"/"&amp;YEAR(B251)</f>
        <v>5/2026</v>
      </c>
      <c r="AN251" s="44">
        <f>WEEKNUM(B251)-WEEKNUM(EOMONTH(B251,-1)+1)+1</f>
        <v>2</v>
      </c>
      <c r="AO251" s="44" t="str">
        <f>MONTH(R251)&amp;"/"&amp;YEAR(R251)</f>
        <v>5/2026</v>
      </c>
      <c r="AP251" s="44">
        <f>WEEKNUM(R251)-WEEKNUM(EOMONTH(R251,-1)+1)+1</f>
        <v>3</v>
      </c>
      <c r="AQ251" s="44">
        <f>IF(AU251="S",IF(Q251="1. Aceitou o programa",R251-B251,0),0)</f>
        <v>0</v>
      </c>
      <c r="AR251" s="44">
        <f>IF(AU251="S",IF(AND(S251&lt;&gt;"",R251&lt;&gt;""),S251-R251,0),0)</f>
        <v>29</v>
      </c>
      <c r="AS251" s="44">
        <f>IF(AU251="S",IF(Q251="1. Aceitou o programa",IF(OR(X251="Não se Aplica",X251=""),IF(OR(W251="Não se Aplica",W251=""),0,W251-V251),AVERAGE(X251-W251,W251-V251)),0),0)</f>
        <v>0</v>
      </c>
      <c r="AT251" s="44">
        <f>IF(AU251="S",IF(AND(Q251="1. Aceitou o programa",AB251="Realizada"),IFERROR(IF(AA251="",0,AA251-R251),0),0),0)</f>
        <v>0</v>
      </c>
      <c r="AU251" s="44" t="str">
        <f>_xlfn.XLOOKUP(U251,'Lista Suspensa'!$AA$20:$AA$23,'Lista Suspensa'!$AB$20:$AB$23,"N/A")</f>
        <v>S</v>
      </c>
    </row>
    <row r="252" spans="1:47" ht="12" hidden="1" customHeight="1">
      <c r="A252" s="86" t="s">
        <v>47</v>
      </c>
      <c r="B252" s="87">
        <v>46147</v>
      </c>
      <c r="C252" s="88" t="s">
        <v>48</v>
      </c>
      <c r="D252" s="88" t="s">
        <v>49</v>
      </c>
      <c r="E252" s="89">
        <v>85245671</v>
      </c>
      <c r="F252" s="218" t="s">
        <v>726</v>
      </c>
      <c r="G252" s="91">
        <v>29122336826</v>
      </c>
      <c r="H252" s="92">
        <v>28274</v>
      </c>
      <c r="I252" s="88">
        <v>48</v>
      </c>
      <c r="J252" s="88" t="s">
        <v>51</v>
      </c>
      <c r="K252" s="88" t="s">
        <v>52</v>
      </c>
      <c r="L252" s="88" t="s">
        <v>53</v>
      </c>
      <c r="M252" s="88"/>
      <c r="N252" s="88" t="s">
        <v>91</v>
      </c>
      <c r="O252" s="93" t="s">
        <v>727</v>
      </c>
      <c r="P252" s="94" t="s">
        <v>56</v>
      </c>
      <c r="Q252" s="142" t="s">
        <v>57</v>
      </c>
      <c r="R252" s="95"/>
      <c r="S252" s="96">
        <v>46170</v>
      </c>
      <c r="T252" s="96" t="s">
        <v>58</v>
      </c>
      <c r="U252" s="96" t="s">
        <v>59</v>
      </c>
      <c r="V252" s="92">
        <v>46153</v>
      </c>
      <c r="W252" s="92">
        <v>46154</v>
      </c>
      <c r="X252" s="92">
        <v>46164</v>
      </c>
      <c r="Y252" s="97"/>
      <c r="Z252" s="88"/>
      <c r="AA252" s="96"/>
      <c r="AB252" s="88"/>
      <c r="AC252" s="119"/>
      <c r="AD252" s="88"/>
      <c r="AE252" s="88"/>
      <c r="AF252" s="98"/>
      <c r="AG252" s="98"/>
      <c r="AH252" s="98"/>
      <c r="AI252" s="99"/>
      <c r="AJ252" s="99"/>
      <c r="AK252" s="99"/>
      <c r="AL252" s="44" t="s">
        <v>62</v>
      </c>
      <c r="AM252" s="196" t="str">
        <f>MONTH(B252)&amp;"/"&amp;YEAR(B252)</f>
        <v>5/2026</v>
      </c>
      <c r="AN252" s="44">
        <f>WEEKNUM(B252)-WEEKNUM(EOMONTH(B252,-1)+1)+1</f>
        <v>2</v>
      </c>
      <c r="AO252" s="44" t="str">
        <f>MONTH(R252)&amp;"/"&amp;YEAR(R252)</f>
        <v>1/1900</v>
      </c>
      <c r="AP252" s="44" t="e">
        <f>WEEKNUM(R252)-WEEKNUM(EOMONTH(R252,-1)+1)+1</f>
        <v>#NUM!</v>
      </c>
      <c r="AQ252" s="44">
        <f>IF(AU252="S",IF(Q252="1. Aceitou o programa",R252-B252,0),0)</f>
        <v>0</v>
      </c>
      <c r="AR252" s="44">
        <f>IF(AU252="S",IF(AND(S252&lt;&gt;"",R252&lt;&gt;""),S252-R252,0),0)</f>
        <v>0</v>
      </c>
      <c r="AS252" s="44">
        <f>IF(AU252="S",IF(Q252="1. Aceitou o programa",IF(OR(X252="Não se Aplica",X252=""),IF(OR(W252="Não se Aplica",W252=""),0,W252-V252),AVERAGE(X252-W252,W252-V252)),0),0)</f>
        <v>0</v>
      </c>
      <c r="AT252" s="44">
        <f>IF(AU252="S",IF(AND(Q252="1. Aceitou o programa",AB252="Realizada"),IFERROR(IF(AA252="",0,AA252-R252),0),0),0)</f>
        <v>0</v>
      </c>
      <c r="AU252" s="44" t="str">
        <f>_xlfn.XLOOKUP(U252,'Lista Suspensa'!$AA$20:$AA$23,'Lista Suspensa'!$AB$20:$AB$23,"N/A")</f>
        <v>S</v>
      </c>
    </row>
    <row r="253" spans="1:47" ht="12" hidden="1" customHeight="1">
      <c r="A253" s="86" t="s">
        <v>47</v>
      </c>
      <c r="B253" s="87">
        <v>46147</v>
      </c>
      <c r="C253" s="88" t="s">
        <v>48</v>
      </c>
      <c r="D253" s="88" t="s">
        <v>49</v>
      </c>
      <c r="E253" s="89">
        <v>809074397</v>
      </c>
      <c r="F253" s="218" t="s">
        <v>728</v>
      </c>
      <c r="G253" s="91">
        <v>4915684369</v>
      </c>
      <c r="H253" s="92">
        <v>32979</v>
      </c>
      <c r="I253" s="88">
        <v>36</v>
      </c>
      <c r="J253" s="88" t="s">
        <v>64</v>
      </c>
      <c r="K253" s="88" t="s">
        <v>52</v>
      </c>
      <c r="L253" s="88" t="s">
        <v>65</v>
      </c>
      <c r="M253" s="88"/>
      <c r="N253" s="88" t="s">
        <v>54</v>
      </c>
      <c r="O253" s="93" t="s">
        <v>729</v>
      </c>
      <c r="P253" s="94" t="s">
        <v>56</v>
      </c>
      <c r="Q253" s="142" t="s">
        <v>57</v>
      </c>
      <c r="R253" s="95"/>
      <c r="S253" s="96">
        <v>46170</v>
      </c>
      <c r="T253" s="96" t="s">
        <v>58</v>
      </c>
      <c r="U253" s="96" t="s">
        <v>59</v>
      </c>
      <c r="V253" s="92">
        <v>46153</v>
      </c>
      <c r="W253" s="92">
        <v>46154</v>
      </c>
      <c r="X253" s="92">
        <v>46164</v>
      </c>
      <c r="Y253" s="97"/>
      <c r="Z253" s="88"/>
      <c r="AA253" s="96"/>
      <c r="AB253" s="88"/>
      <c r="AC253" s="119"/>
      <c r="AD253" s="88"/>
      <c r="AE253" s="88"/>
      <c r="AF253" s="98"/>
      <c r="AG253" s="98"/>
      <c r="AH253" s="98"/>
      <c r="AI253" s="99"/>
      <c r="AJ253" s="99"/>
      <c r="AK253" s="99"/>
      <c r="AL253" s="44" t="s">
        <v>62</v>
      </c>
      <c r="AM253" s="196" t="str">
        <f>MONTH(B253)&amp;"/"&amp;YEAR(B253)</f>
        <v>5/2026</v>
      </c>
      <c r="AN253" s="44">
        <f>WEEKNUM(B253)-WEEKNUM(EOMONTH(B253,-1)+1)+1</f>
        <v>2</v>
      </c>
      <c r="AO253" s="44" t="str">
        <f>MONTH(R253)&amp;"/"&amp;YEAR(R253)</f>
        <v>1/1900</v>
      </c>
      <c r="AP253" s="44" t="e">
        <f>WEEKNUM(R253)-WEEKNUM(EOMONTH(R253,-1)+1)+1</f>
        <v>#NUM!</v>
      </c>
      <c r="AQ253" s="44">
        <f>IF(AU253="S",IF(Q253="1. Aceitou o programa",R253-B253,0),0)</f>
        <v>0</v>
      </c>
      <c r="AR253" s="44">
        <f>IF(AU253="S",IF(AND(S253&lt;&gt;"",R253&lt;&gt;""),S253-R253,0),0)</f>
        <v>0</v>
      </c>
      <c r="AS253" s="44">
        <f>IF(AU253="S",IF(Q253="1. Aceitou o programa",IF(OR(X253="Não se Aplica",X253=""),IF(OR(W253="Não se Aplica",W253=""),0,W253-V253),AVERAGE(X253-W253,W253-V253)),0),0)</f>
        <v>0</v>
      </c>
      <c r="AT253" s="44">
        <f>IF(AU253="S",IF(AND(Q253="1. Aceitou o programa",AB253="Realizada"),IFERROR(IF(AA253="",0,AA253-R253),0),0),0)</f>
        <v>0</v>
      </c>
      <c r="AU253" s="44" t="str">
        <f>_xlfn.XLOOKUP(U253,'Lista Suspensa'!$AA$20:$AA$23,'Lista Suspensa'!$AB$20:$AB$23,"N/A")</f>
        <v>S</v>
      </c>
    </row>
    <row r="254" spans="1:47" ht="12" hidden="1" customHeight="1">
      <c r="A254" s="86" t="s">
        <v>47</v>
      </c>
      <c r="B254" s="87">
        <v>46147</v>
      </c>
      <c r="C254" s="88" t="s">
        <v>48</v>
      </c>
      <c r="D254" s="88" t="s">
        <v>49</v>
      </c>
      <c r="E254" s="91">
        <v>73808506</v>
      </c>
      <c r="F254" s="218" t="s">
        <v>730</v>
      </c>
      <c r="G254" s="91">
        <v>82243832704</v>
      </c>
      <c r="H254" s="92">
        <v>23372</v>
      </c>
      <c r="I254" s="88">
        <v>62</v>
      </c>
      <c r="J254" s="88" t="s">
        <v>64</v>
      </c>
      <c r="K254" s="88" t="s">
        <v>80</v>
      </c>
      <c r="L254" s="88" t="s">
        <v>87</v>
      </c>
      <c r="M254" s="88"/>
      <c r="N254" s="88" t="s">
        <v>110</v>
      </c>
      <c r="O254" s="93" t="s">
        <v>731</v>
      </c>
      <c r="P254" s="94" t="s">
        <v>56</v>
      </c>
      <c r="Q254" s="142" t="s">
        <v>68</v>
      </c>
      <c r="R254" s="95">
        <v>46164</v>
      </c>
      <c r="S254" s="96"/>
      <c r="T254" s="96" t="s">
        <v>69</v>
      </c>
      <c r="U254" s="96" t="s">
        <v>70</v>
      </c>
      <c r="V254" s="92">
        <v>46153</v>
      </c>
      <c r="W254" s="92">
        <v>46154</v>
      </c>
      <c r="X254" s="92">
        <v>46164</v>
      </c>
      <c r="Y254" s="97"/>
      <c r="Z254" s="88" t="s">
        <v>72</v>
      </c>
      <c r="AA254" s="96">
        <v>46188</v>
      </c>
      <c r="AB254" s="88"/>
      <c r="AC254" s="119"/>
      <c r="AD254" s="88"/>
      <c r="AE254" s="88"/>
      <c r="AF254" s="98"/>
      <c r="AG254" s="98"/>
      <c r="AH254" s="98"/>
      <c r="AI254" s="99"/>
      <c r="AJ254" s="99" t="s">
        <v>61</v>
      </c>
      <c r="AK254" s="99" t="s">
        <v>61</v>
      </c>
      <c r="AL254" s="44" t="s">
        <v>62</v>
      </c>
      <c r="AM254" s="196" t="str">
        <f>MONTH(B254)&amp;"/"&amp;YEAR(B254)</f>
        <v>5/2026</v>
      </c>
      <c r="AN254" s="44">
        <f>WEEKNUM(B254)-WEEKNUM(EOMONTH(B254,-1)+1)+1</f>
        <v>2</v>
      </c>
      <c r="AO254" s="44" t="str">
        <f>MONTH(R254)&amp;"/"&amp;YEAR(R254)</f>
        <v>5/2026</v>
      </c>
      <c r="AP254" s="44">
        <f>WEEKNUM(R254)-WEEKNUM(EOMONTH(R254,-1)+1)+1</f>
        <v>4</v>
      </c>
      <c r="AQ254" s="44">
        <f>IF(AU254="S",IF(Q254="1. Aceitou o programa",R254-B254,0),0)</f>
        <v>17</v>
      </c>
      <c r="AR254" s="44">
        <f>IF(AU254="S",IF(AND(S254&lt;&gt;"",R254&lt;&gt;""),S254-R254,0),0)</f>
        <v>0</v>
      </c>
      <c r="AS254" s="44">
        <f>IF(AU254="S",IF(Q254="1. Aceitou o programa",IF(OR(X254="Não se Aplica",X254=""),IF(OR(W254="Não se Aplica",W254=""),0,W254-V254),AVERAGE(X254-W254,W254-V254)),0),0)</f>
        <v>5.5</v>
      </c>
      <c r="AT254" s="44">
        <f>IF(AU254="S",IF(AND(Q254="1. Aceitou o programa",AB254="Realizada"),IFERROR(IF(AA254="",0,AA254-R254),0),0),0)</f>
        <v>0</v>
      </c>
      <c r="AU254" s="44" t="str">
        <f>_xlfn.XLOOKUP(U254,'Lista Suspensa'!$AA$20:$AA$23,'Lista Suspensa'!$AB$20:$AB$23,"N/A")</f>
        <v>S</v>
      </c>
    </row>
    <row r="255" spans="1:47" ht="12" hidden="1" customHeight="1">
      <c r="A255" s="86" t="s">
        <v>47</v>
      </c>
      <c r="B255" s="87">
        <v>46147</v>
      </c>
      <c r="C255" s="88" t="s">
        <v>48</v>
      </c>
      <c r="D255" s="88" t="s">
        <v>49</v>
      </c>
      <c r="E255" s="89">
        <v>741591715</v>
      </c>
      <c r="F255" s="218" t="s">
        <v>732</v>
      </c>
      <c r="G255" s="91">
        <v>25867865720</v>
      </c>
      <c r="H255" s="92">
        <v>19050</v>
      </c>
      <c r="I255" s="88">
        <v>74</v>
      </c>
      <c r="J255" s="88" t="s">
        <v>64</v>
      </c>
      <c r="K255" s="88" t="s">
        <v>80</v>
      </c>
      <c r="L255" s="88" t="s">
        <v>87</v>
      </c>
      <c r="M255" s="88"/>
      <c r="N255" s="88" t="s">
        <v>138</v>
      </c>
      <c r="O255" s="93" t="s">
        <v>733</v>
      </c>
      <c r="P255" s="94" t="s">
        <v>56</v>
      </c>
      <c r="Q255" s="142" t="s">
        <v>57</v>
      </c>
      <c r="R255" s="95"/>
      <c r="S255" s="96">
        <v>46170</v>
      </c>
      <c r="T255" s="96" t="s">
        <v>58</v>
      </c>
      <c r="U255" s="96" t="s">
        <v>59</v>
      </c>
      <c r="V255" s="92">
        <v>46153</v>
      </c>
      <c r="W255" s="92">
        <v>46154</v>
      </c>
      <c r="X255" s="92">
        <v>46164</v>
      </c>
      <c r="Y255" s="97"/>
      <c r="Z255" s="88"/>
      <c r="AA255" s="96"/>
      <c r="AB255" s="88"/>
      <c r="AC255" s="119"/>
      <c r="AD255" s="88"/>
      <c r="AE255" s="88"/>
      <c r="AF255" s="98"/>
      <c r="AG255" s="98"/>
      <c r="AH255" s="98"/>
      <c r="AI255" s="99"/>
      <c r="AJ255" s="99"/>
      <c r="AK255" s="99"/>
      <c r="AL255" s="44" t="s">
        <v>62</v>
      </c>
      <c r="AM255" s="196" t="str">
        <f>MONTH(B255)&amp;"/"&amp;YEAR(B255)</f>
        <v>5/2026</v>
      </c>
      <c r="AN255" s="44">
        <f>WEEKNUM(B255)-WEEKNUM(EOMONTH(B255,-1)+1)+1</f>
        <v>2</v>
      </c>
      <c r="AO255" s="44" t="str">
        <f>MONTH(R255)&amp;"/"&amp;YEAR(R255)</f>
        <v>1/1900</v>
      </c>
      <c r="AP255" s="44" t="e">
        <f>WEEKNUM(R255)-WEEKNUM(EOMONTH(R255,-1)+1)+1</f>
        <v>#NUM!</v>
      </c>
      <c r="AQ255" s="44">
        <f>IF(AU255="S",IF(Q255="1. Aceitou o programa",R255-B255,0),0)</f>
        <v>0</v>
      </c>
      <c r="AR255" s="44">
        <f>IF(AU255="S",IF(AND(S255&lt;&gt;"",R255&lt;&gt;""),S255-R255,0),0)</f>
        <v>0</v>
      </c>
      <c r="AS255" s="44">
        <f>IF(AU255="S",IF(Q255="1. Aceitou o programa",IF(OR(X255="Não se Aplica",X255=""),IF(OR(W255="Não se Aplica",W255=""),0,W255-V255),AVERAGE(X255-W255,W255-V255)),0),0)</f>
        <v>0</v>
      </c>
      <c r="AT255" s="44">
        <f>IF(AU255="S",IF(AND(Q255="1. Aceitou o programa",AB255="Realizada"),IFERROR(IF(AA255="",0,AA255-R255),0),0),0)</f>
        <v>0</v>
      </c>
      <c r="AU255" s="44" t="str">
        <f>_xlfn.XLOOKUP(U255,'Lista Suspensa'!$AA$20:$AA$23,'Lista Suspensa'!$AB$20:$AB$23,"N/A")</f>
        <v>S</v>
      </c>
    </row>
    <row r="256" spans="1:47" ht="12" hidden="1" customHeight="1">
      <c r="A256" s="86" t="s">
        <v>47</v>
      </c>
      <c r="B256" s="87">
        <v>46147</v>
      </c>
      <c r="C256" s="88" t="s">
        <v>48</v>
      </c>
      <c r="D256" s="88" t="s">
        <v>49</v>
      </c>
      <c r="E256" s="89">
        <v>89733795</v>
      </c>
      <c r="F256" s="218" t="s">
        <v>734</v>
      </c>
      <c r="G256" s="91">
        <v>32774074894</v>
      </c>
      <c r="H256" s="92">
        <v>30925</v>
      </c>
      <c r="I256" s="88">
        <v>41</v>
      </c>
      <c r="J256" s="88" t="s">
        <v>51</v>
      </c>
      <c r="K256" s="88" t="s">
        <v>52</v>
      </c>
      <c r="L256" s="88" t="s">
        <v>53</v>
      </c>
      <c r="M256" s="88"/>
      <c r="N256" s="88" t="s">
        <v>118</v>
      </c>
      <c r="O256" s="93" t="s">
        <v>735</v>
      </c>
      <c r="P256" s="94" t="s">
        <v>56</v>
      </c>
      <c r="Q256" s="142" t="s">
        <v>68</v>
      </c>
      <c r="R256" s="95">
        <v>46153</v>
      </c>
      <c r="S256" s="96"/>
      <c r="T256" s="96" t="s">
        <v>69</v>
      </c>
      <c r="U256" s="96" t="s">
        <v>70</v>
      </c>
      <c r="V256" s="92">
        <v>46153</v>
      </c>
      <c r="W256" s="92" t="s">
        <v>71</v>
      </c>
      <c r="X256" s="92" t="s">
        <v>71</v>
      </c>
      <c r="Y256" s="97"/>
      <c r="Z256" s="88" t="s">
        <v>72</v>
      </c>
      <c r="AA256" s="96" t="s">
        <v>736</v>
      </c>
      <c r="AB256" s="88" t="s">
        <v>74</v>
      </c>
      <c r="AC256" s="119"/>
      <c r="AD256" s="88" t="s">
        <v>97</v>
      </c>
      <c r="AE256" s="88">
        <v>58</v>
      </c>
      <c r="AF256" s="98" t="s">
        <v>737</v>
      </c>
      <c r="AG256" s="98" t="s">
        <v>737</v>
      </c>
      <c r="AH256" s="98" t="s">
        <v>77</v>
      </c>
      <c r="AI256" s="99" t="s">
        <v>61</v>
      </c>
      <c r="AJ256" s="99" t="s">
        <v>61</v>
      </c>
      <c r="AK256" s="99" t="s">
        <v>61</v>
      </c>
      <c r="AL256" s="44" t="s">
        <v>62</v>
      </c>
      <c r="AM256" s="196" t="str">
        <f>MONTH(B256)&amp;"/"&amp;YEAR(B256)</f>
        <v>5/2026</v>
      </c>
      <c r="AN256" s="44">
        <f>WEEKNUM(B256)-WEEKNUM(EOMONTH(B256,-1)+1)+1</f>
        <v>2</v>
      </c>
      <c r="AO256" s="44" t="str">
        <f>MONTH(R256)&amp;"/"&amp;YEAR(R256)</f>
        <v>5/2026</v>
      </c>
      <c r="AP256" s="44">
        <f>WEEKNUM(R256)-WEEKNUM(EOMONTH(R256,-1)+1)+1</f>
        <v>3</v>
      </c>
      <c r="AQ256" s="44">
        <f>IF(AU256="S",IF(Q256="1. Aceitou o programa",R256-B256,0),0)</f>
        <v>6</v>
      </c>
      <c r="AR256" s="44">
        <f>IF(AU256="S",IF(AND(S256&lt;&gt;"",R256&lt;&gt;""),S256-R256,0),0)</f>
        <v>0</v>
      </c>
      <c r="AS256" s="44">
        <f>IF(AU256="S",IF(Q256="1. Aceitou o programa",IF(OR(X256="Não se Aplica",X256=""),IF(OR(W256="Não se Aplica",W256=""),0,W256-V256),AVERAGE(X256-W256,W256-V256)),0),0)</f>
        <v>0</v>
      </c>
      <c r="AT256" s="44">
        <f>IF(AU256="S",IF(AND(Q256="1. Aceitou o programa",AB256="Realizada"),IFERROR(IF(AA256="",0,AA256-R256),0),0),0)</f>
        <v>15.416666666664241</v>
      </c>
      <c r="AU256" s="44" t="str">
        <f>_xlfn.XLOOKUP(U256,'Lista Suspensa'!$AA$20:$AA$23,'Lista Suspensa'!$AB$20:$AB$23,"N/A")</f>
        <v>S</v>
      </c>
    </row>
    <row r="257" spans="1:47" ht="12" hidden="1" customHeight="1">
      <c r="A257" s="86" t="s">
        <v>78</v>
      </c>
      <c r="B257" s="87">
        <v>46153</v>
      </c>
      <c r="C257" s="88" t="s">
        <v>738</v>
      </c>
      <c r="D257" s="88" t="s">
        <v>49</v>
      </c>
      <c r="E257" s="89" t="s">
        <v>739</v>
      </c>
      <c r="F257" s="218" t="s">
        <v>740</v>
      </c>
      <c r="G257" s="91">
        <v>15262082882</v>
      </c>
      <c r="H257" s="92">
        <v>26272</v>
      </c>
      <c r="I257" s="88">
        <v>54</v>
      </c>
      <c r="J257" s="88" t="s">
        <v>64</v>
      </c>
      <c r="K257" s="88" t="s">
        <v>52</v>
      </c>
      <c r="L257" s="88" t="s">
        <v>53</v>
      </c>
      <c r="M257" s="88" t="s">
        <v>741</v>
      </c>
      <c r="N257" s="88">
        <v>60</v>
      </c>
      <c r="O257" s="93" t="s">
        <v>742</v>
      </c>
      <c r="P257" s="94" t="s">
        <v>56</v>
      </c>
      <c r="Q257" s="142" t="s">
        <v>68</v>
      </c>
      <c r="R257" s="95">
        <v>46163</v>
      </c>
      <c r="S257" s="96"/>
      <c r="T257" s="96" t="s">
        <v>69</v>
      </c>
      <c r="U257" s="96" t="s">
        <v>70</v>
      </c>
      <c r="V257" s="92">
        <v>46153</v>
      </c>
      <c r="W257" s="92">
        <v>46154</v>
      </c>
      <c r="X257" s="92">
        <v>46160</v>
      </c>
      <c r="Y257" s="97"/>
      <c r="Z257" s="88" t="s">
        <v>72</v>
      </c>
      <c r="AA257" s="96">
        <v>46162.430555555555</v>
      </c>
      <c r="AB257" s="88"/>
      <c r="AC257" s="119"/>
      <c r="AD257" s="88"/>
      <c r="AE257" s="88"/>
      <c r="AF257" s="98"/>
      <c r="AG257" s="98"/>
      <c r="AH257" s="98"/>
      <c r="AI257" s="99" t="s">
        <v>61</v>
      </c>
      <c r="AJ257" s="99" t="s">
        <v>78</v>
      </c>
      <c r="AK257" s="99" t="s">
        <v>61</v>
      </c>
      <c r="AL257" s="44" t="s">
        <v>62</v>
      </c>
      <c r="AM257" s="196" t="str">
        <f>MONTH(B257)&amp;"/"&amp;YEAR(B257)</f>
        <v>5/2026</v>
      </c>
      <c r="AN257" s="44">
        <f>WEEKNUM(B257)-WEEKNUM(EOMONTH(B257,-1)+1)+1</f>
        <v>3</v>
      </c>
      <c r="AO257" s="44" t="str">
        <f>MONTH(R257)&amp;"/"&amp;YEAR(R257)</f>
        <v>5/2026</v>
      </c>
      <c r="AP257" s="44">
        <f>WEEKNUM(R257)-WEEKNUM(EOMONTH(R257,-1)+1)+1</f>
        <v>4</v>
      </c>
      <c r="AQ257" s="44">
        <f>IF(AU257="S",IF(Q257="1. Aceitou o programa",R257-B257,0),0)</f>
        <v>10</v>
      </c>
      <c r="AR257" s="44">
        <f>IF(AU257="S",IF(AND(S257&lt;&gt;"",R257&lt;&gt;""),S257-R257,0),0)</f>
        <v>0</v>
      </c>
      <c r="AS257" s="44">
        <f>IF(AU257="S",IF(Q257="1. Aceitou o programa",IF(OR(X257="Não se Aplica",X257=""),IF(OR(W257="Não se Aplica",W257=""),0,W257-V257),AVERAGE(X257-W257,W257-V257)),0),0)</f>
        <v>3.5</v>
      </c>
      <c r="AT257" s="44">
        <f>IF(AU257="S",IF(AND(Q257="1. Aceitou o programa",AB257="Realizada"),IFERROR(IF(AA257="",0,AA257-R257),0),0),0)</f>
        <v>0</v>
      </c>
      <c r="AU257" s="44" t="str">
        <f>_xlfn.XLOOKUP(U257,'Lista Suspensa'!$AA$20:$AA$23,'Lista Suspensa'!$AB$20:$AB$23,"N/A")</f>
        <v>S</v>
      </c>
    </row>
    <row r="258" spans="1:47" ht="12" hidden="1" customHeight="1">
      <c r="A258" s="86" t="s">
        <v>78</v>
      </c>
      <c r="B258" s="87">
        <v>46153</v>
      </c>
      <c r="C258" s="88" t="s">
        <v>738</v>
      </c>
      <c r="D258" s="88" t="s">
        <v>49</v>
      </c>
      <c r="E258" s="89" t="s">
        <v>743</v>
      </c>
      <c r="F258" s="218" t="s">
        <v>744</v>
      </c>
      <c r="G258" s="91">
        <v>946682720</v>
      </c>
      <c r="H258" s="92">
        <v>25984</v>
      </c>
      <c r="I258" s="88">
        <v>55</v>
      </c>
      <c r="J258" s="88" t="s">
        <v>51</v>
      </c>
      <c r="K258" s="88" t="s">
        <v>80</v>
      </c>
      <c r="L258" s="88" t="s">
        <v>87</v>
      </c>
      <c r="M258" s="88" t="s">
        <v>745</v>
      </c>
      <c r="N258" s="88">
        <v>200</v>
      </c>
      <c r="O258" s="93">
        <v>21964531461</v>
      </c>
      <c r="P258" s="94" t="s">
        <v>56</v>
      </c>
      <c r="Q258" s="142" t="s">
        <v>68</v>
      </c>
      <c r="R258" s="95">
        <v>46163</v>
      </c>
      <c r="S258" s="96"/>
      <c r="T258" s="96" t="s">
        <v>69</v>
      </c>
      <c r="U258" s="96" t="s">
        <v>70</v>
      </c>
      <c r="V258" s="92">
        <v>46153</v>
      </c>
      <c r="W258" s="92">
        <v>46154</v>
      </c>
      <c r="X258" s="92">
        <v>46160</v>
      </c>
      <c r="Y258" s="97"/>
      <c r="Z258" s="88" t="s">
        <v>72</v>
      </c>
      <c r="AA258" s="96" t="s">
        <v>746</v>
      </c>
      <c r="AB258" s="88" t="s">
        <v>74</v>
      </c>
      <c r="AC258" s="119"/>
      <c r="AD258" s="88" t="s">
        <v>75</v>
      </c>
      <c r="AE258" s="88">
        <v>60</v>
      </c>
      <c r="AF258" s="98" t="s">
        <v>85</v>
      </c>
      <c r="AG258" s="98" t="s">
        <v>85</v>
      </c>
      <c r="AH258" s="98" t="s">
        <v>77</v>
      </c>
      <c r="AI258" s="99" t="s">
        <v>61</v>
      </c>
      <c r="AJ258" s="99" t="s">
        <v>78</v>
      </c>
      <c r="AK258" s="99" t="s">
        <v>61</v>
      </c>
      <c r="AL258" s="44" t="s">
        <v>62</v>
      </c>
      <c r="AM258" s="196" t="str">
        <f>MONTH(B258)&amp;"/"&amp;YEAR(B258)</f>
        <v>5/2026</v>
      </c>
      <c r="AN258" s="44">
        <f>WEEKNUM(B258)-WEEKNUM(EOMONTH(B258,-1)+1)+1</f>
        <v>3</v>
      </c>
      <c r="AO258" s="44" t="str">
        <f>MONTH(R258)&amp;"/"&amp;YEAR(R258)</f>
        <v>5/2026</v>
      </c>
      <c r="AP258" s="44">
        <f>WEEKNUM(R258)-WEEKNUM(EOMONTH(R258,-1)+1)+1</f>
        <v>4</v>
      </c>
      <c r="AQ258" s="44">
        <f>IF(AU258="S",IF(Q258="1. Aceitou o programa",R258-B258,0),0)</f>
        <v>10</v>
      </c>
      <c r="AR258" s="44">
        <f>IF(AU258="S",IF(AND(S258&lt;&gt;"",R258&lt;&gt;""),S258-R258,0),0)</f>
        <v>0</v>
      </c>
      <c r="AS258" s="44">
        <f>IF(AU258="S",IF(Q258="1. Aceitou o programa",IF(OR(X258="Não se Aplica",X258=""),IF(OR(W258="Não se Aplica",W258=""),0,W258-V258),AVERAGE(X258-W258,W258-V258)),0),0)</f>
        <v>3.5</v>
      </c>
      <c r="AT258" s="44">
        <f>IF(AU258="S",IF(AND(Q258="1. Aceitou o programa",AB258="Realizada"),IFERROR(IF(AA258="",0,AA258-R258),0),0),0)</f>
        <v>6.5972222222189885</v>
      </c>
      <c r="AU258" s="44" t="str">
        <f>_xlfn.XLOOKUP(U258,'Lista Suspensa'!$AA$20:$AA$23,'Lista Suspensa'!$AB$20:$AB$23,"N/A")</f>
        <v>S</v>
      </c>
    </row>
    <row r="259" spans="1:47" ht="12" hidden="1" customHeight="1">
      <c r="A259" s="86" t="s">
        <v>78</v>
      </c>
      <c r="B259" s="87">
        <v>46156</v>
      </c>
      <c r="C259" s="88" t="s">
        <v>738</v>
      </c>
      <c r="D259" s="88" t="s">
        <v>49</v>
      </c>
      <c r="E259" s="89" t="s">
        <v>747</v>
      </c>
      <c r="F259" s="218" t="s">
        <v>748</v>
      </c>
      <c r="G259" s="91">
        <v>28735162830</v>
      </c>
      <c r="H259" s="92">
        <v>29219</v>
      </c>
      <c r="I259" s="88">
        <v>46</v>
      </c>
      <c r="J259" s="88" t="s">
        <v>64</v>
      </c>
      <c r="K259" s="88" t="s">
        <v>52</v>
      </c>
      <c r="L259" s="88" t="s">
        <v>53</v>
      </c>
      <c r="M259" s="88" t="s">
        <v>749</v>
      </c>
      <c r="N259" s="88">
        <v>400</v>
      </c>
      <c r="O259" s="93">
        <v>11964413557</v>
      </c>
      <c r="P259" s="94" t="s">
        <v>56</v>
      </c>
      <c r="Q259" s="142" t="s">
        <v>750</v>
      </c>
      <c r="R259" s="95"/>
      <c r="S259" s="96"/>
      <c r="T259" s="96" t="s">
        <v>58</v>
      </c>
      <c r="U259" s="96" t="s">
        <v>530</v>
      </c>
      <c r="V259" s="92">
        <v>46170</v>
      </c>
      <c r="W259" s="92">
        <v>46181</v>
      </c>
      <c r="X259" s="92"/>
      <c r="Y259" s="97"/>
      <c r="Z259" s="88"/>
      <c r="AA259" s="96"/>
      <c r="AB259" s="88"/>
      <c r="AC259" s="119"/>
      <c r="AD259" s="88"/>
      <c r="AE259" s="88"/>
      <c r="AF259" s="98"/>
      <c r="AG259" s="98"/>
      <c r="AH259" s="98"/>
      <c r="AI259" s="99" t="s">
        <v>61</v>
      </c>
      <c r="AJ259" s="99" t="s">
        <v>78</v>
      </c>
      <c r="AK259" s="99"/>
      <c r="AL259" s="44" t="s">
        <v>62</v>
      </c>
      <c r="AM259" s="196" t="str">
        <f>MONTH(B259)&amp;"/"&amp;YEAR(B259)</f>
        <v>5/2026</v>
      </c>
      <c r="AN259" s="44">
        <f>WEEKNUM(B259)-WEEKNUM(EOMONTH(B259,-1)+1)+1</f>
        <v>3</v>
      </c>
      <c r="AO259" s="44" t="str">
        <f>MONTH(R259)&amp;"/"&amp;YEAR(R259)</f>
        <v>1/1900</v>
      </c>
      <c r="AP259" s="44" t="e">
        <f>WEEKNUM(R259)-WEEKNUM(EOMONTH(R259,-1)+1)+1</f>
        <v>#NUM!</v>
      </c>
      <c r="AQ259" s="44">
        <f>IF(AU259="S",IF(Q259="1. Aceitou o programa",R259-B259,0),0)</f>
        <v>0</v>
      </c>
      <c r="AR259" s="44">
        <f>IF(AU259="S",IF(AND(S259&lt;&gt;"",R259&lt;&gt;""),S259-R259,0),0)</f>
        <v>0</v>
      </c>
      <c r="AS259" s="44">
        <f>IF(AU259="S",IF(Q259="1. Aceitou o programa",IF(OR(X259="Não se Aplica",X259=""),IF(OR(W259="Não se Aplica",W259=""),0,W259-V259),AVERAGE(X259-W259,W259-V259)),0),0)</f>
        <v>0</v>
      </c>
      <c r="AT259" s="44">
        <f>IF(AU259="S",IF(AND(Q259="1. Aceitou o programa",AB259="Realizada"),IFERROR(IF(AA259="",0,AA259-R259),0),0),0)</f>
        <v>0</v>
      </c>
      <c r="AU259" s="44" t="str">
        <f>_xlfn.XLOOKUP(U259,'Lista Suspensa'!$AA$20:$AA$23,'Lista Suspensa'!$AB$20:$AB$23,"N/A")</f>
        <v>S</v>
      </c>
    </row>
    <row r="260" spans="1:47" ht="12" hidden="1" customHeight="1">
      <c r="A260" s="86" t="s">
        <v>78</v>
      </c>
      <c r="B260" s="87">
        <v>46169</v>
      </c>
      <c r="C260" s="88" t="s">
        <v>738</v>
      </c>
      <c r="D260" s="88" t="s">
        <v>751</v>
      </c>
      <c r="E260" s="91">
        <v>755468066</v>
      </c>
      <c r="F260" s="218" t="s">
        <v>752</v>
      </c>
      <c r="G260" s="112" t="s">
        <v>753</v>
      </c>
      <c r="H260" s="97">
        <v>20076</v>
      </c>
      <c r="I260" s="91">
        <v>71</v>
      </c>
      <c r="J260" s="113" t="s">
        <v>64</v>
      </c>
      <c r="K260" s="88" t="s">
        <v>80</v>
      </c>
      <c r="L260" s="88" t="s">
        <v>87</v>
      </c>
      <c r="M260" s="88" t="s">
        <v>754</v>
      </c>
      <c r="N260" s="88">
        <v>100</v>
      </c>
      <c r="O260" s="90">
        <v>21972307272</v>
      </c>
      <c r="P260" s="94" t="s">
        <v>56</v>
      </c>
      <c r="Q260" s="142" t="s">
        <v>750</v>
      </c>
      <c r="R260" s="121"/>
      <c r="S260" s="120"/>
      <c r="T260" s="96" t="s">
        <v>58</v>
      </c>
      <c r="U260" s="96" t="s">
        <v>530</v>
      </c>
      <c r="V260" s="117">
        <v>46178</v>
      </c>
      <c r="W260" s="92">
        <v>46181</v>
      </c>
      <c r="X260" s="117"/>
      <c r="Y260" s="97"/>
      <c r="Z260" s="88"/>
      <c r="AA260" s="96"/>
      <c r="AB260" s="88"/>
      <c r="AC260" s="119"/>
      <c r="AD260" s="88"/>
      <c r="AE260" s="88"/>
      <c r="AF260" s="118"/>
      <c r="AG260" s="118"/>
      <c r="AH260" s="118"/>
      <c r="AI260" s="99"/>
      <c r="AJ260" s="99" t="s">
        <v>61</v>
      </c>
      <c r="AK260" s="99" t="s">
        <v>61</v>
      </c>
      <c r="AL260" s="44" t="s">
        <v>62</v>
      </c>
      <c r="AM260" s="196" t="str">
        <f>MONTH(B260)&amp;"/"&amp;YEAR(B260)</f>
        <v>5/2026</v>
      </c>
      <c r="AN260" s="44">
        <f>WEEKNUM(B260)-WEEKNUM(EOMONTH(B260,-1)+1)+1</f>
        <v>5</v>
      </c>
      <c r="AO260" s="44" t="str">
        <f>MONTH(R260)&amp;"/"&amp;YEAR(R260)</f>
        <v>1/1900</v>
      </c>
      <c r="AP260" s="44" t="e">
        <f>WEEKNUM(R260)-WEEKNUM(EOMONTH(R260,-1)+1)+1</f>
        <v>#NUM!</v>
      </c>
      <c r="AQ260" s="44">
        <f>IF(AU260="S",IF(Q260="1. Aceitou o programa",R260-B260,0),0)</f>
        <v>0</v>
      </c>
      <c r="AR260" s="44">
        <f>IF(AU260="S",IF(AND(S260&lt;&gt;"",R260&lt;&gt;""),S260-R260,0),0)</f>
        <v>0</v>
      </c>
      <c r="AS260" s="44">
        <f>IF(AU260="S",IF(Q260="1. Aceitou o programa",IF(OR(X260="Não se Aplica",X260=""),IF(OR(W260="Não se Aplica",W260=""),0,W260-V260),AVERAGE(X260-W260,W260-V260)),0),0)</f>
        <v>0</v>
      </c>
      <c r="AT260" s="44">
        <f>IF(AU260="S",IF(AND(Q260="1. Aceitou o programa",AB260="Realizada"),IFERROR(IF(AA260="",0,AA260-R260),0),0),0)</f>
        <v>0</v>
      </c>
      <c r="AU260" s="44" t="str">
        <f>_xlfn.XLOOKUP(U260,'Lista Suspensa'!$AA$20:$AA$23,'Lista Suspensa'!$AB$20:$AB$23,"N/A")</f>
        <v>S</v>
      </c>
    </row>
    <row r="261" spans="1:47" ht="12" hidden="1" customHeight="1">
      <c r="A261" s="88" t="s">
        <v>78</v>
      </c>
      <c r="B261" s="92">
        <v>46175</v>
      </c>
      <c r="C261" s="88" t="s">
        <v>755</v>
      </c>
      <c r="D261" s="88" t="s">
        <v>751</v>
      </c>
      <c r="E261" s="91">
        <v>92889728</v>
      </c>
      <c r="F261" s="218" t="s">
        <v>756</v>
      </c>
      <c r="G261" s="112" t="s">
        <v>757</v>
      </c>
      <c r="H261" s="97">
        <v>24516</v>
      </c>
      <c r="I261" s="91"/>
      <c r="J261" s="113" t="s">
        <v>64</v>
      </c>
      <c r="K261" s="88" t="s">
        <v>80</v>
      </c>
      <c r="L261" s="88" t="s">
        <v>758</v>
      </c>
      <c r="M261" s="88" t="s">
        <v>759</v>
      </c>
      <c r="N261" s="88">
        <v>80</v>
      </c>
      <c r="O261" s="90">
        <v>21994873464</v>
      </c>
      <c r="P261" s="94" t="s">
        <v>56</v>
      </c>
      <c r="Q261" s="142" t="s">
        <v>68</v>
      </c>
      <c r="R261" s="95">
        <v>46189</v>
      </c>
      <c r="S261" s="120"/>
      <c r="T261" s="96" t="s">
        <v>69</v>
      </c>
      <c r="U261" s="96" t="s">
        <v>70</v>
      </c>
      <c r="V261" s="117">
        <v>46178</v>
      </c>
      <c r="W261" s="92">
        <v>46181</v>
      </c>
      <c r="X261" s="117"/>
      <c r="Y261" s="97"/>
      <c r="Z261" s="88" t="s">
        <v>72</v>
      </c>
      <c r="AA261" s="96" t="s">
        <v>760</v>
      </c>
      <c r="AB261" s="88"/>
      <c r="AC261" s="119"/>
      <c r="AD261" s="88"/>
      <c r="AE261" s="88"/>
      <c r="AF261" s="118"/>
      <c r="AG261" s="118"/>
      <c r="AH261" s="118"/>
      <c r="AI261" s="99"/>
      <c r="AJ261" s="99" t="s">
        <v>78</v>
      </c>
      <c r="AK261" s="99" t="s">
        <v>78</v>
      </c>
      <c r="AL261" s="44" t="s">
        <v>62</v>
      </c>
      <c r="AM261" s="196" t="str">
        <f>MONTH(B261)&amp;"/"&amp;YEAR(B261)</f>
        <v>6/2026</v>
      </c>
      <c r="AN261" s="44">
        <f>WEEKNUM(B261)-WEEKNUM(EOMONTH(B261,-1)+1)+1</f>
        <v>1</v>
      </c>
      <c r="AO261" s="44" t="str">
        <f>MONTH(R261)&amp;"/"&amp;YEAR(R261)</f>
        <v>6/2026</v>
      </c>
      <c r="AP261" s="44">
        <f>WEEKNUM(R261)-WEEKNUM(EOMONTH(R261,-1)+1)+1</f>
        <v>3</v>
      </c>
      <c r="AQ261" s="44">
        <f>IF(AU261="S",IF(Q261="1. Aceitou o programa",R261-B261,0),0)</f>
        <v>14</v>
      </c>
      <c r="AR261" s="44">
        <f>IF(AU261="S",IF(AND(S261&lt;&gt;"",R261&lt;&gt;""),S261-R261,0),0)</f>
        <v>0</v>
      </c>
      <c r="AS261" s="44">
        <f>IF(AU261="S",IF(Q261="1. Aceitou o programa",IF(OR(X261="Não se Aplica",X261=""),IF(OR(W261="Não se Aplica",W261=""),0,W261-V261),AVERAGE(X261-W261,W261-V261)),0),0)</f>
        <v>3</v>
      </c>
      <c r="AT261" s="44">
        <f>IF(AU261="S",IF(AND(Q261="1. Aceitou o programa",AB261="Realizada"),IFERROR(IF(AA261="",0,AA261-R261),0),0),0)</f>
        <v>0</v>
      </c>
      <c r="AU261" s="44" t="str">
        <f>_xlfn.XLOOKUP(U261,'Lista Suspensa'!$AA$20:$AA$23,'Lista Suspensa'!$AB$20:$AB$23,"N/A")</f>
        <v>S</v>
      </c>
    </row>
    <row r="262" spans="1:47" ht="12" customHeight="1">
      <c r="A262" s="88" t="s">
        <v>78</v>
      </c>
      <c r="B262" s="92">
        <v>46188</v>
      </c>
      <c r="C262" s="88" t="s">
        <v>761</v>
      </c>
      <c r="D262" s="88" t="s">
        <v>762</v>
      </c>
      <c r="E262" s="91">
        <v>73174179</v>
      </c>
      <c r="F262" s="218" t="s">
        <v>763</v>
      </c>
      <c r="G262" s="112">
        <v>89351371700</v>
      </c>
      <c r="H262" s="97">
        <v>23914</v>
      </c>
      <c r="I262" s="91"/>
      <c r="J262" s="113"/>
      <c r="K262" s="88" t="s">
        <v>80</v>
      </c>
      <c r="L262" s="88" t="s">
        <v>142</v>
      </c>
      <c r="M262" s="88"/>
      <c r="N262" s="88" t="s">
        <v>110</v>
      </c>
      <c r="O262" s="90">
        <v>21996265758</v>
      </c>
      <c r="P262" s="94" t="s">
        <v>56</v>
      </c>
      <c r="Q262" s="142" t="s">
        <v>68</v>
      </c>
      <c r="R262" s="95">
        <v>46189</v>
      </c>
      <c r="S262" s="94"/>
      <c r="T262" s="96" t="s">
        <v>69</v>
      </c>
      <c r="U262" s="96" t="s">
        <v>70</v>
      </c>
      <c r="V262" s="117">
        <v>46189</v>
      </c>
      <c r="W262" s="117"/>
      <c r="X262" s="97"/>
      <c r="Y262" s="117"/>
      <c r="Z262" s="88" t="s">
        <v>72</v>
      </c>
      <c r="AA262" s="121" t="s">
        <v>764</v>
      </c>
      <c r="AB262" s="88"/>
      <c r="AC262" s="119"/>
      <c r="AD262" s="88"/>
      <c r="AE262" s="88"/>
      <c r="AF262" s="118"/>
      <c r="AG262" s="118"/>
      <c r="AH262" s="118"/>
      <c r="AI262" s="99"/>
      <c r="AJ262" s="99" t="s">
        <v>78</v>
      </c>
      <c r="AK262" s="99" t="s">
        <v>78</v>
      </c>
      <c r="AU262" s="44"/>
    </row>
    <row r="263" spans="1:47" ht="12" hidden="1" customHeight="1">
      <c r="A263" s="88" t="s">
        <v>78</v>
      </c>
      <c r="B263" s="92">
        <v>46188</v>
      </c>
      <c r="C263" s="88" t="s">
        <v>761</v>
      </c>
      <c r="D263" s="88" t="s">
        <v>762</v>
      </c>
      <c r="E263" s="91">
        <v>73862155</v>
      </c>
      <c r="F263" s="218" t="s">
        <v>765</v>
      </c>
      <c r="G263" s="112">
        <v>3370515776</v>
      </c>
      <c r="H263" s="97">
        <v>26591</v>
      </c>
      <c r="I263" s="91"/>
      <c r="J263" s="113"/>
      <c r="K263" s="88" t="s">
        <v>80</v>
      </c>
      <c r="L263" s="88" t="s">
        <v>87</v>
      </c>
      <c r="M263" s="88"/>
      <c r="N263" s="88" t="s">
        <v>110</v>
      </c>
      <c r="O263" s="90">
        <v>21964325009</v>
      </c>
      <c r="P263" s="94"/>
      <c r="Q263" s="142" t="s">
        <v>766</v>
      </c>
      <c r="R263" s="120"/>
      <c r="S263" s="94"/>
      <c r="T263" s="96"/>
      <c r="U263" s="96"/>
      <c r="V263" s="117"/>
      <c r="W263" s="117"/>
      <c r="X263" s="97"/>
      <c r="Y263" s="117"/>
      <c r="Z263" s="88"/>
      <c r="AA263" s="121"/>
      <c r="AB263" s="88"/>
      <c r="AC263" s="119"/>
      <c r="AD263" s="88"/>
      <c r="AE263" s="88"/>
      <c r="AF263" s="118"/>
      <c r="AG263" s="118"/>
      <c r="AH263" s="118"/>
      <c r="AI263" s="99"/>
      <c r="AJ263" s="99" t="s">
        <v>78</v>
      </c>
      <c r="AK263" s="99" t="s">
        <v>78</v>
      </c>
      <c r="AU263" s="44"/>
    </row>
    <row r="264" spans="1:47" ht="12" hidden="1" customHeight="1">
      <c r="A264" s="88" t="s">
        <v>78</v>
      </c>
      <c r="B264" s="92">
        <v>46188</v>
      </c>
      <c r="C264" s="88" t="s">
        <v>761</v>
      </c>
      <c r="D264" s="88" t="s">
        <v>762</v>
      </c>
      <c r="E264" s="91">
        <v>73939266</v>
      </c>
      <c r="F264" s="218" t="s">
        <v>767</v>
      </c>
      <c r="G264" s="112">
        <v>5600372795</v>
      </c>
      <c r="H264" s="97">
        <v>14907</v>
      </c>
      <c r="I264" s="91"/>
      <c r="J264" s="113"/>
      <c r="K264" s="88" t="s">
        <v>80</v>
      </c>
      <c r="L264" s="88" t="s">
        <v>87</v>
      </c>
      <c r="M264" s="88"/>
      <c r="N264" s="88" t="s">
        <v>223</v>
      </c>
      <c r="O264" s="90">
        <v>21964840780</v>
      </c>
      <c r="P264" s="94"/>
      <c r="Q264" s="142" t="s">
        <v>766</v>
      </c>
      <c r="R264" s="120"/>
      <c r="S264" s="94"/>
      <c r="T264" s="96"/>
      <c r="U264" s="96"/>
      <c r="V264" s="117"/>
      <c r="W264" s="117"/>
      <c r="X264" s="97"/>
      <c r="Y264" s="117"/>
      <c r="Z264" s="88"/>
      <c r="AA264" s="121"/>
      <c r="AB264" s="88"/>
      <c r="AC264" s="119"/>
      <c r="AD264" s="88"/>
      <c r="AE264" s="88"/>
      <c r="AF264" s="118"/>
      <c r="AG264" s="118"/>
      <c r="AH264" s="118"/>
      <c r="AI264" s="99"/>
      <c r="AJ264" s="99" t="s">
        <v>78</v>
      </c>
      <c r="AK264" s="99" t="s">
        <v>78</v>
      </c>
      <c r="AU264" s="44"/>
    </row>
    <row r="265" spans="1:47" ht="12" customHeight="1">
      <c r="A265" s="88" t="s">
        <v>78</v>
      </c>
      <c r="B265" s="92">
        <v>46188</v>
      </c>
      <c r="C265" s="88" t="s">
        <v>761</v>
      </c>
      <c r="D265" s="88" t="s">
        <v>762</v>
      </c>
      <c r="E265" s="91">
        <v>74749630</v>
      </c>
      <c r="F265" s="218" t="s">
        <v>768</v>
      </c>
      <c r="G265" s="112">
        <v>21850291772</v>
      </c>
      <c r="H265" s="97">
        <v>18018</v>
      </c>
      <c r="I265" s="91"/>
      <c r="J265" s="113"/>
      <c r="K265" s="88" t="s">
        <v>80</v>
      </c>
      <c r="L265" s="88" t="s">
        <v>142</v>
      </c>
      <c r="M265" s="88"/>
      <c r="N265" s="88" t="s">
        <v>110</v>
      </c>
      <c r="O265" s="90">
        <v>21985024733</v>
      </c>
      <c r="P265" s="94" t="s">
        <v>56</v>
      </c>
      <c r="Q265" s="142" t="s">
        <v>68</v>
      </c>
      <c r="R265" s="95">
        <v>46189</v>
      </c>
      <c r="S265" s="94"/>
      <c r="T265" s="96" t="s">
        <v>69</v>
      </c>
      <c r="U265" s="96" t="s">
        <v>70</v>
      </c>
      <c r="V265" s="117">
        <v>46189</v>
      </c>
      <c r="W265" s="117"/>
      <c r="X265" s="97"/>
      <c r="Y265" s="117"/>
      <c r="Z265" s="88" t="s">
        <v>72</v>
      </c>
      <c r="AA265" s="121" t="s">
        <v>769</v>
      </c>
      <c r="AB265" s="88"/>
      <c r="AC265" s="119"/>
      <c r="AD265" s="88"/>
      <c r="AE265" s="88"/>
      <c r="AF265" s="118"/>
      <c r="AG265" s="118"/>
      <c r="AH265" s="118"/>
      <c r="AI265" s="99"/>
      <c r="AJ265" s="99" t="s">
        <v>78</v>
      </c>
      <c r="AK265" s="99" t="s">
        <v>78</v>
      </c>
      <c r="AU265" s="44"/>
    </row>
    <row r="266" spans="1:47" ht="12" hidden="1" customHeight="1">
      <c r="A266" s="88" t="s">
        <v>78</v>
      </c>
      <c r="B266" s="92">
        <v>46188</v>
      </c>
      <c r="C266" s="88" t="s">
        <v>761</v>
      </c>
      <c r="D266" s="88" t="s">
        <v>762</v>
      </c>
      <c r="E266" s="91">
        <v>76840357</v>
      </c>
      <c r="F266" s="218" t="s">
        <v>770</v>
      </c>
      <c r="G266" s="112">
        <v>38297442772</v>
      </c>
      <c r="H266" s="97">
        <v>19914</v>
      </c>
      <c r="I266" s="91"/>
      <c r="J266" s="113"/>
      <c r="K266" s="88" t="s">
        <v>80</v>
      </c>
      <c r="L266" s="88" t="s">
        <v>87</v>
      </c>
      <c r="M266" s="88"/>
      <c r="N266" s="88" t="s">
        <v>110</v>
      </c>
      <c r="O266" s="90">
        <v>21964304899</v>
      </c>
      <c r="P266" s="94"/>
      <c r="Q266" s="142" t="s">
        <v>766</v>
      </c>
      <c r="R266" s="120"/>
      <c r="S266" s="94"/>
      <c r="T266" s="96"/>
      <c r="U266" s="96"/>
      <c r="V266" s="117"/>
      <c r="W266" s="117"/>
      <c r="X266" s="120"/>
      <c r="Y266" s="117"/>
      <c r="Z266" s="88"/>
      <c r="AA266" s="96"/>
      <c r="AB266" s="88"/>
      <c r="AC266" s="119"/>
      <c r="AD266" s="88"/>
      <c r="AE266" s="88"/>
      <c r="AF266" s="118"/>
      <c r="AG266" s="118"/>
      <c r="AH266" s="118"/>
      <c r="AI266" s="99"/>
      <c r="AJ266" s="99" t="s">
        <v>78</v>
      </c>
      <c r="AK266" s="99" t="s">
        <v>78</v>
      </c>
      <c r="AU266" s="44"/>
    </row>
    <row r="267" spans="1:47" ht="12" hidden="1" customHeight="1">
      <c r="A267" s="88" t="s">
        <v>78</v>
      </c>
      <c r="B267" s="92">
        <v>46188</v>
      </c>
      <c r="C267" s="88" t="s">
        <v>761</v>
      </c>
      <c r="D267" s="88" t="s">
        <v>762</v>
      </c>
      <c r="E267" s="91">
        <v>76999266</v>
      </c>
      <c r="F267" s="218" t="s">
        <v>771</v>
      </c>
      <c r="G267" s="112">
        <v>71288201753</v>
      </c>
      <c r="H267" s="97">
        <v>18140</v>
      </c>
      <c r="I267" s="91"/>
      <c r="J267" s="113"/>
      <c r="K267" s="88" t="s">
        <v>80</v>
      </c>
      <c r="L267" s="88" t="s">
        <v>87</v>
      </c>
      <c r="M267" s="88"/>
      <c r="N267" s="88" t="s">
        <v>110</v>
      </c>
      <c r="O267" s="90">
        <v>21988260610</v>
      </c>
      <c r="P267" s="94"/>
      <c r="Q267" s="142" t="s">
        <v>766</v>
      </c>
      <c r="R267" s="120"/>
      <c r="S267" s="94"/>
      <c r="T267" s="96"/>
      <c r="U267" s="96"/>
      <c r="V267" s="117"/>
      <c r="W267" s="117"/>
      <c r="X267" s="120"/>
      <c r="Y267" s="117"/>
      <c r="Z267" s="88"/>
      <c r="AA267" s="96"/>
      <c r="AB267" s="88"/>
      <c r="AC267" s="119"/>
      <c r="AD267" s="88"/>
      <c r="AE267" s="88"/>
      <c r="AF267" s="118"/>
      <c r="AG267" s="118"/>
      <c r="AH267" s="118"/>
      <c r="AI267" s="99"/>
      <c r="AJ267" s="99" t="s">
        <v>78</v>
      </c>
      <c r="AK267" s="99" t="s">
        <v>78</v>
      </c>
      <c r="AU267" s="44"/>
    </row>
    <row r="268" spans="1:47" ht="12" hidden="1" customHeight="1">
      <c r="A268" s="88" t="s">
        <v>78</v>
      </c>
      <c r="B268" s="92">
        <v>46188</v>
      </c>
      <c r="C268" s="88" t="s">
        <v>761</v>
      </c>
      <c r="D268" s="88" t="s">
        <v>762</v>
      </c>
      <c r="E268" s="91">
        <v>78813597</v>
      </c>
      <c r="F268" s="218" t="s">
        <v>772</v>
      </c>
      <c r="G268" s="112">
        <v>53693515700</v>
      </c>
      <c r="H268" s="97">
        <v>19997</v>
      </c>
      <c r="I268" s="91"/>
      <c r="J268" s="113"/>
      <c r="K268" s="88" t="s">
        <v>80</v>
      </c>
      <c r="L268" s="88" t="s">
        <v>87</v>
      </c>
      <c r="M268" s="88"/>
      <c r="N268" s="88" t="s">
        <v>91</v>
      </c>
      <c r="O268" s="90">
        <v>21981515645</v>
      </c>
      <c r="P268" s="94"/>
      <c r="Q268" s="142" t="s">
        <v>766</v>
      </c>
      <c r="R268" s="120"/>
      <c r="S268" s="94"/>
      <c r="T268" s="96"/>
      <c r="U268" s="96"/>
      <c r="V268" s="117"/>
      <c r="W268" s="117"/>
      <c r="X268" s="97"/>
      <c r="Y268" s="117"/>
      <c r="Z268" s="88"/>
      <c r="AA268" s="121"/>
      <c r="AB268" s="88"/>
      <c r="AC268" s="119"/>
      <c r="AD268" s="88"/>
      <c r="AE268" s="88"/>
      <c r="AF268" s="118"/>
      <c r="AG268" s="118"/>
      <c r="AH268" s="118"/>
      <c r="AI268" s="99"/>
      <c r="AJ268" s="99" t="s">
        <v>78</v>
      </c>
      <c r="AK268" s="99" t="s">
        <v>78</v>
      </c>
      <c r="AU268" s="44"/>
    </row>
    <row r="269" spans="1:47" ht="12" hidden="1" customHeight="1">
      <c r="A269" s="88" t="s">
        <v>78</v>
      </c>
      <c r="B269" s="92">
        <v>46188</v>
      </c>
      <c r="C269" s="88" t="s">
        <v>761</v>
      </c>
      <c r="D269" s="88" t="s">
        <v>762</v>
      </c>
      <c r="E269" s="91">
        <v>78834574</v>
      </c>
      <c r="F269" s="218" t="s">
        <v>773</v>
      </c>
      <c r="G269" s="112">
        <v>54137190860</v>
      </c>
      <c r="H269" s="97">
        <v>40589</v>
      </c>
      <c r="I269" s="91"/>
      <c r="J269" s="113"/>
      <c r="K269" s="88" t="s">
        <v>52</v>
      </c>
      <c r="L269" s="88" t="s">
        <v>53</v>
      </c>
      <c r="M269" s="88"/>
      <c r="N269" s="88" t="s">
        <v>91</v>
      </c>
      <c r="O269" s="90">
        <v>11958117826</v>
      </c>
      <c r="P269" s="94"/>
      <c r="Q269" s="142" t="s">
        <v>766</v>
      </c>
      <c r="R269" s="121"/>
      <c r="S269" s="94"/>
      <c r="T269" s="96"/>
      <c r="U269" s="96"/>
      <c r="V269" s="117"/>
      <c r="W269" s="117"/>
      <c r="X269" s="117"/>
      <c r="Y269" s="117"/>
      <c r="Z269" s="88"/>
      <c r="AA269" s="96"/>
      <c r="AB269" s="88"/>
      <c r="AC269" s="119"/>
      <c r="AD269" s="88"/>
      <c r="AE269" s="88"/>
      <c r="AF269" s="118"/>
      <c r="AG269" s="118"/>
      <c r="AH269" s="118"/>
      <c r="AI269" s="99"/>
      <c r="AJ269" s="99" t="s">
        <v>78</v>
      </c>
      <c r="AK269" s="99" t="s">
        <v>78</v>
      </c>
      <c r="AU269" s="44"/>
    </row>
    <row r="270" spans="1:47" ht="12" hidden="1" customHeight="1">
      <c r="A270" s="88" t="s">
        <v>78</v>
      </c>
      <c r="B270" s="92">
        <v>46188</v>
      </c>
      <c r="C270" s="88" t="s">
        <v>761</v>
      </c>
      <c r="D270" s="88" t="s">
        <v>762</v>
      </c>
      <c r="E270" s="91">
        <v>78857984</v>
      </c>
      <c r="F270" s="218" t="s">
        <v>774</v>
      </c>
      <c r="G270" s="112">
        <v>2395693774</v>
      </c>
      <c r="H270" s="97">
        <v>16138</v>
      </c>
      <c r="I270" s="91"/>
      <c r="J270" s="113"/>
      <c r="K270" s="88" t="s">
        <v>80</v>
      </c>
      <c r="L270" s="88" t="s">
        <v>87</v>
      </c>
      <c r="M270" s="88"/>
      <c r="N270" s="88" t="s">
        <v>91</v>
      </c>
      <c r="O270" s="90">
        <v>21981009291</v>
      </c>
      <c r="P270" s="94"/>
      <c r="Q270" s="142" t="s">
        <v>766</v>
      </c>
      <c r="R270" s="120"/>
      <c r="S270" s="94"/>
      <c r="T270" s="96"/>
      <c r="U270" s="96"/>
      <c r="V270" s="117"/>
      <c r="W270" s="117"/>
      <c r="X270" s="97"/>
      <c r="Y270" s="117"/>
      <c r="Z270" s="88"/>
      <c r="AA270" s="121"/>
      <c r="AB270" s="88"/>
      <c r="AC270" s="119"/>
      <c r="AD270" s="88"/>
      <c r="AE270" s="88"/>
      <c r="AF270" s="118"/>
      <c r="AG270" s="118"/>
      <c r="AH270" s="118"/>
      <c r="AI270" s="99"/>
      <c r="AJ270" s="99" t="s">
        <v>78</v>
      </c>
      <c r="AK270" s="99" t="s">
        <v>78</v>
      </c>
      <c r="AU270" s="44"/>
    </row>
    <row r="271" spans="1:47" ht="12" customHeight="1">
      <c r="A271" s="88" t="s">
        <v>78</v>
      </c>
      <c r="B271" s="92">
        <v>46188</v>
      </c>
      <c r="C271" s="88" t="s">
        <v>761</v>
      </c>
      <c r="D271" s="88" t="s">
        <v>762</v>
      </c>
      <c r="E271" s="91">
        <v>79016405</v>
      </c>
      <c r="F271" s="218" t="s">
        <v>775</v>
      </c>
      <c r="G271" s="112">
        <v>31633029808</v>
      </c>
      <c r="H271" s="97">
        <v>30501</v>
      </c>
      <c r="I271" s="91"/>
      <c r="J271" s="113"/>
      <c r="K271" s="88" t="s">
        <v>52</v>
      </c>
      <c r="L271" s="88" t="s">
        <v>53</v>
      </c>
      <c r="M271" s="88"/>
      <c r="N271" s="88" t="s">
        <v>91</v>
      </c>
      <c r="O271" s="90">
        <v>11941837827</v>
      </c>
      <c r="P271" s="94" t="s">
        <v>56</v>
      </c>
      <c r="Q271" s="142" t="s">
        <v>68</v>
      </c>
      <c r="R271" s="95">
        <v>46189</v>
      </c>
      <c r="S271" s="94"/>
      <c r="T271" s="96" t="s">
        <v>69</v>
      </c>
      <c r="U271" s="96" t="s">
        <v>70</v>
      </c>
      <c r="V271" s="117">
        <v>46189</v>
      </c>
      <c r="W271" s="117"/>
      <c r="X271" s="117"/>
      <c r="Y271" s="117"/>
      <c r="Z271" s="88" t="s">
        <v>72</v>
      </c>
      <c r="AA271" s="96" t="s">
        <v>776</v>
      </c>
      <c r="AB271" s="88"/>
      <c r="AC271" s="119"/>
      <c r="AD271" s="88"/>
      <c r="AE271" s="88"/>
      <c r="AF271" s="118"/>
      <c r="AG271" s="118"/>
      <c r="AH271" s="118"/>
      <c r="AI271" s="99"/>
      <c r="AJ271" s="99" t="s">
        <v>78</v>
      </c>
      <c r="AK271" s="99" t="s">
        <v>78</v>
      </c>
      <c r="AU271" s="44"/>
    </row>
    <row r="272" spans="1:47" ht="12" hidden="1" customHeight="1">
      <c r="A272" s="88" t="s">
        <v>78</v>
      </c>
      <c r="B272" s="92">
        <v>46188</v>
      </c>
      <c r="C272" s="88" t="s">
        <v>761</v>
      </c>
      <c r="D272" s="88" t="s">
        <v>762</v>
      </c>
      <c r="E272" s="91">
        <v>79378846</v>
      </c>
      <c r="F272" s="218" t="s">
        <v>777</v>
      </c>
      <c r="G272" s="112">
        <v>1370080743</v>
      </c>
      <c r="H272" s="97">
        <v>20677</v>
      </c>
      <c r="I272" s="91"/>
      <c r="J272" s="113"/>
      <c r="K272" s="88" t="s">
        <v>80</v>
      </c>
      <c r="L272" s="88" t="s">
        <v>87</v>
      </c>
      <c r="M272" s="88"/>
      <c r="N272" s="88" t="s">
        <v>91</v>
      </c>
      <c r="O272" s="90">
        <v>21985294091</v>
      </c>
      <c r="P272" s="94"/>
      <c r="Q272" s="142" t="s">
        <v>766</v>
      </c>
      <c r="R272" s="120"/>
      <c r="S272" s="94"/>
      <c r="T272" s="96"/>
      <c r="U272" s="96"/>
      <c r="V272" s="117"/>
      <c r="W272" s="117"/>
      <c r="X272" s="97"/>
      <c r="Y272" s="117"/>
      <c r="Z272" s="88"/>
      <c r="AA272" s="121"/>
      <c r="AB272" s="88"/>
      <c r="AC272" s="119"/>
      <c r="AD272" s="88"/>
      <c r="AE272" s="88"/>
      <c r="AF272" s="118"/>
      <c r="AG272" s="118"/>
      <c r="AH272" s="118"/>
      <c r="AI272" s="99"/>
      <c r="AJ272" s="99" t="s">
        <v>78</v>
      </c>
      <c r="AK272" s="99" t="s">
        <v>78</v>
      </c>
      <c r="AU272" s="44"/>
    </row>
    <row r="273" spans="1:47" ht="12" hidden="1" customHeight="1">
      <c r="A273" s="88" t="s">
        <v>78</v>
      </c>
      <c r="B273" s="92">
        <v>46188</v>
      </c>
      <c r="C273" s="88" t="s">
        <v>761</v>
      </c>
      <c r="D273" s="88" t="s">
        <v>762</v>
      </c>
      <c r="E273" s="91">
        <v>79637811</v>
      </c>
      <c r="F273" s="218" t="s">
        <v>778</v>
      </c>
      <c r="G273" s="112">
        <v>43639658787</v>
      </c>
      <c r="H273" s="97">
        <v>21303</v>
      </c>
      <c r="I273" s="91"/>
      <c r="J273" s="113"/>
      <c r="K273" s="88" t="s">
        <v>80</v>
      </c>
      <c r="L273" s="88" t="s">
        <v>87</v>
      </c>
      <c r="M273" s="88"/>
      <c r="N273" s="88" t="s">
        <v>118</v>
      </c>
      <c r="O273" s="90">
        <v>21986525894</v>
      </c>
      <c r="P273" s="94"/>
      <c r="Q273" s="142" t="s">
        <v>766</v>
      </c>
      <c r="R273" s="120"/>
      <c r="S273" s="94"/>
      <c r="T273" s="96"/>
      <c r="U273" s="96"/>
      <c r="V273" s="117"/>
      <c r="W273" s="117"/>
      <c r="X273" s="97"/>
      <c r="Y273" s="117"/>
      <c r="Z273" s="88"/>
      <c r="AA273" s="121"/>
      <c r="AB273" s="88"/>
      <c r="AC273" s="119"/>
      <c r="AD273" s="88"/>
      <c r="AE273" s="88"/>
      <c r="AF273" s="118"/>
      <c r="AG273" s="118"/>
      <c r="AH273" s="118"/>
      <c r="AI273" s="99"/>
      <c r="AJ273" s="99" t="s">
        <v>78</v>
      </c>
      <c r="AK273" s="99" t="s">
        <v>78</v>
      </c>
      <c r="AU273" s="44"/>
    </row>
    <row r="274" spans="1:47" ht="12" hidden="1" customHeight="1">
      <c r="A274" s="88" t="s">
        <v>78</v>
      </c>
      <c r="B274" s="92">
        <v>46188</v>
      </c>
      <c r="C274" s="88" t="s">
        <v>761</v>
      </c>
      <c r="D274" s="88" t="s">
        <v>762</v>
      </c>
      <c r="E274" s="91">
        <v>79896646</v>
      </c>
      <c r="F274" s="218" t="s">
        <v>779</v>
      </c>
      <c r="G274" s="112">
        <v>10903405750</v>
      </c>
      <c r="H274" s="97">
        <v>31543</v>
      </c>
      <c r="I274" s="91"/>
      <c r="J274" s="113"/>
      <c r="K274" s="88" t="s">
        <v>52</v>
      </c>
      <c r="L274" s="88" t="s">
        <v>53</v>
      </c>
      <c r="M274" s="88"/>
      <c r="N274" s="88" t="s">
        <v>91</v>
      </c>
      <c r="O274" s="90">
        <v>21979486072</v>
      </c>
      <c r="P274" s="94"/>
      <c r="Q274" s="142" t="s">
        <v>766</v>
      </c>
      <c r="R274" s="120"/>
      <c r="S274" s="94"/>
      <c r="T274" s="96"/>
      <c r="U274" s="96"/>
      <c r="V274" s="117"/>
      <c r="W274" s="117"/>
      <c r="X274" s="97"/>
      <c r="Y274" s="117"/>
      <c r="Z274" s="88"/>
      <c r="AA274" s="121"/>
      <c r="AB274" s="88"/>
      <c r="AC274" s="119"/>
      <c r="AD274" s="88"/>
      <c r="AE274" s="88"/>
      <c r="AF274" s="118"/>
      <c r="AG274" s="118"/>
      <c r="AH274" s="118"/>
      <c r="AI274" s="99"/>
      <c r="AJ274" s="99" t="s">
        <v>78</v>
      </c>
      <c r="AK274" s="99" t="s">
        <v>78</v>
      </c>
      <c r="AU274" s="44"/>
    </row>
    <row r="275" spans="1:47" ht="12" customHeight="1">
      <c r="A275" s="88" t="s">
        <v>78</v>
      </c>
      <c r="B275" s="92">
        <v>46188</v>
      </c>
      <c r="C275" s="88" t="s">
        <v>761</v>
      </c>
      <c r="D275" s="88" t="s">
        <v>762</v>
      </c>
      <c r="E275" s="91">
        <v>80997226</v>
      </c>
      <c r="F275" s="218" t="s">
        <v>780</v>
      </c>
      <c r="G275" s="112">
        <v>31645240720</v>
      </c>
      <c r="H275" s="97">
        <v>19244</v>
      </c>
      <c r="I275" s="91"/>
      <c r="J275" s="113"/>
      <c r="K275" s="88" t="s">
        <v>80</v>
      </c>
      <c r="L275" s="88" t="s">
        <v>87</v>
      </c>
      <c r="M275" s="88"/>
      <c r="N275" s="88" t="s">
        <v>91</v>
      </c>
      <c r="O275" s="90">
        <v>21995168188</v>
      </c>
      <c r="P275" s="94" t="s">
        <v>56</v>
      </c>
      <c r="Q275" s="142" t="s">
        <v>68</v>
      </c>
      <c r="R275" s="95">
        <v>46189</v>
      </c>
      <c r="S275" s="94"/>
      <c r="T275" s="96" t="s">
        <v>69</v>
      </c>
      <c r="U275" s="96" t="s">
        <v>70</v>
      </c>
      <c r="V275" s="117">
        <v>46189</v>
      </c>
      <c r="W275" s="117"/>
      <c r="X275" s="117"/>
      <c r="Y275" s="117"/>
      <c r="Z275" s="88" t="s">
        <v>72</v>
      </c>
      <c r="AA275" s="121" t="s">
        <v>781</v>
      </c>
      <c r="AB275" s="88"/>
      <c r="AC275" s="119"/>
      <c r="AD275" s="88"/>
      <c r="AE275" s="88"/>
      <c r="AF275" s="118"/>
      <c r="AG275" s="118"/>
      <c r="AH275" s="118"/>
      <c r="AI275" s="99"/>
      <c r="AJ275" s="99" t="s">
        <v>78</v>
      </c>
      <c r="AK275" s="99" t="s">
        <v>78</v>
      </c>
      <c r="AU275" s="44"/>
    </row>
    <row r="276" spans="1:47" ht="12" customHeight="1">
      <c r="A276" s="88" t="s">
        <v>78</v>
      </c>
      <c r="B276" s="92">
        <v>46188</v>
      </c>
      <c r="C276" s="88" t="s">
        <v>761</v>
      </c>
      <c r="D276" s="88" t="s">
        <v>762</v>
      </c>
      <c r="E276" s="91">
        <v>82279373</v>
      </c>
      <c r="F276" s="218" t="s">
        <v>782</v>
      </c>
      <c r="G276" s="112">
        <v>1196201706</v>
      </c>
      <c r="H276" s="97">
        <v>24878</v>
      </c>
      <c r="I276" s="91"/>
      <c r="J276" s="113"/>
      <c r="K276" s="88" t="s">
        <v>80</v>
      </c>
      <c r="L276" s="88" t="s">
        <v>87</v>
      </c>
      <c r="M276" s="88"/>
      <c r="N276" s="88" t="s">
        <v>91</v>
      </c>
      <c r="O276" s="90">
        <v>21981640554</v>
      </c>
      <c r="P276" s="94" t="s">
        <v>56</v>
      </c>
      <c r="Q276" s="142" t="s">
        <v>68</v>
      </c>
      <c r="R276" s="95">
        <v>46189</v>
      </c>
      <c r="S276" s="94"/>
      <c r="T276" s="96" t="s">
        <v>69</v>
      </c>
      <c r="U276" s="96" t="s">
        <v>70</v>
      </c>
      <c r="V276" s="117">
        <v>46189</v>
      </c>
      <c r="W276" s="117"/>
      <c r="X276" s="117"/>
      <c r="Y276" s="117"/>
      <c r="Z276" s="88" t="s">
        <v>72</v>
      </c>
      <c r="AA276" s="96" t="s">
        <v>783</v>
      </c>
      <c r="AB276" s="88"/>
      <c r="AC276" s="119"/>
      <c r="AD276" s="88"/>
      <c r="AE276" s="88"/>
      <c r="AF276" s="118"/>
      <c r="AG276" s="118"/>
      <c r="AH276" s="118"/>
      <c r="AI276" s="99"/>
      <c r="AJ276" s="99" t="s">
        <v>78</v>
      </c>
      <c r="AK276" s="99" t="s">
        <v>78</v>
      </c>
      <c r="AU276" s="44"/>
    </row>
    <row r="277" spans="1:47" ht="12" customHeight="1">
      <c r="A277" s="88" t="s">
        <v>78</v>
      </c>
      <c r="B277" s="92">
        <v>46188</v>
      </c>
      <c r="C277" s="88" t="s">
        <v>761</v>
      </c>
      <c r="D277" s="88" t="s">
        <v>762</v>
      </c>
      <c r="E277" s="91">
        <v>82755312</v>
      </c>
      <c r="F277" s="218" t="s">
        <v>784</v>
      </c>
      <c r="G277" s="112">
        <v>92643094700</v>
      </c>
      <c r="H277" s="97">
        <v>22281</v>
      </c>
      <c r="I277" s="91"/>
      <c r="J277" s="113"/>
      <c r="K277" s="88" t="s">
        <v>80</v>
      </c>
      <c r="L277" s="88" t="s">
        <v>87</v>
      </c>
      <c r="M277" s="88"/>
      <c r="N277" s="88" t="s">
        <v>118</v>
      </c>
      <c r="O277" s="90">
        <v>21982167416</v>
      </c>
      <c r="P277" s="94" t="s">
        <v>56</v>
      </c>
      <c r="Q277" s="142" t="s">
        <v>68</v>
      </c>
      <c r="R277" s="95">
        <v>46189</v>
      </c>
      <c r="S277" s="96"/>
      <c r="T277" s="96" t="s">
        <v>69</v>
      </c>
      <c r="U277" s="96" t="s">
        <v>70</v>
      </c>
      <c r="V277" s="117">
        <v>46189</v>
      </c>
      <c r="W277" s="117"/>
      <c r="X277" s="97"/>
      <c r="Y277" s="97"/>
      <c r="Z277" s="88" t="s">
        <v>72</v>
      </c>
      <c r="AA277" s="96" t="s">
        <v>776</v>
      </c>
      <c r="AB277" s="88"/>
      <c r="AC277" s="119"/>
      <c r="AD277" s="88"/>
      <c r="AE277" s="88"/>
      <c r="AF277" s="116"/>
      <c r="AG277" s="116"/>
      <c r="AH277" s="118"/>
      <c r="AI277" s="99"/>
      <c r="AJ277" s="99" t="s">
        <v>78</v>
      </c>
      <c r="AK277" s="99" t="s">
        <v>78</v>
      </c>
      <c r="AU277" s="44"/>
    </row>
    <row r="278" spans="1:47" ht="12" hidden="1" customHeight="1">
      <c r="A278" s="88" t="s">
        <v>78</v>
      </c>
      <c r="B278" s="92">
        <v>46188</v>
      </c>
      <c r="C278" s="88" t="s">
        <v>761</v>
      </c>
      <c r="D278" s="88" t="s">
        <v>762</v>
      </c>
      <c r="E278" s="91">
        <v>82812928</v>
      </c>
      <c r="F278" s="218" t="s">
        <v>785</v>
      </c>
      <c r="G278" s="112">
        <v>2597338738</v>
      </c>
      <c r="H278" s="97">
        <v>24492</v>
      </c>
      <c r="I278" s="91"/>
      <c r="J278" s="113"/>
      <c r="K278" s="88" t="s">
        <v>80</v>
      </c>
      <c r="L278" s="88" t="s">
        <v>81</v>
      </c>
      <c r="M278" s="88"/>
      <c r="N278" s="88" t="s">
        <v>122</v>
      </c>
      <c r="O278" s="90" t="s">
        <v>786</v>
      </c>
      <c r="P278" s="94"/>
      <c r="Q278" s="142" t="s">
        <v>766</v>
      </c>
      <c r="R278" s="120"/>
      <c r="S278" s="94"/>
      <c r="T278" s="96"/>
      <c r="U278" s="96"/>
      <c r="V278" s="117"/>
      <c r="W278" s="117"/>
      <c r="X278" s="97"/>
      <c r="Y278" s="117"/>
      <c r="Z278" s="88"/>
      <c r="AA278" s="121"/>
      <c r="AB278" s="88"/>
      <c r="AC278" s="119"/>
      <c r="AD278" s="88"/>
      <c r="AE278" s="88"/>
      <c r="AF278" s="118"/>
      <c r="AG278" s="118"/>
      <c r="AH278" s="118"/>
      <c r="AI278" s="99"/>
      <c r="AJ278" s="99" t="s">
        <v>78</v>
      </c>
      <c r="AK278" s="99" t="s">
        <v>78</v>
      </c>
      <c r="AU278" s="44"/>
    </row>
    <row r="279" spans="1:47" ht="12" hidden="1" customHeight="1">
      <c r="A279" s="88" t="s">
        <v>78</v>
      </c>
      <c r="B279" s="92">
        <v>46188</v>
      </c>
      <c r="C279" s="88" t="s">
        <v>761</v>
      </c>
      <c r="D279" s="88" t="s">
        <v>762</v>
      </c>
      <c r="E279" s="91">
        <v>83492913</v>
      </c>
      <c r="F279" s="218" t="s">
        <v>787</v>
      </c>
      <c r="G279" s="112">
        <v>3507025787</v>
      </c>
      <c r="H279" s="97">
        <v>15972</v>
      </c>
      <c r="I279" s="91"/>
      <c r="J279" s="113"/>
      <c r="K279" s="88" t="s">
        <v>80</v>
      </c>
      <c r="L279" s="88" t="s">
        <v>87</v>
      </c>
      <c r="M279" s="88"/>
      <c r="N279" s="88" t="s">
        <v>138</v>
      </c>
      <c r="O279" s="90">
        <v>21973370707</v>
      </c>
      <c r="P279" s="94"/>
      <c r="Q279" s="142" t="s">
        <v>766</v>
      </c>
      <c r="R279" s="121"/>
      <c r="S279" s="94"/>
      <c r="T279" s="96"/>
      <c r="U279" s="96"/>
      <c r="V279" s="117"/>
      <c r="W279" s="97"/>
      <c r="X279" s="97"/>
      <c r="Y279" s="117"/>
      <c r="Z279" s="88"/>
      <c r="AA279" s="96"/>
      <c r="AB279" s="88"/>
      <c r="AC279" s="119"/>
      <c r="AD279" s="88"/>
      <c r="AE279" s="88"/>
      <c r="AF279" s="118"/>
      <c r="AG279" s="118"/>
      <c r="AH279" s="118"/>
      <c r="AI279" s="99"/>
      <c r="AJ279" s="99" t="s">
        <v>78</v>
      </c>
      <c r="AK279" s="99" t="s">
        <v>78</v>
      </c>
      <c r="AU279" s="44"/>
    </row>
    <row r="280" spans="1:47" ht="12" hidden="1" customHeight="1">
      <c r="A280" s="88" t="s">
        <v>78</v>
      </c>
      <c r="B280" s="92">
        <v>46188</v>
      </c>
      <c r="C280" s="88" t="s">
        <v>761</v>
      </c>
      <c r="D280" s="88" t="s">
        <v>762</v>
      </c>
      <c r="E280" s="91">
        <v>83771748</v>
      </c>
      <c r="F280" s="218" t="s">
        <v>788</v>
      </c>
      <c r="G280" s="112">
        <v>30919878768</v>
      </c>
      <c r="H280" s="97">
        <v>18261</v>
      </c>
      <c r="I280" s="91"/>
      <c r="J280" s="113"/>
      <c r="K280" s="88" t="s">
        <v>80</v>
      </c>
      <c r="L280" s="88" t="s">
        <v>87</v>
      </c>
      <c r="M280" s="88"/>
      <c r="N280" s="88" t="s">
        <v>122</v>
      </c>
      <c r="O280" s="90">
        <v>21976673588</v>
      </c>
      <c r="P280" s="94"/>
      <c r="Q280" s="142" t="s">
        <v>766</v>
      </c>
      <c r="R280" s="120"/>
      <c r="S280" s="94"/>
      <c r="T280" s="96"/>
      <c r="U280" s="96"/>
      <c r="V280" s="117"/>
      <c r="W280" s="117"/>
      <c r="X280" s="97"/>
      <c r="Y280" s="117"/>
      <c r="Z280" s="88"/>
      <c r="AA280" s="121"/>
      <c r="AB280" s="88"/>
      <c r="AC280" s="119"/>
      <c r="AD280" s="88"/>
      <c r="AE280" s="88"/>
      <c r="AF280" s="118"/>
      <c r="AG280" s="118"/>
      <c r="AH280" s="118"/>
      <c r="AI280" s="99"/>
      <c r="AJ280" s="99" t="s">
        <v>78</v>
      </c>
      <c r="AK280" s="99" t="s">
        <v>78</v>
      </c>
      <c r="AU280" s="44"/>
    </row>
    <row r="281" spans="1:47" ht="12" customHeight="1">
      <c r="A281" s="88" t="s">
        <v>78</v>
      </c>
      <c r="B281" s="92">
        <v>46188</v>
      </c>
      <c r="C281" s="88" t="s">
        <v>761</v>
      </c>
      <c r="D281" s="88" t="s">
        <v>762</v>
      </c>
      <c r="E281" s="91">
        <v>84673753</v>
      </c>
      <c r="F281" s="218" t="s">
        <v>789</v>
      </c>
      <c r="G281" s="112">
        <v>418178771</v>
      </c>
      <c r="H281" s="97">
        <v>26550</v>
      </c>
      <c r="I281" s="91"/>
      <c r="J281" s="113"/>
      <c r="K281" s="88" t="s">
        <v>80</v>
      </c>
      <c r="L281" s="88" t="s">
        <v>142</v>
      </c>
      <c r="M281" s="88"/>
      <c r="N281" s="88" t="s">
        <v>91</v>
      </c>
      <c r="O281" s="90">
        <v>21976619820</v>
      </c>
      <c r="P281" s="94" t="s">
        <v>56</v>
      </c>
      <c r="Q281" s="142" t="s">
        <v>68</v>
      </c>
      <c r="R281" s="95">
        <v>46189</v>
      </c>
      <c r="S281" s="94"/>
      <c r="T281" s="96" t="s">
        <v>69</v>
      </c>
      <c r="U281" s="96" t="s">
        <v>70</v>
      </c>
      <c r="V281" s="117">
        <v>46189</v>
      </c>
      <c r="W281" s="117"/>
      <c r="X281" s="97"/>
      <c r="Y281" s="117"/>
      <c r="Z281" s="88" t="s">
        <v>72</v>
      </c>
      <c r="AA281" s="121" t="s">
        <v>790</v>
      </c>
      <c r="AB281" s="88"/>
      <c r="AC281" s="119"/>
      <c r="AD281" s="88"/>
      <c r="AE281" s="88"/>
      <c r="AF281" s="118"/>
      <c r="AG281" s="118"/>
      <c r="AH281" s="118"/>
      <c r="AI281" s="99"/>
      <c r="AJ281" s="99" t="s">
        <v>78</v>
      </c>
      <c r="AK281" s="99" t="s">
        <v>78</v>
      </c>
      <c r="AU281" s="44"/>
    </row>
    <row r="282" spans="1:47" ht="12" customHeight="1">
      <c r="A282" s="88" t="s">
        <v>78</v>
      </c>
      <c r="B282" s="92">
        <v>46188</v>
      </c>
      <c r="C282" s="88" t="s">
        <v>761</v>
      </c>
      <c r="D282" s="88" t="s">
        <v>762</v>
      </c>
      <c r="E282" s="91">
        <v>87228439</v>
      </c>
      <c r="F282" s="218" t="s">
        <v>791</v>
      </c>
      <c r="G282" s="112">
        <v>10701690720</v>
      </c>
      <c r="H282" s="97">
        <v>33888</v>
      </c>
      <c r="I282" s="91"/>
      <c r="J282" s="113"/>
      <c r="K282" s="88" t="s">
        <v>80</v>
      </c>
      <c r="L282" s="88" t="s">
        <v>87</v>
      </c>
      <c r="M282" s="88"/>
      <c r="N282" s="88" t="s">
        <v>88</v>
      </c>
      <c r="O282" s="90">
        <v>21969128336</v>
      </c>
      <c r="P282" s="94" t="s">
        <v>56</v>
      </c>
      <c r="Q282" s="142" t="s">
        <v>68</v>
      </c>
      <c r="R282" s="95">
        <v>46189</v>
      </c>
      <c r="S282" s="94"/>
      <c r="T282" s="96" t="s">
        <v>69</v>
      </c>
      <c r="U282" s="96" t="s">
        <v>70</v>
      </c>
      <c r="V282" s="117">
        <v>46189</v>
      </c>
      <c r="W282" s="117"/>
      <c r="X282" s="97"/>
      <c r="Y282" s="117"/>
      <c r="Z282" s="88" t="s">
        <v>72</v>
      </c>
      <c r="AA282" s="121" t="s">
        <v>792</v>
      </c>
      <c r="AB282" s="88"/>
      <c r="AC282" s="119"/>
      <c r="AD282" s="88"/>
      <c r="AE282" s="88"/>
      <c r="AF282" s="118"/>
      <c r="AG282" s="118"/>
      <c r="AH282" s="118"/>
      <c r="AI282" s="99"/>
      <c r="AJ282" s="99" t="s">
        <v>78</v>
      </c>
      <c r="AK282" s="99" t="s">
        <v>78</v>
      </c>
      <c r="AU282" s="44"/>
    </row>
    <row r="283" spans="1:47" ht="12" hidden="1" customHeight="1">
      <c r="A283" s="88" t="s">
        <v>78</v>
      </c>
      <c r="B283" s="92">
        <v>46188</v>
      </c>
      <c r="C283" s="88" t="s">
        <v>761</v>
      </c>
      <c r="D283" s="88" t="s">
        <v>762</v>
      </c>
      <c r="E283" s="91">
        <v>87562404</v>
      </c>
      <c r="F283" s="218" t="s">
        <v>793</v>
      </c>
      <c r="G283" s="112">
        <v>12955901741</v>
      </c>
      <c r="H283" s="97">
        <v>32393</v>
      </c>
      <c r="I283" s="91"/>
      <c r="J283" s="113"/>
      <c r="K283" s="88" t="s">
        <v>80</v>
      </c>
      <c r="L283" s="88" t="s">
        <v>87</v>
      </c>
      <c r="M283" s="88"/>
      <c r="N283" s="88" t="s">
        <v>122</v>
      </c>
      <c r="O283" s="90">
        <v>21992264393</v>
      </c>
      <c r="P283" s="94"/>
      <c r="Q283" s="142" t="s">
        <v>766</v>
      </c>
      <c r="R283" s="120"/>
      <c r="S283" s="94"/>
      <c r="T283" s="96"/>
      <c r="U283" s="96"/>
      <c r="V283" s="117"/>
      <c r="W283" s="117"/>
      <c r="X283" s="97"/>
      <c r="Y283" s="117"/>
      <c r="Z283" s="88"/>
      <c r="AA283" s="121"/>
      <c r="AB283" s="88"/>
      <c r="AC283" s="119"/>
      <c r="AD283" s="88"/>
      <c r="AE283" s="88"/>
      <c r="AF283" s="118"/>
      <c r="AG283" s="118"/>
      <c r="AH283" s="118"/>
      <c r="AI283" s="99"/>
      <c r="AJ283" s="99" t="s">
        <v>78</v>
      </c>
      <c r="AK283" s="99" t="s">
        <v>78</v>
      </c>
      <c r="AU283" s="44"/>
    </row>
    <row r="284" spans="1:47" ht="12" customHeight="1">
      <c r="A284" s="88" t="s">
        <v>78</v>
      </c>
      <c r="B284" s="92">
        <v>46188</v>
      </c>
      <c r="C284" s="88" t="s">
        <v>761</v>
      </c>
      <c r="D284" s="88" t="s">
        <v>762</v>
      </c>
      <c r="E284" s="91">
        <v>87740780</v>
      </c>
      <c r="F284" s="218" t="s">
        <v>794</v>
      </c>
      <c r="G284" s="112">
        <v>3853530737</v>
      </c>
      <c r="H284" s="97">
        <v>28347</v>
      </c>
      <c r="I284" s="91"/>
      <c r="J284" s="113"/>
      <c r="K284" s="88" t="s">
        <v>80</v>
      </c>
      <c r="L284" s="88" t="s">
        <v>87</v>
      </c>
      <c r="M284" s="88"/>
      <c r="N284" s="88" t="s">
        <v>143</v>
      </c>
      <c r="O284" s="90">
        <v>21989857847</v>
      </c>
      <c r="P284" s="94" t="s">
        <v>56</v>
      </c>
      <c r="Q284" s="142" t="s">
        <v>68</v>
      </c>
      <c r="R284" s="95">
        <v>46189</v>
      </c>
      <c r="S284" s="94"/>
      <c r="T284" s="96" t="s">
        <v>69</v>
      </c>
      <c r="U284" s="96" t="s">
        <v>70</v>
      </c>
      <c r="V284" s="117">
        <v>46189</v>
      </c>
      <c r="W284" s="97"/>
      <c r="X284" s="97"/>
      <c r="Y284" s="117"/>
      <c r="Z284" s="88" t="s">
        <v>72</v>
      </c>
      <c r="AA284" s="96" t="s">
        <v>795</v>
      </c>
      <c r="AB284" s="88"/>
      <c r="AC284" s="119"/>
      <c r="AD284" s="88"/>
      <c r="AE284" s="88"/>
      <c r="AF284" s="118"/>
      <c r="AG284" s="118"/>
      <c r="AH284" s="118"/>
      <c r="AI284" s="99"/>
      <c r="AJ284" s="99" t="s">
        <v>78</v>
      </c>
      <c r="AK284" s="99" t="s">
        <v>78</v>
      </c>
      <c r="AU284" s="44"/>
    </row>
    <row r="285" spans="1:47" ht="12" customHeight="1">
      <c r="A285" s="88" t="s">
        <v>78</v>
      </c>
      <c r="B285" s="92">
        <v>46188</v>
      </c>
      <c r="C285" s="88" t="s">
        <v>761</v>
      </c>
      <c r="D285" s="88" t="s">
        <v>762</v>
      </c>
      <c r="E285" s="91">
        <v>89710402</v>
      </c>
      <c r="F285" s="218" t="s">
        <v>796</v>
      </c>
      <c r="G285" s="112">
        <v>7731742733</v>
      </c>
      <c r="H285" s="97">
        <v>27540</v>
      </c>
      <c r="I285" s="91"/>
      <c r="J285" s="113"/>
      <c r="K285" s="88" t="s">
        <v>80</v>
      </c>
      <c r="L285" s="88" t="s">
        <v>142</v>
      </c>
      <c r="M285" s="88"/>
      <c r="N285" s="88" t="s">
        <v>122</v>
      </c>
      <c r="O285" s="90">
        <v>21988937473</v>
      </c>
      <c r="P285" s="94" t="s">
        <v>56</v>
      </c>
      <c r="Q285" s="142" t="s">
        <v>68</v>
      </c>
      <c r="R285" s="95">
        <v>46189</v>
      </c>
      <c r="S285" s="94"/>
      <c r="T285" s="96" t="s">
        <v>69</v>
      </c>
      <c r="U285" s="96" t="s">
        <v>70</v>
      </c>
      <c r="V285" s="117">
        <v>46189</v>
      </c>
      <c r="W285" s="97"/>
      <c r="X285" s="97"/>
      <c r="Y285" s="117"/>
      <c r="Z285" s="88" t="s">
        <v>72</v>
      </c>
      <c r="AA285" s="96" t="s">
        <v>797</v>
      </c>
      <c r="AB285" s="88"/>
      <c r="AC285" s="119"/>
      <c r="AD285" s="88"/>
      <c r="AE285" s="88"/>
      <c r="AF285" s="118"/>
      <c r="AG285" s="118"/>
      <c r="AH285" s="118"/>
      <c r="AI285" s="99"/>
      <c r="AJ285" s="99" t="s">
        <v>78</v>
      </c>
      <c r="AK285" s="99" t="s">
        <v>78</v>
      </c>
      <c r="AU285" s="44"/>
    </row>
    <row r="286" spans="1:47" ht="12" hidden="1" customHeight="1">
      <c r="A286" s="88" t="s">
        <v>78</v>
      </c>
      <c r="B286" s="92">
        <v>46188</v>
      </c>
      <c r="C286" s="88" t="s">
        <v>761</v>
      </c>
      <c r="D286" s="88" t="s">
        <v>762</v>
      </c>
      <c r="E286" s="91">
        <v>92579127</v>
      </c>
      <c r="F286" s="218" t="s">
        <v>798</v>
      </c>
      <c r="G286" s="112">
        <v>31858774896</v>
      </c>
      <c r="H286" s="97">
        <v>30535</v>
      </c>
      <c r="I286" s="91"/>
      <c r="J286" s="113"/>
      <c r="K286" s="88" t="s">
        <v>52</v>
      </c>
      <c r="L286" s="88" t="s">
        <v>133</v>
      </c>
      <c r="M286" s="88"/>
      <c r="N286" s="88" t="s">
        <v>66</v>
      </c>
      <c r="O286" s="90">
        <v>11995339011</v>
      </c>
      <c r="P286" s="94"/>
      <c r="Q286" s="142" t="s">
        <v>766</v>
      </c>
      <c r="R286" s="121"/>
      <c r="S286" s="94"/>
      <c r="T286" s="96"/>
      <c r="U286" s="96"/>
      <c r="V286" s="117"/>
      <c r="W286" s="97"/>
      <c r="X286" s="97"/>
      <c r="Y286" s="117"/>
      <c r="Z286" s="88"/>
      <c r="AA286" s="96"/>
      <c r="AB286" s="88"/>
      <c r="AC286" s="119"/>
      <c r="AD286" s="88"/>
      <c r="AE286" s="88"/>
      <c r="AF286" s="118"/>
      <c r="AG286" s="118"/>
      <c r="AH286" s="118"/>
      <c r="AI286" s="99"/>
      <c r="AJ286" s="99" t="s">
        <v>78</v>
      </c>
      <c r="AK286" s="99" t="s">
        <v>78</v>
      </c>
      <c r="AU286" s="44"/>
    </row>
    <row r="287" spans="1:47" ht="12" hidden="1" customHeight="1">
      <c r="A287" s="88" t="s">
        <v>78</v>
      </c>
      <c r="B287" s="92">
        <v>46188</v>
      </c>
      <c r="C287" s="88" t="s">
        <v>761</v>
      </c>
      <c r="D287" s="88" t="s">
        <v>762</v>
      </c>
      <c r="E287" s="91">
        <v>93195666</v>
      </c>
      <c r="F287" s="218" t="s">
        <v>799</v>
      </c>
      <c r="G287" s="112">
        <v>3460776641</v>
      </c>
      <c r="H287" s="97">
        <v>28365</v>
      </c>
      <c r="I287" s="91"/>
      <c r="J287" s="113"/>
      <c r="K287" s="88" t="s">
        <v>80</v>
      </c>
      <c r="L287" s="88" t="s">
        <v>341</v>
      </c>
      <c r="M287" s="88"/>
      <c r="N287" s="88" t="s">
        <v>88</v>
      </c>
      <c r="O287" s="90">
        <v>21970430417</v>
      </c>
      <c r="P287" s="94"/>
      <c r="Q287" s="142" t="s">
        <v>766</v>
      </c>
      <c r="R287" s="121"/>
      <c r="S287" s="96"/>
      <c r="T287" s="96"/>
      <c r="U287" s="96"/>
      <c r="V287" s="117"/>
      <c r="W287" s="117"/>
      <c r="X287" s="97"/>
      <c r="Y287" s="97"/>
      <c r="Z287" s="88"/>
      <c r="AA287" s="96"/>
      <c r="AB287" s="88"/>
      <c r="AC287" s="119"/>
      <c r="AD287" s="88"/>
      <c r="AE287" s="88"/>
      <c r="AF287" s="116"/>
      <c r="AG287" s="116"/>
      <c r="AH287" s="118"/>
      <c r="AI287" s="99"/>
      <c r="AJ287" s="99" t="s">
        <v>78</v>
      </c>
      <c r="AK287" s="99" t="s">
        <v>78</v>
      </c>
      <c r="AU287" s="44"/>
    </row>
    <row r="288" spans="1:47" ht="12" customHeight="1">
      <c r="A288" s="88" t="s">
        <v>78</v>
      </c>
      <c r="B288" s="92">
        <v>46188</v>
      </c>
      <c r="C288" s="88" t="s">
        <v>761</v>
      </c>
      <c r="D288" s="88" t="s">
        <v>762</v>
      </c>
      <c r="E288" s="91">
        <v>94559169</v>
      </c>
      <c r="F288" s="218" t="s">
        <v>800</v>
      </c>
      <c r="G288" s="112">
        <v>2969405776</v>
      </c>
      <c r="H288" s="97">
        <v>27157</v>
      </c>
      <c r="I288" s="91"/>
      <c r="J288" s="113"/>
      <c r="K288" s="88" t="s">
        <v>80</v>
      </c>
      <c r="L288" s="88" t="s">
        <v>631</v>
      </c>
      <c r="M288" s="88"/>
      <c r="N288" s="88" t="s">
        <v>143</v>
      </c>
      <c r="O288" s="90">
        <v>21992055586</v>
      </c>
      <c r="P288" s="94" t="s">
        <v>56</v>
      </c>
      <c r="Q288" s="142" t="s">
        <v>68</v>
      </c>
      <c r="R288" s="95">
        <v>46189</v>
      </c>
      <c r="S288" s="96"/>
      <c r="T288" s="96" t="s">
        <v>69</v>
      </c>
      <c r="U288" s="96" t="s">
        <v>70</v>
      </c>
      <c r="V288" s="117">
        <v>46189</v>
      </c>
      <c r="W288" s="117"/>
      <c r="X288" s="97"/>
      <c r="Y288" s="97"/>
      <c r="Z288" s="88" t="s">
        <v>72</v>
      </c>
      <c r="AA288" s="96">
        <v>46178.444444444445</v>
      </c>
      <c r="AB288" s="88"/>
      <c r="AC288" s="119"/>
      <c r="AD288" s="88"/>
      <c r="AE288" s="88"/>
      <c r="AF288" s="116"/>
      <c r="AG288" s="116"/>
      <c r="AH288" s="118"/>
      <c r="AI288" s="99"/>
      <c r="AJ288" s="99" t="s">
        <v>78</v>
      </c>
      <c r="AK288" s="99" t="s">
        <v>78</v>
      </c>
      <c r="AU288" s="44"/>
    </row>
    <row r="289" spans="1:47" ht="12" hidden="1" customHeight="1">
      <c r="A289" s="88" t="s">
        <v>78</v>
      </c>
      <c r="B289" s="92">
        <v>46188</v>
      </c>
      <c r="C289" s="88" t="s">
        <v>761</v>
      </c>
      <c r="D289" s="88" t="s">
        <v>762</v>
      </c>
      <c r="E289" s="91">
        <v>94929737</v>
      </c>
      <c r="F289" s="218" t="s">
        <v>801</v>
      </c>
      <c r="G289" s="112">
        <v>17609662828</v>
      </c>
      <c r="H289" s="97">
        <v>26299</v>
      </c>
      <c r="I289" s="91"/>
      <c r="J289" s="113"/>
      <c r="K289" s="88" t="s">
        <v>52</v>
      </c>
      <c r="L289" s="88" t="s">
        <v>53</v>
      </c>
      <c r="M289" s="88"/>
      <c r="N289" s="88" t="s">
        <v>66</v>
      </c>
      <c r="O289" s="90">
        <v>11983901897</v>
      </c>
      <c r="P289" s="94"/>
      <c r="Q289" s="142" t="s">
        <v>766</v>
      </c>
      <c r="R289" s="121"/>
      <c r="S289" s="96"/>
      <c r="T289" s="96"/>
      <c r="U289" s="96"/>
      <c r="V289" s="117"/>
      <c r="W289" s="117"/>
      <c r="X289" s="97"/>
      <c r="Y289" s="97"/>
      <c r="Z289" s="88"/>
      <c r="AA289" s="96"/>
      <c r="AB289" s="88"/>
      <c r="AC289" s="119"/>
      <c r="AD289" s="88"/>
      <c r="AE289" s="88"/>
      <c r="AF289" s="116"/>
      <c r="AG289" s="116"/>
      <c r="AH289" s="118"/>
      <c r="AI289" s="99"/>
      <c r="AJ289" s="99" t="s">
        <v>78</v>
      </c>
      <c r="AK289" s="99" t="s">
        <v>78</v>
      </c>
      <c r="AU289" s="44"/>
    </row>
    <row r="290" spans="1:47" ht="12" customHeight="1">
      <c r="A290" s="88" t="s">
        <v>78</v>
      </c>
      <c r="B290" s="92">
        <v>46188</v>
      </c>
      <c r="C290" s="88" t="s">
        <v>761</v>
      </c>
      <c r="D290" s="88" t="s">
        <v>762</v>
      </c>
      <c r="E290" s="91">
        <v>96030617</v>
      </c>
      <c r="F290" s="218" t="s">
        <v>802</v>
      </c>
      <c r="G290" s="112">
        <v>7466335721</v>
      </c>
      <c r="H290" s="97">
        <v>27120</v>
      </c>
      <c r="I290" s="91"/>
      <c r="J290" s="113"/>
      <c r="K290" s="88" t="s">
        <v>52</v>
      </c>
      <c r="L290" s="88" t="s">
        <v>53</v>
      </c>
      <c r="M290" s="88"/>
      <c r="N290" s="88" t="s">
        <v>143</v>
      </c>
      <c r="O290" s="90">
        <v>21966799764</v>
      </c>
      <c r="P290" s="94" t="s">
        <v>56</v>
      </c>
      <c r="Q290" s="142" t="s">
        <v>68</v>
      </c>
      <c r="R290" s="95">
        <v>46189</v>
      </c>
      <c r="S290" s="96"/>
      <c r="T290" s="96" t="s">
        <v>69</v>
      </c>
      <c r="U290" s="96" t="s">
        <v>70</v>
      </c>
      <c r="V290" s="117">
        <v>46189</v>
      </c>
      <c r="W290" s="117"/>
      <c r="X290" s="97"/>
      <c r="Y290" s="97"/>
      <c r="Z290" s="88" t="s">
        <v>72</v>
      </c>
      <c r="AA290" s="96" t="s">
        <v>803</v>
      </c>
      <c r="AB290" s="88"/>
      <c r="AC290" s="119"/>
      <c r="AD290" s="88"/>
      <c r="AE290" s="88"/>
      <c r="AF290" s="116"/>
      <c r="AG290" s="116"/>
      <c r="AH290" s="118"/>
      <c r="AI290" s="99"/>
      <c r="AJ290" s="99" t="s">
        <v>78</v>
      </c>
      <c r="AK290" s="99" t="s">
        <v>78</v>
      </c>
      <c r="AU290" s="44"/>
    </row>
    <row r="291" spans="1:47" ht="12" hidden="1" customHeight="1">
      <c r="A291" s="88" t="s">
        <v>78</v>
      </c>
      <c r="B291" s="92">
        <v>46188</v>
      </c>
      <c r="C291" s="88" t="s">
        <v>761</v>
      </c>
      <c r="D291" s="88" t="s">
        <v>762</v>
      </c>
      <c r="E291" s="91">
        <v>115519327</v>
      </c>
      <c r="F291" s="218" t="s">
        <v>804</v>
      </c>
      <c r="G291" s="112">
        <v>50461389720</v>
      </c>
      <c r="H291" s="97">
        <v>21147</v>
      </c>
      <c r="I291" s="91"/>
      <c r="J291" s="113"/>
      <c r="K291" s="88" t="s">
        <v>80</v>
      </c>
      <c r="L291" s="88" t="s">
        <v>87</v>
      </c>
      <c r="M291" s="88"/>
      <c r="N291" s="88" t="s">
        <v>223</v>
      </c>
      <c r="O291" s="90">
        <v>21995835901</v>
      </c>
      <c r="P291" s="94"/>
      <c r="Q291" s="142" t="s">
        <v>766</v>
      </c>
      <c r="R291" s="121"/>
      <c r="S291" s="96"/>
      <c r="T291" s="96"/>
      <c r="U291" s="96"/>
      <c r="V291" s="117"/>
      <c r="W291" s="117"/>
      <c r="X291" s="97"/>
      <c r="Y291" s="97"/>
      <c r="Z291" s="88"/>
      <c r="AA291" s="96"/>
      <c r="AB291" s="88"/>
      <c r="AC291" s="119"/>
      <c r="AD291" s="88"/>
      <c r="AE291" s="88"/>
      <c r="AF291" s="116"/>
      <c r="AG291" s="116"/>
      <c r="AH291" s="118"/>
      <c r="AI291" s="99"/>
      <c r="AJ291" s="99" t="s">
        <v>78</v>
      </c>
      <c r="AK291" s="99" t="s">
        <v>78</v>
      </c>
      <c r="AU291" s="44"/>
    </row>
    <row r="292" spans="1:47" ht="12" hidden="1" customHeight="1">
      <c r="A292" s="88" t="s">
        <v>78</v>
      </c>
      <c r="B292" s="92">
        <v>46188</v>
      </c>
      <c r="C292" s="88" t="s">
        <v>761</v>
      </c>
      <c r="D292" s="88" t="s">
        <v>762</v>
      </c>
      <c r="E292" s="91">
        <v>115519335</v>
      </c>
      <c r="F292" s="218" t="s">
        <v>805</v>
      </c>
      <c r="G292" s="112">
        <v>33539820787</v>
      </c>
      <c r="H292" s="97">
        <v>19087</v>
      </c>
      <c r="I292" s="91"/>
      <c r="J292" s="113"/>
      <c r="K292" s="88" t="s">
        <v>80</v>
      </c>
      <c r="L292" s="88" t="s">
        <v>87</v>
      </c>
      <c r="M292" s="88"/>
      <c r="N292" s="88" t="s">
        <v>223</v>
      </c>
      <c r="O292" s="90">
        <v>21972843233</v>
      </c>
      <c r="P292" s="94"/>
      <c r="Q292" s="142" t="s">
        <v>766</v>
      </c>
      <c r="R292" s="121"/>
      <c r="S292" s="96"/>
      <c r="T292" s="96"/>
      <c r="U292" s="96"/>
      <c r="V292" s="117"/>
      <c r="W292" s="117"/>
      <c r="X292" s="97"/>
      <c r="Y292" s="97"/>
      <c r="Z292" s="88"/>
      <c r="AA292" s="96"/>
      <c r="AB292" s="88"/>
      <c r="AC292" s="119"/>
      <c r="AD292" s="88"/>
      <c r="AE292" s="88"/>
      <c r="AF292" s="116"/>
      <c r="AG292" s="116"/>
      <c r="AH292" s="118"/>
      <c r="AI292" s="99"/>
      <c r="AJ292" s="99" t="s">
        <v>78</v>
      </c>
      <c r="AK292" s="99" t="s">
        <v>78</v>
      </c>
      <c r="AU292" s="44"/>
    </row>
    <row r="293" spans="1:47" ht="12" hidden="1" customHeight="1">
      <c r="A293" s="88" t="s">
        <v>78</v>
      </c>
      <c r="B293" s="92">
        <v>46188</v>
      </c>
      <c r="C293" s="88" t="s">
        <v>761</v>
      </c>
      <c r="D293" s="88" t="s">
        <v>762</v>
      </c>
      <c r="E293" s="91">
        <v>316016586</v>
      </c>
      <c r="F293" s="218" t="s">
        <v>806</v>
      </c>
      <c r="G293" s="112">
        <v>19923511715</v>
      </c>
      <c r="H293" s="97">
        <v>18184</v>
      </c>
      <c r="I293" s="91"/>
      <c r="J293" s="113"/>
      <c r="K293" s="88" t="s">
        <v>80</v>
      </c>
      <c r="L293" s="88" t="s">
        <v>87</v>
      </c>
      <c r="M293" s="88"/>
      <c r="N293" s="88" t="s">
        <v>223</v>
      </c>
      <c r="O293" s="90">
        <v>21999951560</v>
      </c>
      <c r="P293" s="94"/>
      <c r="Q293" s="142" t="s">
        <v>766</v>
      </c>
      <c r="R293" s="121"/>
      <c r="S293" s="94"/>
      <c r="T293" s="96"/>
      <c r="U293" s="96"/>
      <c r="V293" s="117"/>
      <c r="W293" s="97"/>
      <c r="X293" s="97"/>
      <c r="Y293" s="117"/>
      <c r="Z293" s="88"/>
      <c r="AA293" s="121"/>
      <c r="AB293" s="88"/>
      <c r="AC293" s="119"/>
      <c r="AD293" s="88"/>
      <c r="AE293" s="88"/>
      <c r="AF293" s="118"/>
      <c r="AG293" s="118"/>
      <c r="AH293" s="118"/>
      <c r="AI293" s="99"/>
      <c r="AJ293" s="99" t="s">
        <v>78</v>
      </c>
      <c r="AK293" s="99" t="s">
        <v>78</v>
      </c>
      <c r="AU293" s="44"/>
    </row>
    <row r="294" spans="1:47" ht="12" hidden="1" customHeight="1">
      <c r="A294" s="88" t="s">
        <v>78</v>
      </c>
      <c r="B294" s="92">
        <v>46188</v>
      </c>
      <c r="C294" s="88" t="s">
        <v>761</v>
      </c>
      <c r="D294" s="88" t="s">
        <v>762</v>
      </c>
      <c r="E294" s="91">
        <v>451587049</v>
      </c>
      <c r="F294" s="218" t="s">
        <v>807</v>
      </c>
      <c r="G294" s="112">
        <v>69839786849</v>
      </c>
      <c r="H294" s="97">
        <v>18487</v>
      </c>
      <c r="I294" s="91"/>
      <c r="J294" s="113"/>
      <c r="K294" s="88" t="s">
        <v>52</v>
      </c>
      <c r="L294" s="88" t="s">
        <v>53</v>
      </c>
      <c r="M294" s="88"/>
      <c r="N294" s="88" t="s">
        <v>223</v>
      </c>
      <c r="O294" s="90">
        <v>11910221919</v>
      </c>
      <c r="P294" s="94"/>
      <c r="Q294" s="142" t="s">
        <v>766</v>
      </c>
      <c r="R294" s="121"/>
      <c r="S294" s="94"/>
      <c r="T294" s="96"/>
      <c r="U294" s="96"/>
      <c r="V294" s="117"/>
      <c r="W294" s="97"/>
      <c r="X294" s="97"/>
      <c r="Y294" s="117"/>
      <c r="Z294" s="88"/>
      <c r="AA294" s="121"/>
      <c r="AB294" s="88"/>
      <c r="AC294" s="119"/>
      <c r="AD294" s="88"/>
      <c r="AE294" s="88"/>
      <c r="AF294" s="118"/>
      <c r="AG294" s="118"/>
      <c r="AH294" s="118"/>
      <c r="AI294" s="99"/>
      <c r="AJ294" s="99" t="s">
        <v>78</v>
      </c>
      <c r="AK294" s="99" t="s">
        <v>78</v>
      </c>
      <c r="AU294" s="44"/>
    </row>
    <row r="295" spans="1:47" ht="12" hidden="1" customHeight="1">
      <c r="A295" s="88" t="s">
        <v>78</v>
      </c>
      <c r="B295" s="92">
        <v>46188</v>
      </c>
      <c r="C295" s="88" t="s">
        <v>761</v>
      </c>
      <c r="D295" s="88" t="s">
        <v>762</v>
      </c>
      <c r="E295" s="91">
        <v>594133181</v>
      </c>
      <c r="F295" s="218" t="s">
        <v>808</v>
      </c>
      <c r="G295" s="112">
        <v>16040188871</v>
      </c>
      <c r="H295" s="97">
        <v>19218</v>
      </c>
      <c r="I295" s="91"/>
      <c r="J295" s="113"/>
      <c r="K295" s="88" t="s">
        <v>52</v>
      </c>
      <c r="L295" s="88" t="s">
        <v>133</v>
      </c>
      <c r="M295" s="88"/>
      <c r="N295" s="88" t="s">
        <v>110</v>
      </c>
      <c r="O295" s="90">
        <v>11962833057</v>
      </c>
      <c r="P295" s="94"/>
      <c r="Q295" s="142" t="s">
        <v>766</v>
      </c>
      <c r="R295" s="121"/>
      <c r="S295" s="94"/>
      <c r="T295" s="96"/>
      <c r="U295" s="96"/>
      <c r="V295" s="117"/>
      <c r="W295" s="97"/>
      <c r="X295" s="97"/>
      <c r="Y295" s="117"/>
      <c r="Z295" s="88"/>
      <c r="AA295" s="121"/>
      <c r="AB295" s="88"/>
      <c r="AC295" s="119"/>
      <c r="AD295" s="88"/>
      <c r="AE295" s="88"/>
      <c r="AF295" s="118"/>
      <c r="AG295" s="118"/>
      <c r="AH295" s="118"/>
      <c r="AI295" s="99"/>
      <c r="AJ295" s="99" t="s">
        <v>78</v>
      </c>
      <c r="AK295" s="99" t="s">
        <v>78</v>
      </c>
      <c r="AU295" s="44"/>
    </row>
    <row r="296" spans="1:47" ht="12" customHeight="1">
      <c r="A296" s="88" t="s">
        <v>78</v>
      </c>
      <c r="B296" s="92">
        <v>46188</v>
      </c>
      <c r="C296" s="88" t="s">
        <v>761</v>
      </c>
      <c r="D296" s="88" t="s">
        <v>762</v>
      </c>
      <c r="E296" s="91">
        <v>741343185</v>
      </c>
      <c r="F296" s="218" t="s">
        <v>809</v>
      </c>
      <c r="G296" s="112">
        <v>30458692700</v>
      </c>
      <c r="H296" s="97">
        <v>19867</v>
      </c>
      <c r="I296" s="91"/>
      <c r="J296" s="113"/>
      <c r="K296" s="88" t="s">
        <v>80</v>
      </c>
      <c r="L296" s="88" t="s">
        <v>810</v>
      </c>
      <c r="M296" s="88"/>
      <c r="N296" s="88" t="s">
        <v>138</v>
      </c>
      <c r="O296" s="90" t="s">
        <v>811</v>
      </c>
      <c r="P296" s="94" t="s">
        <v>56</v>
      </c>
      <c r="Q296" s="142" t="s">
        <v>68</v>
      </c>
      <c r="R296" s="95">
        <v>46189</v>
      </c>
      <c r="S296" s="94"/>
      <c r="T296" s="96" t="s">
        <v>69</v>
      </c>
      <c r="U296" s="96" t="s">
        <v>70</v>
      </c>
      <c r="V296" s="117">
        <v>46189</v>
      </c>
      <c r="W296" s="97"/>
      <c r="X296" s="97"/>
      <c r="Y296" s="117"/>
      <c r="Z296" s="88" t="s">
        <v>72</v>
      </c>
      <c r="AA296" s="121" t="s">
        <v>812</v>
      </c>
      <c r="AB296" s="88"/>
      <c r="AC296" s="119"/>
      <c r="AD296" s="88"/>
      <c r="AE296" s="88"/>
      <c r="AF296" s="118"/>
      <c r="AG296" s="118"/>
      <c r="AH296" s="118"/>
      <c r="AI296" s="99"/>
      <c r="AJ296" s="99" t="s">
        <v>78</v>
      </c>
      <c r="AK296" s="99" t="s">
        <v>78</v>
      </c>
      <c r="AU296" s="44"/>
    </row>
    <row r="297" spans="1:47" ht="12" customHeight="1">
      <c r="A297" s="88" t="s">
        <v>78</v>
      </c>
      <c r="B297" s="92">
        <v>46188</v>
      </c>
      <c r="C297" s="88" t="s">
        <v>761</v>
      </c>
      <c r="D297" s="88" t="s">
        <v>762</v>
      </c>
      <c r="E297" s="91">
        <v>745762930</v>
      </c>
      <c r="F297" s="218" t="s">
        <v>813</v>
      </c>
      <c r="G297" s="112">
        <v>58120629787</v>
      </c>
      <c r="H297" s="97">
        <v>20325</v>
      </c>
      <c r="I297" s="91"/>
      <c r="J297" s="113"/>
      <c r="K297" s="88" t="s">
        <v>80</v>
      </c>
      <c r="L297" s="88" t="s">
        <v>142</v>
      </c>
      <c r="M297" s="88"/>
      <c r="N297" s="88" t="s">
        <v>138</v>
      </c>
      <c r="O297" s="90">
        <v>21999433715</v>
      </c>
      <c r="P297" s="94" t="s">
        <v>56</v>
      </c>
      <c r="Q297" s="142" t="s">
        <v>68</v>
      </c>
      <c r="R297" s="95">
        <v>46189</v>
      </c>
      <c r="S297" s="94"/>
      <c r="T297" s="96" t="s">
        <v>69</v>
      </c>
      <c r="U297" s="96" t="s">
        <v>70</v>
      </c>
      <c r="V297" s="117">
        <v>46189</v>
      </c>
      <c r="W297" s="97"/>
      <c r="X297" s="97"/>
      <c r="Y297" s="117"/>
      <c r="Z297" s="88" t="s">
        <v>72</v>
      </c>
      <c r="AA297" s="121" t="s">
        <v>814</v>
      </c>
      <c r="AB297" s="88"/>
      <c r="AC297" s="119"/>
      <c r="AD297" s="88"/>
      <c r="AE297" s="88"/>
      <c r="AF297" s="118"/>
      <c r="AG297" s="118"/>
      <c r="AH297" s="118"/>
      <c r="AI297" s="99"/>
      <c r="AJ297" s="99" t="s">
        <v>78</v>
      </c>
      <c r="AK297" s="99" t="s">
        <v>78</v>
      </c>
      <c r="AU297" s="44"/>
    </row>
    <row r="298" spans="1:47" ht="12" hidden="1" customHeight="1">
      <c r="A298" s="88" t="s">
        <v>78</v>
      </c>
      <c r="B298" s="92">
        <v>46188</v>
      </c>
      <c r="C298" s="88" t="s">
        <v>761</v>
      </c>
      <c r="D298" s="88" t="s">
        <v>762</v>
      </c>
      <c r="E298" s="91">
        <v>751475815</v>
      </c>
      <c r="F298" s="218" t="s">
        <v>815</v>
      </c>
      <c r="G298" s="112">
        <v>40745740715</v>
      </c>
      <c r="H298" s="97">
        <v>20723</v>
      </c>
      <c r="I298" s="91"/>
      <c r="J298" s="113"/>
      <c r="K298" s="88" t="s">
        <v>80</v>
      </c>
      <c r="L298" s="88" t="s">
        <v>87</v>
      </c>
      <c r="M298" s="88"/>
      <c r="N298" s="88" t="s">
        <v>138</v>
      </c>
      <c r="O298" s="90">
        <v>21991729295</v>
      </c>
      <c r="P298" s="94"/>
      <c r="Q298" s="142" t="s">
        <v>766</v>
      </c>
      <c r="R298" s="121"/>
      <c r="S298" s="94"/>
      <c r="T298" s="96"/>
      <c r="U298" s="96"/>
      <c r="V298" s="117"/>
      <c r="W298" s="97"/>
      <c r="X298" s="97"/>
      <c r="Y298" s="117"/>
      <c r="Z298" s="88"/>
      <c r="AA298" s="121"/>
      <c r="AB298" s="88"/>
      <c r="AC298" s="119"/>
      <c r="AD298" s="88"/>
      <c r="AE298" s="88"/>
      <c r="AF298" s="118"/>
      <c r="AG298" s="118"/>
      <c r="AH298" s="118"/>
      <c r="AI298" s="99"/>
      <c r="AJ298" s="99" t="s">
        <v>78</v>
      </c>
      <c r="AK298" s="99" t="s">
        <v>78</v>
      </c>
      <c r="AU298" s="44"/>
    </row>
    <row r="299" spans="1:47" ht="12" customHeight="1">
      <c r="A299" s="88" t="s">
        <v>78</v>
      </c>
      <c r="B299" s="92">
        <v>46188</v>
      </c>
      <c r="C299" s="88" t="s">
        <v>761</v>
      </c>
      <c r="D299" s="88" t="s">
        <v>762</v>
      </c>
      <c r="E299" s="91">
        <v>752851160</v>
      </c>
      <c r="F299" s="218" t="s">
        <v>816</v>
      </c>
      <c r="G299" s="112">
        <v>26652803704</v>
      </c>
      <c r="H299" s="97">
        <v>19105</v>
      </c>
      <c r="I299" s="91"/>
      <c r="J299" s="113"/>
      <c r="K299" s="88" t="s">
        <v>80</v>
      </c>
      <c r="L299" s="88" t="s">
        <v>87</v>
      </c>
      <c r="M299" s="88"/>
      <c r="N299" s="88" t="s">
        <v>54</v>
      </c>
      <c r="O299" s="90">
        <v>21996347216</v>
      </c>
      <c r="P299" s="94" t="s">
        <v>56</v>
      </c>
      <c r="Q299" s="142" t="s">
        <v>68</v>
      </c>
      <c r="R299" s="95">
        <v>46189</v>
      </c>
      <c r="S299" s="94"/>
      <c r="T299" s="96" t="s">
        <v>69</v>
      </c>
      <c r="U299" s="96" t="s">
        <v>70</v>
      </c>
      <c r="V299" s="117">
        <v>46189</v>
      </c>
      <c r="W299" s="97"/>
      <c r="X299" s="97"/>
      <c r="Y299" s="117"/>
      <c r="Z299" s="88" t="s">
        <v>72</v>
      </c>
      <c r="AA299" s="121" t="s">
        <v>817</v>
      </c>
      <c r="AB299" s="88"/>
      <c r="AC299" s="119"/>
      <c r="AD299" s="88"/>
      <c r="AE299" s="88"/>
      <c r="AF299" s="118"/>
      <c r="AG299" s="118"/>
      <c r="AH299" s="118"/>
      <c r="AI299" s="99"/>
      <c r="AJ299" s="99" t="s">
        <v>78</v>
      </c>
      <c r="AK299" s="99" t="s">
        <v>78</v>
      </c>
      <c r="AU299" s="44"/>
    </row>
    <row r="300" spans="1:47" ht="12" hidden="1" customHeight="1">
      <c r="A300" s="88" t="s">
        <v>78</v>
      </c>
      <c r="B300" s="92">
        <v>46188</v>
      </c>
      <c r="C300" s="88" t="s">
        <v>761</v>
      </c>
      <c r="D300" s="88" t="s">
        <v>762</v>
      </c>
      <c r="E300" s="91">
        <v>756832829</v>
      </c>
      <c r="F300" s="218" t="s">
        <v>818</v>
      </c>
      <c r="G300" s="112">
        <v>2165055776</v>
      </c>
      <c r="H300" s="97">
        <v>19379</v>
      </c>
      <c r="I300" s="91"/>
      <c r="J300" s="113"/>
      <c r="K300" s="88" t="s">
        <v>80</v>
      </c>
      <c r="L300" s="88" t="s">
        <v>87</v>
      </c>
      <c r="M300" s="88"/>
      <c r="N300" s="88" t="s">
        <v>54</v>
      </c>
      <c r="O300" s="90">
        <v>21995777109</v>
      </c>
      <c r="P300" s="94"/>
      <c r="Q300" s="142" t="s">
        <v>766</v>
      </c>
      <c r="R300" s="121"/>
      <c r="S300" s="94"/>
      <c r="T300" s="96"/>
      <c r="U300" s="96"/>
      <c r="V300" s="117"/>
      <c r="W300" s="97"/>
      <c r="X300" s="97"/>
      <c r="Y300" s="117"/>
      <c r="Z300" s="88"/>
      <c r="AA300" s="121"/>
      <c r="AB300" s="88"/>
      <c r="AC300" s="119"/>
      <c r="AD300" s="88"/>
      <c r="AE300" s="88"/>
      <c r="AF300" s="118"/>
      <c r="AG300" s="118"/>
      <c r="AH300" s="118"/>
      <c r="AI300" s="99"/>
      <c r="AJ300" s="99" t="s">
        <v>78</v>
      </c>
      <c r="AK300" s="99" t="s">
        <v>78</v>
      </c>
      <c r="AU300" s="44"/>
    </row>
    <row r="301" spans="1:47" ht="12" hidden="1" customHeight="1">
      <c r="A301" s="88" t="s">
        <v>78</v>
      </c>
      <c r="B301" s="92">
        <v>46188</v>
      </c>
      <c r="C301" s="88" t="s">
        <v>761</v>
      </c>
      <c r="D301" s="88" t="s">
        <v>762</v>
      </c>
      <c r="E301" s="91">
        <v>757945856</v>
      </c>
      <c r="F301" s="218" t="s">
        <v>819</v>
      </c>
      <c r="G301" s="112">
        <v>73521574768</v>
      </c>
      <c r="H301" s="97">
        <v>18979</v>
      </c>
      <c r="I301" s="91"/>
      <c r="J301" s="113"/>
      <c r="K301" s="88" t="s">
        <v>80</v>
      </c>
      <c r="L301" s="88" t="s">
        <v>257</v>
      </c>
      <c r="M301" s="88"/>
      <c r="N301" s="88" t="s">
        <v>54</v>
      </c>
      <c r="O301" s="90">
        <v>21982412447</v>
      </c>
      <c r="P301" s="94"/>
      <c r="Q301" s="142" t="s">
        <v>766</v>
      </c>
      <c r="R301" s="121"/>
      <c r="S301" s="94"/>
      <c r="T301" s="96"/>
      <c r="U301" s="96"/>
      <c r="V301" s="117"/>
      <c r="W301" s="97"/>
      <c r="X301" s="97"/>
      <c r="Y301" s="117"/>
      <c r="Z301" s="88"/>
      <c r="AA301" s="121"/>
      <c r="AB301" s="88"/>
      <c r="AC301" s="119"/>
      <c r="AD301" s="88"/>
      <c r="AE301" s="88"/>
      <c r="AF301" s="118"/>
      <c r="AG301" s="118"/>
      <c r="AH301" s="118"/>
      <c r="AI301" s="99"/>
      <c r="AJ301" s="99" t="s">
        <v>78</v>
      </c>
      <c r="AK301" s="99" t="s">
        <v>78</v>
      </c>
      <c r="AU301" s="44"/>
    </row>
    <row r="302" spans="1:47" ht="12" hidden="1" customHeight="1">
      <c r="A302" s="88" t="s">
        <v>78</v>
      </c>
      <c r="B302" s="92">
        <v>46188</v>
      </c>
      <c r="C302" s="88" t="s">
        <v>761</v>
      </c>
      <c r="D302" s="88" t="s">
        <v>762</v>
      </c>
      <c r="E302" s="91">
        <v>759504393</v>
      </c>
      <c r="F302" s="218" t="s">
        <v>820</v>
      </c>
      <c r="G302" s="112">
        <v>37117254734</v>
      </c>
      <c r="H302" s="97">
        <v>19551</v>
      </c>
      <c r="I302" s="91"/>
      <c r="J302" s="113"/>
      <c r="K302" s="88" t="s">
        <v>80</v>
      </c>
      <c r="L302" s="88" t="s">
        <v>87</v>
      </c>
      <c r="M302" s="88"/>
      <c r="N302" s="88" t="s">
        <v>54</v>
      </c>
      <c r="O302" s="90">
        <v>21979841607</v>
      </c>
      <c r="P302" s="94"/>
      <c r="Q302" s="142" t="s">
        <v>766</v>
      </c>
      <c r="R302" s="121"/>
      <c r="S302" s="94"/>
      <c r="T302" s="96"/>
      <c r="U302" s="96"/>
      <c r="V302" s="117"/>
      <c r="W302" s="97"/>
      <c r="X302" s="97"/>
      <c r="Y302" s="117"/>
      <c r="Z302" s="88"/>
      <c r="AA302" s="121"/>
      <c r="AB302" s="88"/>
      <c r="AC302" s="119"/>
      <c r="AD302" s="88"/>
      <c r="AE302" s="88"/>
      <c r="AF302" s="118"/>
      <c r="AG302" s="118"/>
      <c r="AH302" s="118"/>
      <c r="AI302" s="99"/>
      <c r="AJ302" s="99" t="s">
        <v>78</v>
      </c>
      <c r="AK302" s="99" t="s">
        <v>78</v>
      </c>
      <c r="AU302" s="44"/>
    </row>
    <row r="303" spans="1:47" ht="12" hidden="1" customHeight="1">
      <c r="A303" s="88" t="s">
        <v>78</v>
      </c>
      <c r="B303" s="92">
        <v>46188</v>
      </c>
      <c r="C303" s="88" t="s">
        <v>761</v>
      </c>
      <c r="D303" s="88" t="s">
        <v>762</v>
      </c>
      <c r="E303" s="91">
        <v>760677875</v>
      </c>
      <c r="F303" s="218" t="s">
        <v>821</v>
      </c>
      <c r="G303" s="112">
        <v>76353796749</v>
      </c>
      <c r="H303" s="97">
        <v>17816</v>
      </c>
      <c r="I303" s="91"/>
      <c r="J303" s="113"/>
      <c r="K303" s="88" t="s">
        <v>80</v>
      </c>
      <c r="L303" s="88" t="s">
        <v>87</v>
      </c>
      <c r="M303" s="88"/>
      <c r="N303" s="88" t="s">
        <v>54</v>
      </c>
      <c r="O303" s="90">
        <v>21973617162</v>
      </c>
      <c r="P303" s="94"/>
      <c r="Q303" s="142" t="s">
        <v>766</v>
      </c>
      <c r="R303" s="121"/>
      <c r="S303" s="94"/>
      <c r="T303" s="96"/>
      <c r="U303" s="96"/>
      <c r="V303" s="117"/>
      <c r="W303" s="97"/>
      <c r="X303" s="97"/>
      <c r="Y303" s="117"/>
      <c r="Z303" s="88"/>
      <c r="AA303" s="121"/>
      <c r="AB303" s="88"/>
      <c r="AC303" s="119"/>
      <c r="AD303" s="88"/>
      <c r="AE303" s="88"/>
      <c r="AF303" s="118"/>
      <c r="AG303" s="118"/>
      <c r="AH303" s="118"/>
      <c r="AI303" s="99"/>
      <c r="AJ303" s="99" t="s">
        <v>78</v>
      </c>
      <c r="AK303" s="99" t="s">
        <v>78</v>
      </c>
      <c r="AU303" s="44"/>
    </row>
    <row r="304" spans="1:47" ht="12" customHeight="1">
      <c r="A304" s="88" t="s">
        <v>78</v>
      </c>
      <c r="B304" s="92">
        <v>46188</v>
      </c>
      <c r="C304" s="88" t="s">
        <v>761</v>
      </c>
      <c r="D304" s="88" t="s">
        <v>762</v>
      </c>
      <c r="E304" s="91">
        <v>881396761</v>
      </c>
      <c r="F304" s="218" t="s">
        <v>822</v>
      </c>
      <c r="G304" s="112">
        <v>5472466334</v>
      </c>
      <c r="H304" s="97">
        <v>16668</v>
      </c>
      <c r="I304" s="91"/>
      <c r="J304" s="113"/>
      <c r="K304" s="88" t="s">
        <v>80</v>
      </c>
      <c r="L304" s="88" t="s">
        <v>87</v>
      </c>
      <c r="M304" s="88"/>
      <c r="N304" s="88" t="s">
        <v>207</v>
      </c>
      <c r="O304" s="90">
        <v>21980409923</v>
      </c>
      <c r="P304" s="94" t="s">
        <v>56</v>
      </c>
      <c r="Q304" s="142" t="s">
        <v>68</v>
      </c>
      <c r="R304" s="95">
        <v>46189</v>
      </c>
      <c r="S304" s="94"/>
      <c r="T304" s="96" t="s">
        <v>69</v>
      </c>
      <c r="U304" s="96" t="s">
        <v>70</v>
      </c>
      <c r="V304" s="117">
        <v>46189</v>
      </c>
      <c r="W304" s="97"/>
      <c r="X304" s="97"/>
      <c r="Y304" s="117"/>
      <c r="Z304" s="88" t="s">
        <v>72</v>
      </c>
      <c r="AA304" s="96" t="s">
        <v>823</v>
      </c>
      <c r="AB304" s="88"/>
      <c r="AC304" s="119"/>
      <c r="AD304" s="88"/>
      <c r="AE304" s="88"/>
      <c r="AF304" s="118"/>
      <c r="AG304" s="118"/>
      <c r="AH304" s="118"/>
      <c r="AI304" s="99"/>
      <c r="AJ304" s="99" t="s">
        <v>78</v>
      </c>
      <c r="AK304" s="99" t="s">
        <v>78</v>
      </c>
      <c r="AU304" s="44"/>
    </row>
    <row r="305" spans="1:47" ht="12" customHeight="1">
      <c r="A305" s="88" t="s">
        <v>78</v>
      </c>
      <c r="B305" s="92">
        <v>46188</v>
      </c>
      <c r="C305" s="88" t="s">
        <v>761</v>
      </c>
      <c r="D305" s="88" t="s">
        <v>762</v>
      </c>
      <c r="E305" s="91">
        <v>882075489</v>
      </c>
      <c r="F305" s="218" t="s">
        <v>824</v>
      </c>
      <c r="G305" s="112">
        <v>59304227704</v>
      </c>
      <c r="H305" s="97">
        <v>21949</v>
      </c>
      <c r="I305" s="91"/>
      <c r="J305" s="113"/>
      <c r="K305" s="88" t="s">
        <v>80</v>
      </c>
      <c r="L305" s="88" t="s">
        <v>87</v>
      </c>
      <c r="M305" s="88"/>
      <c r="N305" s="88" t="s">
        <v>207</v>
      </c>
      <c r="O305" s="90">
        <v>21994087910</v>
      </c>
      <c r="P305" s="94" t="s">
        <v>56</v>
      </c>
      <c r="Q305" s="142" t="s">
        <v>68</v>
      </c>
      <c r="R305" s="95">
        <v>46189</v>
      </c>
      <c r="S305" s="94"/>
      <c r="T305" s="96" t="s">
        <v>69</v>
      </c>
      <c r="U305" s="96" t="s">
        <v>70</v>
      </c>
      <c r="V305" s="117">
        <v>46189</v>
      </c>
      <c r="W305" s="97"/>
      <c r="X305" s="97"/>
      <c r="Y305" s="117"/>
      <c r="Z305" s="88" t="s">
        <v>72</v>
      </c>
      <c r="AA305" s="96" t="s">
        <v>825</v>
      </c>
      <c r="AB305" s="88"/>
      <c r="AC305" s="119"/>
      <c r="AD305" s="88"/>
      <c r="AE305" s="88"/>
      <c r="AF305" s="118"/>
      <c r="AG305" s="118"/>
      <c r="AH305" s="118"/>
      <c r="AI305" s="99"/>
      <c r="AJ305" s="99" t="s">
        <v>78</v>
      </c>
      <c r="AK305" s="99" t="s">
        <v>78</v>
      </c>
      <c r="AU305" s="44"/>
    </row>
    <row r="306" spans="1:47" ht="12" hidden="1" customHeight="1">
      <c r="A306" s="88" t="s">
        <v>78</v>
      </c>
      <c r="B306" s="92">
        <v>46188</v>
      </c>
      <c r="C306" s="88" t="s">
        <v>761</v>
      </c>
      <c r="D306" s="88" t="s">
        <v>762</v>
      </c>
      <c r="E306" s="91">
        <v>885142420</v>
      </c>
      <c r="F306" s="218" t="s">
        <v>826</v>
      </c>
      <c r="G306" s="112">
        <v>2360404725</v>
      </c>
      <c r="H306" s="97">
        <v>26908</v>
      </c>
      <c r="I306" s="91"/>
      <c r="J306" s="113"/>
      <c r="K306" s="88" t="s">
        <v>80</v>
      </c>
      <c r="L306" s="88" t="s">
        <v>87</v>
      </c>
      <c r="M306" s="88"/>
      <c r="N306" s="88" t="s">
        <v>138</v>
      </c>
      <c r="O306" s="90">
        <v>21982474106</v>
      </c>
      <c r="P306" s="94"/>
      <c r="Q306" s="142" t="s">
        <v>766</v>
      </c>
      <c r="R306" s="121"/>
      <c r="S306" s="94"/>
      <c r="T306" s="96"/>
      <c r="U306" s="96"/>
      <c r="V306" s="117"/>
      <c r="W306" s="97"/>
      <c r="X306" s="97"/>
      <c r="Y306" s="117"/>
      <c r="Z306" s="88"/>
      <c r="AA306" s="96"/>
      <c r="AB306" s="88"/>
      <c r="AC306" s="119"/>
      <c r="AD306" s="88"/>
      <c r="AE306" s="88"/>
      <c r="AF306" s="118"/>
      <c r="AG306" s="118"/>
      <c r="AH306" s="118"/>
      <c r="AI306" s="99"/>
      <c r="AJ306" s="99" t="s">
        <v>78</v>
      </c>
      <c r="AK306" s="99" t="s">
        <v>78</v>
      </c>
      <c r="AU306" s="44"/>
    </row>
    <row r="307" spans="1:47" ht="12" hidden="1" customHeight="1">
      <c r="A307" s="88" t="s">
        <v>78</v>
      </c>
      <c r="B307" s="92">
        <v>46188</v>
      </c>
      <c r="C307" s="88" t="s">
        <v>761</v>
      </c>
      <c r="D307" s="88" t="s">
        <v>762</v>
      </c>
      <c r="E307" s="91">
        <v>76870024</v>
      </c>
      <c r="F307" s="218" t="s">
        <v>827</v>
      </c>
      <c r="G307" s="112">
        <v>33766444700</v>
      </c>
      <c r="H307" s="97">
        <v>18723</v>
      </c>
      <c r="I307" s="91"/>
      <c r="J307" s="113"/>
      <c r="K307" s="88" t="s">
        <v>80</v>
      </c>
      <c r="L307" s="88" t="s">
        <v>87</v>
      </c>
      <c r="M307" s="88"/>
      <c r="N307" s="88" t="s">
        <v>110</v>
      </c>
      <c r="O307" s="90">
        <v>21992337888</v>
      </c>
      <c r="P307" s="94"/>
      <c r="Q307" s="142" t="s">
        <v>766</v>
      </c>
      <c r="R307" s="121"/>
      <c r="S307" s="94"/>
      <c r="T307" s="96"/>
      <c r="U307" s="96"/>
      <c r="V307" s="117"/>
      <c r="W307" s="97"/>
      <c r="X307" s="97"/>
      <c r="Y307" s="117"/>
      <c r="Z307" s="88"/>
      <c r="AA307" s="96"/>
      <c r="AB307" s="88"/>
      <c r="AC307" s="119"/>
      <c r="AD307" s="88"/>
      <c r="AE307" s="88"/>
      <c r="AF307" s="118"/>
      <c r="AG307" s="118"/>
      <c r="AH307" s="118"/>
      <c r="AI307" s="99"/>
      <c r="AJ307" s="99" t="s">
        <v>78</v>
      </c>
      <c r="AK307" s="99" t="s">
        <v>78</v>
      </c>
      <c r="AU307" s="44"/>
    </row>
    <row r="308" spans="1:47" ht="12" hidden="1" customHeight="1">
      <c r="A308" s="88" t="s">
        <v>78</v>
      </c>
      <c r="B308" s="92">
        <v>46189</v>
      </c>
      <c r="C308" s="88" t="s">
        <v>755</v>
      </c>
      <c r="D308" s="88" t="s">
        <v>49</v>
      </c>
      <c r="E308" s="91">
        <v>95058897</v>
      </c>
      <c r="F308" s="218" t="s">
        <v>828</v>
      </c>
      <c r="G308" s="112">
        <v>66915279768</v>
      </c>
      <c r="H308" s="97">
        <v>21328</v>
      </c>
      <c r="I308" s="91"/>
      <c r="J308" s="113" t="s">
        <v>64</v>
      </c>
      <c r="K308" s="88" t="s">
        <v>80</v>
      </c>
      <c r="L308" s="88" t="s">
        <v>87</v>
      </c>
      <c r="M308" s="88" t="s">
        <v>829</v>
      </c>
      <c r="N308" s="88">
        <v>120</v>
      </c>
      <c r="O308" s="90">
        <v>21973720606</v>
      </c>
      <c r="P308" s="94"/>
      <c r="Q308" s="142"/>
      <c r="R308" s="121"/>
      <c r="S308" s="94"/>
      <c r="T308" s="96"/>
      <c r="U308" s="96"/>
      <c r="V308" s="117"/>
      <c r="W308" s="97"/>
      <c r="X308" s="97"/>
      <c r="Y308" s="117"/>
      <c r="Z308" s="88"/>
      <c r="AA308" s="96"/>
      <c r="AB308" s="88"/>
      <c r="AC308" s="119"/>
      <c r="AD308" s="88"/>
      <c r="AE308" s="88"/>
      <c r="AF308" s="118"/>
      <c r="AG308" s="118"/>
      <c r="AH308" s="118"/>
      <c r="AI308" s="99"/>
      <c r="AJ308" s="99" t="s">
        <v>78</v>
      </c>
      <c r="AK308" s="99" t="s">
        <v>78</v>
      </c>
      <c r="AU308" s="44"/>
    </row>
    <row r="309" spans="1:47" ht="12" customHeight="1">
      <c r="A309" s="88"/>
      <c r="B309" s="92"/>
      <c r="C309" s="88"/>
      <c r="D309" s="88"/>
      <c r="E309" s="91"/>
      <c r="F309" s="218"/>
      <c r="G309" s="112"/>
      <c r="H309" s="97"/>
      <c r="I309" s="91"/>
      <c r="J309" s="113"/>
      <c r="K309" s="88"/>
      <c r="L309" s="88"/>
      <c r="M309" s="88"/>
      <c r="N309" s="88"/>
      <c r="O309" s="90"/>
      <c r="P309" s="94"/>
      <c r="Q309" s="142"/>
      <c r="R309" s="121"/>
      <c r="S309" s="94"/>
      <c r="T309" s="96"/>
      <c r="U309" s="96"/>
      <c r="V309" s="117"/>
      <c r="W309" s="97"/>
      <c r="X309" s="97"/>
      <c r="Y309" s="117"/>
      <c r="Z309" s="88"/>
      <c r="AA309" s="96"/>
      <c r="AB309" s="88"/>
      <c r="AC309" s="119"/>
      <c r="AD309" s="88"/>
      <c r="AE309" s="88"/>
      <c r="AF309" s="118"/>
      <c r="AG309" s="118"/>
      <c r="AH309" s="118"/>
      <c r="AI309" s="99"/>
      <c r="AJ309" s="99"/>
      <c r="AK309" s="99"/>
      <c r="AU309" s="44"/>
    </row>
    <row r="310" spans="1:47" ht="12" customHeight="1">
      <c r="A310" s="88"/>
      <c r="B310" s="92"/>
      <c r="C310" s="88"/>
      <c r="D310" s="88"/>
      <c r="E310" s="91"/>
      <c r="F310" s="218"/>
      <c r="G310" s="112"/>
      <c r="H310" s="97"/>
      <c r="I310" s="91"/>
      <c r="J310" s="113"/>
      <c r="K310" s="88"/>
      <c r="L310" s="88"/>
      <c r="M310" s="88"/>
      <c r="N310" s="88"/>
      <c r="O310" s="90"/>
      <c r="P310" s="94"/>
      <c r="Q310" s="142"/>
      <c r="R310" s="121"/>
      <c r="S310" s="94"/>
      <c r="T310" s="96"/>
      <c r="U310" s="96"/>
      <c r="V310" s="117"/>
      <c r="W310" s="97"/>
      <c r="X310" s="97"/>
      <c r="Y310" s="117"/>
      <c r="Z310" s="88"/>
      <c r="AA310" s="96"/>
      <c r="AB310" s="88"/>
      <c r="AC310" s="119"/>
      <c r="AD310" s="88"/>
      <c r="AE310" s="88"/>
      <c r="AF310" s="118"/>
      <c r="AG310" s="118"/>
      <c r="AH310" s="118"/>
      <c r="AI310" s="99"/>
      <c r="AJ310" s="99"/>
      <c r="AK310" s="99"/>
      <c r="AU310" s="44"/>
    </row>
    <row r="311" spans="1:47" ht="12" customHeight="1">
      <c r="A311" s="88"/>
      <c r="B311" s="92"/>
      <c r="C311" s="88"/>
      <c r="D311" s="88"/>
      <c r="E311" s="91"/>
      <c r="F311" s="218"/>
      <c r="G311" s="112"/>
      <c r="H311" s="97"/>
      <c r="I311" s="91"/>
      <c r="J311" s="113"/>
      <c r="K311" s="88"/>
      <c r="L311" s="88"/>
      <c r="M311" s="88"/>
      <c r="N311" s="88"/>
      <c r="O311" s="90"/>
      <c r="P311" s="94"/>
      <c r="Q311" s="142"/>
      <c r="R311" s="121"/>
      <c r="S311" s="94"/>
      <c r="T311" s="96"/>
      <c r="U311" s="96"/>
      <c r="V311" s="117"/>
      <c r="W311" s="97"/>
      <c r="X311" s="97"/>
      <c r="Y311" s="117"/>
      <c r="Z311" s="88"/>
      <c r="AA311" s="96"/>
      <c r="AB311" s="88"/>
      <c r="AC311" s="119"/>
      <c r="AD311" s="88"/>
      <c r="AE311" s="88"/>
      <c r="AF311" s="118"/>
      <c r="AG311" s="118"/>
      <c r="AH311" s="118"/>
      <c r="AI311" s="99"/>
      <c r="AJ311" s="99"/>
      <c r="AK311" s="99"/>
      <c r="AU311" s="44"/>
    </row>
    <row r="312" spans="1:47" ht="12" customHeight="1">
      <c r="A312" s="88"/>
      <c r="B312" s="92"/>
      <c r="C312" s="88"/>
      <c r="D312" s="88"/>
      <c r="E312" s="91"/>
      <c r="F312" s="218"/>
      <c r="G312" s="112"/>
      <c r="H312" s="97"/>
      <c r="I312" s="91"/>
      <c r="J312" s="113"/>
      <c r="K312" s="88"/>
      <c r="L312" s="88"/>
      <c r="M312" s="88"/>
      <c r="N312" s="88"/>
      <c r="O312" s="90"/>
      <c r="P312" s="94"/>
      <c r="Q312" s="142"/>
      <c r="R312" s="120"/>
      <c r="S312" s="94"/>
      <c r="T312" s="96"/>
      <c r="U312" s="96"/>
      <c r="V312" s="117"/>
      <c r="W312" s="97"/>
      <c r="X312" s="97"/>
      <c r="Y312" s="117"/>
      <c r="Z312" s="88"/>
      <c r="AA312" s="96"/>
      <c r="AB312" s="88"/>
      <c r="AC312" s="119"/>
      <c r="AD312" s="88"/>
      <c r="AE312" s="88"/>
      <c r="AF312" s="118"/>
      <c r="AG312" s="118"/>
      <c r="AH312" s="118"/>
      <c r="AI312" s="99"/>
      <c r="AJ312" s="99"/>
      <c r="AK312" s="99"/>
      <c r="AU312" s="44"/>
    </row>
    <row r="313" spans="1:47" ht="12" customHeight="1">
      <c r="A313" s="88"/>
      <c r="B313" s="92"/>
      <c r="C313" s="88"/>
      <c r="D313" s="88"/>
      <c r="E313" s="91"/>
      <c r="F313" s="218"/>
      <c r="G313" s="112"/>
      <c r="H313" s="97"/>
      <c r="I313" s="91"/>
      <c r="J313" s="113"/>
      <c r="K313" s="88"/>
      <c r="L313" s="88"/>
      <c r="M313" s="88"/>
      <c r="N313" s="88"/>
      <c r="O313" s="90"/>
      <c r="P313" s="94"/>
      <c r="Q313" s="142"/>
      <c r="R313" s="121"/>
      <c r="S313" s="94"/>
      <c r="T313" s="96"/>
      <c r="U313" s="96"/>
      <c r="V313" s="117"/>
      <c r="W313" s="97"/>
      <c r="X313" s="97"/>
      <c r="Y313" s="117"/>
      <c r="Z313" s="88"/>
      <c r="AA313" s="96"/>
      <c r="AB313" s="88"/>
      <c r="AC313" s="119"/>
      <c r="AD313" s="88"/>
      <c r="AE313" s="88"/>
      <c r="AF313" s="118"/>
      <c r="AG313" s="118"/>
      <c r="AH313" s="118"/>
      <c r="AI313" s="99"/>
      <c r="AJ313" s="99"/>
      <c r="AK313" s="99"/>
      <c r="AU313" s="44"/>
    </row>
    <row r="314" spans="1:47" ht="12" customHeight="1">
      <c r="A314" s="88"/>
      <c r="B314" s="92"/>
      <c r="C314" s="88"/>
      <c r="D314" s="88"/>
      <c r="E314" s="91"/>
      <c r="F314" s="218"/>
      <c r="G314" s="112"/>
      <c r="H314" s="97"/>
      <c r="I314" s="91"/>
      <c r="J314" s="113"/>
      <c r="K314" s="88"/>
      <c r="L314" s="88"/>
      <c r="M314" s="88"/>
      <c r="N314" s="88"/>
      <c r="O314" s="90"/>
      <c r="P314" s="94"/>
      <c r="Q314" s="142"/>
      <c r="R314" s="121"/>
      <c r="S314" s="94"/>
      <c r="T314" s="96"/>
      <c r="U314" s="96"/>
      <c r="V314" s="117"/>
      <c r="W314" s="97"/>
      <c r="X314" s="97"/>
      <c r="Y314" s="117"/>
      <c r="Z314" s="88"/>
      <c r="AA314" s="96"/>
      <c r="AB314" s="88"/>
      <c r="AC314" s="119"/>
      <c r="AD314" s="88"/>
      <c r="AE314" s="88"/>
      <c r="AF314" s="118"/>
      <c r="AG314" s="118"/>
      <c r="AH314" s="118"/>
      <c r="AI314" s="99"/>
      <c r="AJ314" s="99"/>
      <c r="AK314" s="99"/>
      <c r="AU314" s="44"/>
    </row>
    <row r="315" spans="1:47" ht="12" customHeight="1">
      <c r="A315" s="88"/>
      <c r="B315" s="92"/>
      <c r="C315" s="88"/>
      <c r="D315" s="88"/>
      <c r="E315" s="91"/>
      <c r="F315" s="218"/>
      <c r="G315" s="112"/>
      <c r="H315" s="97"/>
      <c r="I315" s="91"/>
      <c r="J315" s="113"/>
      <c r="K315" s="88"/>
      <c r="L315" s="88"/>
      <c r="M315" s="88"/>
      <c r="N315" s="88"/>
      <c r="O315" s="90"/>
      <c r="P315" s="94"/>
      <c r="Q315" s="142"/>
      <c r="R315" s="121"/>
      <c r="S315" s="94"/>
      <c r="T315" s="96"/>
      <c r="U315" s="96"/>
      <c r="V315" s="117"/>
      <c r="W315" s="97"/>
      <c r="X315" s="97"/>
      <c r="Y315" s="117"/>
      <c r="Z315" s="88"/>
      <c r="AA315" s="96"/>
      <c r="AB315" s="88"/>
      <c r="AC315" s="119"/>
      <c r="AD315" s="88"/>
      <c r="AE315" s="88"/>
      <c r="AF315" s="118"/>
      <c r="AG315" s="118"/>
      <c r="AH315" s="118"/>
      <c r="AI315" s="99"/>
      <c r="AJ315" s="99"/>
      <c r="AK315" s="99"/>
      <c r="AU315" s="44"/>
    </row>
    <row r="316" spans="1:47" ht="12" customHeight="1">
      <c r="A316" s="88"/>
      <c r="B316" s="92"/>
      <c r="C316" s="88"/>
      <c r="D316" s="88"/>
      <c r="E316" s="91"/>
      <c r="F316" s="218"/>
      <c r="G316" s="112"/>
      <c r="H316" s="97"/>
      <c r="I316" s="91"/>
      <c r="J316" s="113"/>
      <c r="K316" s="88"/>
      <c r="L316" s="88"/>
      <c r="M316" s="88"/>
      <c r="N316" s="88"/>
      <c r="O316" s="90"/>
      <c r="P316" s="94"/>
      <c r="Q316" s="142"/>
      <c r="R316" s="121"/>
      <c r="S316" s="94"/>
      <c r="T316" s="96"/>
      <c r="U316" s="96"/>
      <c r="V316" s="117"/>
      <c r="W316" s="97"/>
      <c r="X316" s="97"/>
      <c r="Y316" s="117"/>
      <c r="Z316" s="88"/>
      <c r="AA316" s="96"/>
      <c r="AB316" s="88"/>
      <c r="AC316" s="119"/>
      <c r="AD316" s="88"/>
      <c r="AE316" s="88"/>
      <c r="AF316" s="118"/>
      <c r="AG316" s="118"/>
      <c r="AH316" s="118"/>
      <c r="AI316" s="99"/>
      <c r="AJ316" s="99"/>
      <c r="AK316" s="99"/>
      <c r="AU316" s="44"/>
    </row>
    <row r="317" spans="1:47" ht="12" customHeight="1">
      <c r="A317" s="88"/>
      <c r="B317" s="92"/>
      <c r="C317" s="88"/>
      <c r="D317" s="88"/>
      <c r="E317" s="91"/>
      <c r="F317" s="218"/>
      <c r="G317" s="112"/>
      <c r="H317" s="97"/>
      <c r="I317" s="91"/>
      <c r="J317" s="113"/>
      <c r="K317" s="88"/>
      <c r="L317" s="88"/>
      <c r="M317" s="88"/>
      <c r="N317" s="88"/>
      <c r="O317" s="90"/>
      <c r="P317" s="94"/>
      <c r="Q317" s="142"/>
      <c r="R317" s="120"/>
      <c r="S317" s="94"/>
      <c r="T317" s="96"/>
      <c r="U317" s="96"/>
      <c r="V317" s="117"/>
      <c r="W317" s="97"/>
      <c r="X317" s="97"/>
      <c r="Y317" s="117"/>
      <c r="Z317" s="88"/>
      <c r="AA317" s="96"/>
      <c r="AB317" s="88"/>
      <c r="AC317" s="119"/>
      <c r="AD317" s="88"/>
      <c r="AE317" s="88"/>
      <c r="AF317" s="118"/>
      <c r="AG317" s="118"/>
      <c r="AH317" s="118"/>
      <c r="AI317" s="99"/>
      <c r="AJ317" s="99"/>
      <c r="AK317" s="99"/>
      <c r="AU317" s="44"/>
    </row>
    <row r="318" spans="1:47" ht="12" customHeight="1">
      <c r="A318" s="88"/>
      <c r="B318" s="92"/>
      <c r="C318" s="88"/>
      <c r="D318" s="88"/>
      <c r="E318" s="91"/>
      <c r="F318" s="218"/>
      <c r="G318" s="112"/>
      <c r="H318" s="97"/>
      <c r="I318" s="91"/>
      <c r="J318" s="113"/>
      <c r="K318" s="88"/>
      <c r="L318" s="88"/>
      <c r="M318" s="88"/>
      <c r="N318" s="88"/>
      <c r="O318" s="90"/>
      <c r="P318" s="94"/>
      <c r="Q318" s="142"/>
      <c r="R318" s="121"/>
      <c r="S318" s="94"/>
      <c r="T318" s="96"/>
      <c r="U318" s="96"/>
      <c r="V318" s="117"/>
      <c r="W318" s="97"/>
      <c r="X318" s="97"/>
      <c r="Y318" s="117"/>
      <c r="Z318" s="88"/>
      <c r="AA318" s="96"/>
      <c r="AB318" s="88"/>
      <c r="AC318" s="119"/>
      <c r="AD318" s="88"/>
      <c r="AE318" s="88"/>
      <c r="AF318" s="118"/>
      <c r="AG318" s="118"/>
      <c r="AH318" s="118"/>
      <c r="AI318" s="99"/>
      <c r="AJ318" s="99"/>
      <c r="AK318" s="99"/>
      <c r="AU318" s="44"/>
    </row>
    <row r="319" spans="1:47" ht="12" customHeight="1">
      <c r="A319" s="88"/>
      <c r="B319" s="92"/>
      <c r="C319" s="88"/>
      <c r="D319" s="88"/>
      <c r="E319" s="91"/>
      <c r="F319" s="218"/>
      <c r="G319" s="112"/>
      <c r="H319" s="97"/>
      <c r="I319" s="91"/>
      <c r="J319" s="113"/>
      <c r="K319" s="88"/>
      <c r="L319" s="88"/>
      <c r="M319" s="88"/>
      <c r="N319" s="88"/>
      <c r="O319" s="90"/>
      <c r="P319" s="94"/>
      <c r="Q319" s="142"/>
      <c r="R319" s="121"/>
      <c r="S319" s="94"/>
      <c r="T319" s="96"/>
      <c r="U319" s="96"/>
      <c r="V319" s="117"/>
      <c r="W319" s="97"/>
      <c r="X319" s="97"/>
      <c r="Y319" s="117"/>
      <c r="Z319" s="88"/>
      <c r="AA319" s="96"/>
      <c r="AB319" s="88"/>
      <c r="AC319" s="119"/>
      <c r="AD319" s="88"/>
      <c r="AE319" s="88"/>
      <c r="AF319" s="118"/>
      <c r="AG319" s="118"/>
      <c r="AH319" s="118"/>
      <c r="AI319" s="99"/>
      <c r="AJ319" s="99"/>
      <c r="AK319" s="99"/>
      <c r="AU319" s="44"/>
    </row>
    <row r="320" spans="1:47" ht="12" customHeight="1">
      <c r="A320" s="88"/>
      <c r="B320" s="92"/>
      <c r="C320" s="88"/>
      <c r="D320" s="88"/>
      <c r="E320" s="91"/>
      <c r="F320" s="218"/>
      <c r="G320" s="112"/>
      <c r="H320" s="97"/>
      <c r="I320" s="91"/>
      <c r="J320" s="113"/>
      <c r="K320" s="88"/>
      <c r="L320" s="88"/>
      <c r="M320" s="88"/>
      <c r="N320" s="88"/>
      <c r="O320" s="90"/>
      <c r="P320" s="94"/>
      <c r="Q320" s="142"/>
      <c r="R320" s="121"/>
      <c r="S320" s="94"/>
      <c r="T320" s="96"/>
      <c r="U320" s="96"/>
      <c r="V320" s="117"/>
      <c r="W320" s="97"/>
      <c r="X320" s="97"/>
      <c r="Y320" s="117"/>
      <c r="Z320" s="88"/>
      <c r="AA320" s="96"/>
      <c r="AB320" s="88"/>
      <c r="AC320" s="119"/>
      <c r="AD320" s="88"/>
      <c r="AE320" s="88"/>
      <c r="AF320" s="118"/>
      <c r="AG320" s="118"/>
      <c r="AH320" s="118"/>
      <c r="AI320" s="99"/>
      <c r="AJ320" s="99"/>
      <c r="AK320" s="99"/>
      <c r="AU320" s="44"/>
    </row>
    <row r="321" spans="1:47" ht="12" customHeight="1">
      <c r="A321" s="88"/>
      <c r="B321" s="92"/>
      <c r="C321" s="88"/>
      <c r="D321" s="88"/>
      <c r="E321" s="91"/>
      <c r="F321" s="218"/>
      <c r="G321" s="112"/>
      <c r="H321" s="97"/>
      <c r="I321" s="91"/>
      <c r="J321" s="113"/>
      <c r="K321" s="88"/>
      <c r="L321" s="88"/>
      <c r="M321" s="88"/>
      <c r="N321" s="88"/>
      <c r="O321" s="90"/>
      <c r="P321" s="94"/>
      <c r="Q321" s="142"/>
      <c r="R321" s="120"/>
      <c r="S321" s="94"/>
      <c r="T321" s="96"/>
      <c r="U321" s="96"/>
      <c r="V321" s="117"/>
      <c r="W321" s="97"/>
      <c r="X321" s="97"/>
      <c r="Y321" s="117"/>
      <c r="Z321" s="88"/>
      <c r="AA321" s="96"/>
      <c r="AB321" s="88"/>
      <c r="AC321" s="119"/>
      <c r="AD321" s="88"/>
      <c r="AE321" s="88"/>
      <c r="AF321" s="118"/>
      <c r="AG321" s="118"/>
      <c r="AH321" s="118"/>
      <c r="AI321" s="99"/>
      <c r="AJ321" s="99"/>
      <c r="AK321" s="99"/>
      <c r="AU321" s="44"/>
    </row>
    <row r="322" spans="1:47" ht="12" customHeight="1">
      <c r="A322" s="88"/>
      <c r="B322" s="92"/>
      <c r="C322" s="88"/>
      <c r="D322" s="88"/>
      <c r="E322" s="91"/>
      <c r="F322" s="218"/>
      <c r="G322" s="112"/>
      <c r="H322" s="97"/>
      <c r="I322" s="91"/>
      <c r="J322" s="113"/>
      <c r="K322" s="88"/>
      <c r="L322" s="88"/>
      <c r="M322" s="88"/>
      <c r="N322" s="88"/>
      <c r="O322" s="90"/>
      <c r="P322" s="94"/>
      <c r="Q322" s="142"/>
      <c r="R322" s="121"/>
      <c r="S322" s="121"/>
      <c r="T322" s="96"/>
      <c r="U322" s="96"/>
      <c r="V322" s="117"/>
      <c r="W322" s="97"/>
      <c r="X322" s="97"/>
      <c r="Y322" s="117"/>
      <c r="Z322" s="88"/>
      <c r="AA322" s="121"/>
      <c r="AB322" s="88"/>
      <c r="AC322" s="119"/>
      <c r="AD322" s="88"/>
      <c r="AE322" s="88"/>
      <c r="AF322" s="118"/>
      <c r="AG322" s="118"/>
      <c r="AH322" s="118"/>
      <c r="AI322" s="99"/>
      <c r="AJ322" s="99"/>
      <c r="AK322" s="99"/>
      <c r="AU322" s="44"/>
    </row>
    <row r="323" spans="1:47" ht="12" customHeight="1">
      <c r="A323" s="88"/>
      <c r="B323" s="92"/>
      <c r="C323" s="88"/>
      <c r="D323" s="88"/>
      <c r="E323" s="91"/>
      <c r="F323" s="218"/>
      <c r="G323" s="112"/>
      <c r="H323" s="97"/>
      <c r="I323" s="91"/>
      <c r="J323" s="113"/>
      <c r="K323" s="88"/>
      <c r="L323" s="88"/>
      <c r="M323" s="88"/>
      <c r="N323" s="88"/>
      <c r="O323" s="90"/>
      <c r="P323" s="94"/>
      <c r="Q323" s="143"/>
      <c r="R323" s="121"/>
      <c r="S323" s="96"/>
      <c r="T323" s="96"/>
      <c r="U323" s="96"/>
      <c r="V323" s="117"/>
      <c r="W323" s="117"/>
      <c r="X323" s="97"/>
      <c r="Y323" s="117"/>
      <c r="Z323" s="88"/>
      <c r="AA323" s="96"/>
      <c r="AB323" s="88"/>
      <c r="AC323" s="119"/>
      <c r="AD323" s="88"/>
      <c r="AE323" s="88"/>
      <c r="AF323" s="116"/>
      <c r="AG323" s="116"/>
      <c r="AH323" s="116"/>
      <c r="AI323" s="99"/>
      <c r="AJ323" s="99"/>
      <c r="AK323" s="99"/>
      <c r="AU323" s="44"/>
    </row>
    <row r="324" spans="1:47" ht="12" customHeight="1">
      <c r="A324" s="88"/>
      <c r="B324" s="92"/>
      <c r="C324" s="88"/>
      <c r="D324" s="88"/>
      <c r="E324" s="91"/>
      <c r="F324" s="218"/>
      <c r="G324" s="112"/>
      <c r="H324" s="97"/>
      <c r="I324" s="91"/>
      <c r="J324" s="113"/>
      <c r="K324" s="88"/>
      <c r="L324" s="88"/>
      <c r="M324" s="88"/>
      <c r="N324" s="88"/>
      <c r="O324" s="90"/>
      <c r="P324" s="94"/>
      <c r="Q324" s="143"/>
      <c r="R324" s="114"/>
      <c r="S324" s="115"/>
      <c r="T324" s="96"/>
      <c r="U324" s="96"/>
      <c r="V324" s="97"/>
      <c r="W324" s="117"/>
      <c r="X324" s="97"/>
      <c r="Y324" s="97"/>
      <c r="Z324" s="88"/>
      <c r="AA324" s="96"/>
      <c r="AB324" s="88"/>
      <c r="AC324" s="119"/>
      <c r="AD324" s="88"/>
      <c r="AE324" s="88"/>
      <c r="AF324" s="116"/>
      <c r="AG324" s="118"/>
      <c r="AH324" s="116"/>
      <c r="AI324" s="99"/>
      <c r="AJ324" s="99"/>
      <c r="AK324" s="99"/>
      <c r="AU324" s="44"/>
    </row>
    <row r="325" spans="1:47" ht="12" customHeight="1">
      <c r="A325" s="88"/>
      <c r="B325" s="92"/>
      <c r="C325" s="88"/>
      <c r="D325" s="88"/>
      <c r="E325" s="91"/>
      <c r="F325" s="218"/>
      <c r="G325" s="112"/>
      <c r="H325" s="97"/>
      <c r="I325" s="91"/>
      <c r="J325" s="113"/>
      <c r="K325" s="88"/>
      <c r="L325" s="88"/>
      <c r="M325" s="88"/>
      <c r="N325" s="88"/>
      <c r="O325" s="90"/>
      <c r="P325" s="94"/>
      <c r="Q325" s="143"/>
      <c r="R325" s="114"/>
      <c r="S325" s="115"/>
      <c r="T325" s="96"/>
      <c r="U325" s="96"/>
      <c r="V325" s="97"/>
      <c r="W325" s="117"/>
      <c r="X325" s="97"/>
      <c r="Y325" s="97"/>
      <c r="Z325" s="88"/>
      <c r="AA325" s="96"/>
      <c r="AB325" s="88"/>
      <c r="AC325" s="119"/>
      <c r="AD325" s="88"/>
      <c r="AE325" s="88"/>
      <c r="AF325" s="116"/>
      <c r="AG325" s="118"/>
      <c r="AH325" s="116"/>
      <c r="AI325" s="99"/>
      <c r="AJ325" s="99"/>
      <c r="AK325" s="99"/>
      <c r="AU325" s="44"/>
    </row>
    <row r="326" spans="1:47" ht="12" customHeight="1">
      <c r="A326" s="88"/>
      <c r="B326" s="92"/>
      <c r="C326" s="88"/>
      <c r="D326" s="88"/>
      <c r="E326" s="91"/>
      <c r="F326" s="218"/>
      <c r="G326" s="112"/>
      <c r="H326" s="97"/>
      <c r="I326" s="91"/>
      <c r="J326" s="113"/>
      <c r="K326" s="88"/>
      <c r="L326" s="88"/>
      <c r="M326" s="88"/>
      <c r="N326" s="88"/>
      <c r="O326" s="90"/>
      <c r="P326" s="94"/>
      <c r="Q326" s="142"/>
      <c r="R326" s="120"/>
      <c r="S326" s="120"/>
      <c r="T326" s="96"/>
      <c r="U326" s="96"/>
      <c r="V326" s="97"/>
      <c r="W326" s="97"/>
      <c r="X326" s="97"/>
      <c r="Y326" s="97"/>
      <c r="Z326" s="88"/>
      <c r="AA326" s="96"/>
      <c r="AB326" s="88"/>
      <c r="AC326" s="119"/>
      <c r="AD326" s="88"/>
      <c r="AE326" s="88"/>
      <c r="AF326" s="118"/>
      <c r="AG326" s="118"/>
      <c r="AH326" s="118"/>
      <c r="AI326" s="99"/>
      <c r="AJ326" s="99"/>
      <c r="AK326" s="99"/>
      <c r="AU326" s="44"/>
    </row>
    <row r="327" spans="1:47" ht="12" customHeight="1">
      <c r="A327" s="88"/>
      <c r="B327" s="92"/>
      <c r="C327" s="88"/>
      <c r="D327" s="88"/>
      <c r="E327" s="91"/>
      <c r="F327" s="218"/>
      <c r="G327" s="112"/>
      <c r="H327" s="97"/>
      <c r="I327" s="91"/>
      <c r="J327" s="113"/>
      <c r="K327" s="88"/>
      <c r="L327" s="88"/>
      <c r="M327" s="88"/>
      <c r="N327" s="88"/>
      <c r="O327" s="90"/>
      <c r="P327" s="94"/>
      <c r="Q327" s="142"/>
      <c r="R327" s="120"/>
      <c r="S327" s="120"/>
      <c r="T327" s="96"/>
      <c r="U327" s="96"/>
      <c r="V327" s="97"/>
      <c r="W327" s="97"/>
      <c r="X327" s="97"/>
      <c r="Y327" s="97"/>
      <c r="Z327" s="88"/>
      <c r="AA327" s="96"/>
      <c r="AB327" s="88"/>
      <c r="AC327" s="119"/>
      <c r="AD327" s="88"/>
      <c r="AE327" s="88"/>
      <c r="AF327" s="118"/>
      <c r="AG327" s="118"/>
      <c r="AH327" s="118"/>
      <c r="AI327" s="99"/>
      <c r="AJ327" s="99"/>
      <c r="AK327" s="99"/>
      <c r="AU327" s="44"/>
    </row>
    <row r="328" spans="1:47" ht="12" customHeight="1">
      <c r="A328" s="88"/>
      <c r="B328" s="92"/>
      <c r="C328" s="88"/>
      <c r="D328" s="88"/>
      <c r="E328" s="91"/>
      <c r="F328" s="218"/>
      <c r="G328" s="112"/>
      <c r="H328" s="97"/>
      <c r="I328" s="91"/>
      <c r="J328" s="113"/>
      <c r="K328" s="88"/>
      <c r="L328" s="88"/>
      <c r="M328" s="88"/>
      <c r="N328" s="88"/>
      <c r="O328" s="90"/>
      <c r="P328" s="94"/>
      <c r="Q328" s="143"/>
      <c r="R328" s="114"/>
      <c r="S328" s="115"/>
      <c r="T328" s="96"/>
      <c r="U328" s="96"/>
      <c r="V328" s="97"/>
      <c r="W328" s="117"/>
      <c r="X328" s="97"/>
      <c r="Y328" s="97"/>
      <c r="Z328" s="88"/>
      <c r="AA328" s="96"/>
      <c r="AB328" s="88"/>
      <c r="AC328" s="119"/>
      <c r="AD328" s="88"/>
      <c r="AE328" s="88"/>
      <c r="AF328" s="116"/>
      <c r="AG328" s="116"/>
      <c r="AH328" s="118"/>
      <c r="AI328" s="99"/>
      <c r="AJ328" s="99"/>
      <c r="AK328" s="99"/>
      <c r="AU328" s="44"/>
    </row>
    <row r="329" spans="1:47" ht="12" customHeight="1">
      <c r="A329" s="88"/>
      <c r="B329" s="92"/>
      <c r="C329" s="88"/>
      <c r="D329" s="88"/>
      <c r="E329" s="91"/>
      <c r="F329" s="218"/>
      <c r="G329" s="112"/>
      <c r="H329" s="97"/>
      <c r="I329" s="91"/>
      <c r="J329" s="113"/>
      <c r="K329" s="88"/>
      <c r="L329" s="88"/>
      <c r="M329" s="88"/>
      <c r="N329" s="88"/>
      <c r="O329" s="90"/>
      <c r="P329" s="94"/>
      <c r="Q329" s="143"/>
      <c r="R329" s="114"/>
      <c r="S329" s="115"/>
      <c r="T329" s="96"/>
      <c r="U329" s="96"/>
      <c r="V329" s="97"/>
      <c r="W329" s="117"/>
      <c r="X329" s="97"/>
      <c r="Y329" s="97"/>
      <c r="Z329" s="88"/>
      <c r="AA329" s="96"/>
      <c r="AB329" s="88"/>
      <c r="AC329" s="119"/>
      <c r="AD329" s="88"/>
      <c r="AE329" s="88"/>
      <c r="AF329" s="116"/>
      <c r="AG329" s="116"/>
      <c r="AH329" s="118"/>
      <c r="AI329" s="99"/>
      <c r="AJ329" s="99"/>
      <c r="AK329" s="99"/>
      <c r="AU329" s="44"/>
    </row>
    <row r="330" spans="1:47" ht="12" customHeight="1">
      <c r="A330" s="88"/>
      <c r="B330" s="92"/>
      <c r="C330" s="88"/>
      <c r="D330" s="88"/>
      <c r="E330" s="91"/>
      <c r="F330" s="218"/>
      <c r="G330" s="112"/>
      <c r="H330" s="97"/>
      <c r="I330" s="91"/>
      <c r="J330" s="113"/>
      <c r="K330" s="88"/>
      <c r="L330" s="88"/>
      <c r="M330" s="88"/>
      <c r="N330" s="88"/>
      <c r="O330" s="90"/>
      <c r="P330" s="94"/>
      <c r="Q330" s="143"/>
      <c r="R330" s="114"/>
      <c r="S330" s="115"/>
      <c r="T330" s="96"/>
      <c r="U330" s="96"/>
      <c r="V330" s="97"/>
      <c r="W330" s="117"/>
      <c r="X330" s="97"/>
      <c r="Y330" s="97"/>
      <c r="Z330" s="88"/>
      <c r="AA330" s="96"/>
      <c r="AB330" s="88"/>
      <c r="AC330" s="119"/>
      <c r="AD330" s="88"/>
      <c r="AE330" s="88"/>
      <c r="AF330" s="116"/>
      <c r="AG330" s="116"/>
      <c r="AH330" s="118"/>
      <c r="AI330" s="99"/>
      <c r="AJ330" s="99"/>
      <c r="AK330" s="99"/>
      <c r="AU330" s="44"/>
    </row>
    <row r="331" spans="1:47" ht="12" customHeight="1">
      <c r="A331" s="88"/>
      <c r="B331" s="92"/>
      <c r="C331" s="88"/>
      <c r="D331" s="88"/>
      <c r="E331" s="91"/>
      <c r="F331" s="218"/>
      <c r="G331" s="112"/>
      <c r="H331" s="97"/>
      <c r="I331" s="91"/>
      <c r="J331" s="113"/>
      <c r="K331" s="88"/>
      <c r="L331" s="88"/>
      <c r="M331" s="88"/>
      <c r="N331" s="88"/>
      <c r="O331" s="90"/>
      <c r="P331" s="94"/>
      <c r="Q331" s="143"/>
      <c r="R331" s="114"/>
      <c r="S331" s="115"/>
      <c r="T331" s="96"/>
      <c r="U331" s="96"/>
      <c r="V331" s="97"/>
      <c r="W331" s="117"/>
      <c r="X331" s="97"/>
      <c r="Y331" s="97"/>
      <c r="Z331" s="88"/>
      <c r="AA331" s="96"/>
      <c r="AB331" s="88"/>
      <c r="AC331" s="119"/>
      <c r="AD331" s="88"/>
      <c r="AE331" s="88"/>
      <c r="AF331" s="116"/>
      <c r="AG331" s="116"/>
      <c r="AH331" s="118"/>
      <c r="AI331" s="99"/>
      <c r="AJ331" s="99"/>
      <c r="AK331" s="99"/>
      <c r="AU331" s="44"/>
    </row>
    <row r="332" spans="1:47" ht="12" customHeight="1">
      <c r="A332" s="88"/>
      <c r="B332" s="92"/>
      <c r="C332" s="88"/>
      <c r="D332" s="88"/>
      <c r="E332" s="91"/>
      <c r="F332" s="218"/>
      <c r="G332" s="112"/>
      <c r="H332" s="97"/>
      <c r="I332" s="91"/>
      <c r="J332" s="113"/>
      <c r="K332" s="88"/>
      <c r="L332" s="88"/>
      <c r="M332" s="88"/>
      <c r="N332" s="88"/>
      <c r="O332" s="90"/>
      <c r="P332" s="94"/>
      <c r="Q332" s="143"/>
      <c r="R332" s="114"/>
      <c r="S332" s="115"/>
      <c r="T332" s="96"/>
      <c r="U332" s="96"/>
      <c r="V332" s="97"/>
      <c r="W332" s="117"/>
      <c r="X332" s="97"/>
      <c r="Y332" s="97"/>
      <c r="Z332" s="88"/>
      <c r="AA332" s="96"/>
      <c r="AB332" s="88"/>
      <c r="AC332" s="119"/>
      <c r="AD332" s="88"/>
      <c r="AE332" s="88"/>
      <c r="AF332" s="116"/>
      <c r="AG332" s="116"/>
      <c r="AH332" s="118"/>
      <c r="AI332" s="99"/>
      <c r="AJ332" s="99"/>
      <c r="AK332" s="99"/>
      <c r="AU332" s="44"/>
    </row>
    <row r="333" spans="1:47" ht="12" customHeight="1">
      <c r="A333" s="88"/>
      <c r="B333" s="92"/>
      <c r="C333" s="88"/>
      <c r="D333" s="88"/>
      <c r="E333" s="91"/>
      <c r="F333" s="218"/>
      <c r="G333" s="112"/>
      <c r="H333" s="97"/>
      <c r="I333" s="91"/>
      <c r="J333" s="113"/>
      <c r="K333" s="88"/>
      <c r="L333" s="88"/>
      <c r="M333" s="88"/>
      <c r="N333" s="88"/>
      <c r="O333" s="90"/>
      <c r="P333" s="94"/>
      <c r="Q333" s="143"/>
      <c r="R333" s="114"/>
      <c r="S333" s="115"/>
      <c r="T333" s="96"/>
      <c r="U333" s="96"/>
      <c r="V333" s="97"/>
      <c r="W333" s="117"/>
      <c r="X333" s="97"/>
      <c r="Y333" s="97"/>
      <c r="Z333" s="88"/>
      <c r="AA333" s="96"/>
      <c r="AB333" s="88"/>
      <c r="AC333" s="119"/>
      <c r="AD333" s="88"/>
      <c r="AE333" s="88"/>
      <c r="AF333" s="116"/>
      <c r="AG333" s="116"/>
      <c r="AH333" s="118"/>
      <c r="AI333" s="99"/>
      <c r="AJ333" s="99"/>
      <c r="AK333" s="99"/>
      <c r="AU333" s="44"/>
    </row>
    <row r="334" spans="1:47" ht="12" customHeight="1">
      <c r="A334" s="88"/>
      <c r="B334" s="92"/>
      <c r="C334" s="88"/>
      <c r="D334" s="88"/>
      <c r="E334" s="91"/>
      <c r="F334" s="218"/>
      <c r="G334" s="112"/>
      <c r="H334" s="97"/>
      <c r="I334" s="91"/>
      <c r="J334" s="113"/>
      <c r="K334" s="88"/>
      <c r="L334" s="88"/>
      <c r="M334" s="88"/>
      <c r="N334" s="88"/>
      <c r="O334" s="90"/>
      <c r="P334" s="94"/>
      <c r="Q334" s="143"/>
      <c r="R334" s="114"/>
      <c r="S334" s="115"/>
      <c r="T334" s="96"/>
      <c r="U334" s="96"/>
      <c r="V334" s="97"/>
      <c r="W334" s="117"/>
      <c r="X334" s="97"/>
      <c r="Y334" s="97"/>
      <c r="Z334" s="88"/>
      <c r="AA334" s="96"/>
      <c r="AB334" s="88"/>
      <c r="AC334" s="119"/>
      <c r="AD334" s="88"/>
      <c r="AE334" s="88"/>
      <c r="AF334" s="116"/>
      <c r="AG334" s="116"/>
      <c r="AH334" s="118"/>
      <c r="AI334" s="99"/>
      <c r="AJ334" s="99"/>
      <c r="AK334" s="99"/>
      <c r="AU334" s="44"/>
    </row>
    <row r="335" spans="1:47" ht="12" customHeight="1">
      <c r="A335" s="88"/>
      <c r="B335" s="92"/>
      <c r="C335" s="88"/>
      <c r="D335" s="88"/>
      <c r="E335" s="91"/>
      <c r="F335" s="218"/>
      <c r="G335" s="112"/>
      <c r="H335" s="97"/>
      <c r="I335" s="91"/>
      <c r="J335" s="113"/>
      <c r="K335" s="88"/>
      <c r="L335" s="88"/>
      <c r="M335" s="88"/>
      <c r="N335" s="88"/>
      <c r="O335" s="90"/>
      <c r="P335" s="94"/>
      <c r="Q335" s="142"/>
      <c r="R335" s="120"/>
      <c r="S335" s="115"/>
      <c r="T335" s="96"/>
      <c r="U335" s="96"/>
      <c r="V335" s="97"/>
      <c r="W335" s="97"/>
      <c r="X335" s="97"/>
      <c r="Y335" s="97"/>
      <c r="Z335" s="88"/>
      <c r="AA335" s="96"/>
      <c r="AB335" s="88"/>
      <c r="AC335" s="119"/>
      <c r="AD335" s="88"/>
      <c r="AE335" s="88"/>
      <c r="AF335" s="118"/>
      <c r="AG335" s="118"/>
      <c r="AH335" s="118"/>
      <c r="AI335" s="99"/>
      <c r="AJ335" s="99"/>
      <c r="AK335" s="99"/>
      <c r="AU335" s="44"/>
    </row>
    <row r="336" spans="1:47" ht="12" customHeight="1">
      <c r="A336" s="88"/>
      <c r="B336" s="92"/>
      <c r="C336" s="88"/>
      <c r="D336" s="88"/>
      <c r="E336" s="91"/>
      <c r="F336" s="218"/>
      <c r="G336" s="112"/>
      <c r="H336" s="97"/>
      <c r="I336" s="91"/>
      <c r="J336" s="113"/>
      <c r="K336" s="88"/>
      <c r="L336" s="88"/>
      <c r="M336" s="88"/>
      <c r="N336" s="88"/>
      <c r="O336" s="90"/>
      <c r="P336" s="94"/>
      <c r="Q336" s="142"/>
      <c r="R336" s="120"/>
      <c r="S336" s="115"/>
      <c r="T336" s="96"/>
      <c r="U336" s="96"/>
      <c r="V336" s="97"/>
      <c r="W336" s="97"/>
      <c r="X336" s="97"/>
      <c r="Y336" s="97"/>
      <c r="Z336" s="88"/>
      <c r="AA336" s="96"/>
      <c r="AB336" s="88"/>
      <c r="AC336" s="119"/>
      <c r="AD336" s="88"/>
      <c r="AE336" s="88"/>
      <c r="AF336" s="118"/>
      <c r="AG336" s="118"/>
      <c r="AH336" s="118"/>
      <c r="AI336" s="99"/>
      <c r="AJ336" s="99"/>
      <c r="AK336" s="99"/>
      <c r="AU336" s="44"/>
    </row>
    <row r="337" spans="1:47" ht="12" customHeight="1">
      <c r="A337" s="88"/>
      <c r="B337" s="92"/>
      <c r="C337" s="88"/>
      <c r="D337" s="88"/>
      <c r="E337" s="91"/>
      <c r="F337" s="218"/>
      <c r="G337" s="112"/>
      <c r="H337" s="97"/>
      <c r="I337" s="91"/>
      <c r="J337" s="113"/>
      <c r="K337" s="88"/>
      <c r="L337" s="88"/>
      <c r="M337" s="88"/>
      <c r="N337" s="88"/>
      <c r="O337" s="90"/>
      <c r="P337" s="94"/>
      <c r="Q337" s="142"/>
      <c r="R337" s="120"/>
      <c r="S337" s="115"/>
      <c r="T337" s="96"/>
      <c r="U337" s="96"/>
      <c r="V337" s="97"/>
      <c r="W337" s="97"/>
      <c r="X337" s="97"/>
      <c r="Y337" s="97"/>
      <c r="Z337" s="88"/>
      <c r="AA337" s="96"/>
      <c r="AB337" s="88"/>
      <c r="AC337" s="119"/>
      <c r="AD337" s="88"/>
      <c r="AE337" s="88"/>
      <c r="AF337" s="118"/>
      <c r="AG337" s="118"/>
      <c r="AH337" s="118"/>
      <c r="AI337" s="99"/>
      <c r="AJ337" s="99"/>
      <c r="AK337" s="99"/>
      <c r="AU337" s="44"/>
    </row>
    <row r="338" spans="1:47" ht="12" customHeight="1">
      <c r="A338" s="88"/>
      <c r="B338" s="92"/>
      <c r="C338" s="88"/>
      <c r="D338" s="88"/>
      <c r="E338" s="91"/>
      <c r="F338" s="218"/>
      <c r="G338" s="112"/>
      <c r="H338" s="97"/>
      <c r="I338" s="91"/>
      <c r="J338" s="113"/>
      <c r="K338" s="88"/>
      <c r="L338" s="88"/>
      <c r="M338" s="88"/>
      <c r="N338" s="88"/>
      <c r="O338" s="90"/>
      <c r="P338" s="94"/>
      <c r="Q338" s="142"/>
      <c r="R338" s="120"/>
      <c r="S338" s="115"/>
      <c r="T338" s="96"/>
      <c r="U338" s="96"/>
      <c r="V338" s="97"/>
      <c r="W338" s="97"/>
      <c r="X338" s="97"/>
      <c r="Y338" s="97"/>
      <c r="Z338" s="88"/>
      <c r="AA338" s="96"/>
      <c r="AB338" s="88"/>
      <c r="AC338" s="119"/>
      <c r="AD338" s="88"/>
      <c r="AE338" s="88"/>
      <c r="AF338" s="118"/>
      <c r="AG338" s="118"/>
      <c r="AH338" s="118"/>
      <c r="AI338" s="99"/>
      <c r="AJ338" s="99"/>
      <c r="AK338" s="99"/>
      <c r="AU338" s="44"/>
    </row>
    <row r="339" spans="1:47" ht="12" customHeight="1">
      <c r="A339" s="88"/>
      <c r="B339" s="92"/>
      <c r="C339" s="88"/>
      <c r="D339" s="88"/>
      <c r="E339" s="91"/>
      <c r="F339" s="218"/>
      <c r="G339" s="112"/>
      <c r="H339" s="97"/>
      <c r="I339" s="91"/>
      <c r="J339" s="113"/>
      <c r="K339" s="88"/>
      <c r="L339" s="88"/>
      <c r="M339" s="88"/>
      <c r="N339" s="88"/>
      <c r="O339" s="90"/>
      <c r="P339" s="94"/>
      <c r="Q339" s="142"/>
      <c r="R339" s="120"/>
      <c r="S339" s="115"/>
      <c r="T339" s="96"/>
      <c r="U339" s="96"/>
      <c r="V339" s="97"/>
      <c r="W339" s="97"/>
      <c r="X339" s="97"/>
      <c r="Y339" s="97"/>
      <c r="Z339" s="88"/>
      <c r="AA339" s="96"/>
      <c r="AB339" s="88"/>
      <c r="AC339" s="119"/>
      <c r="AD339" s="88"/>
      <c r="AE339" s="88"/>
      <c r="AF339" s="118"/>
      <c r="AG339" s="118"/>
      <c r="AH339" s="118"/>
      <c r="AI339" s="99"/>
      <c r="AJ339" s="99"/>
      <c r="AK339" s="99"/>
      <c r="AU339" s="44"/>
    </row>
    <row r="340" spans="1:47" ht="12" customHeight="1">
      <c r="A340" s="88"/>
      <c r="B340" s="92"/>
      <c r="C340" s="88"/>
      <c r="D340" s="88"/>
      <c r="E340" s="91"/>
      <c r="F340" s="218"/>
      <c r="G340" s="112"/>
      <c r="H340" s="97"/>
      <c r="I340" s="91"/>
      <c r="J340" s="113"/>
      <c r="K340" s="88"/>
      <c r="L340" s="88"/>
      <c r="M340" s="88"/>
      <c r="N340" s="88"/>
      <c r="O340" s="90"/>
      <c r="P340" s="94"/>
      <c r="Q340" s="142"/>
      <c r="R340" s="120"/>
      <c r="S340" s="115"/>
      <c r="T340" s="96"/>
      <c r="U340" s="96"/>
      <c r="V340" s="97"/>
      <c r="W340" s="97"/>
      <c r="X340" s="97"/>
      <c r="Y340" s="97"/>
      <c r="Z340" s="88"/>
      <c r="AA340" s="96"/>
      <c r="AB340" s="88"/>
      <c r="AC340" s="119"/>
      <c r="AD340" s="88"/>
      <c r="AE340" s="88"/>
      <c r="AF340" s="118"/>
      <c r="AG340" s="118"/>
      <c r="AH340" s="118"/>
      <c r="AI340" s="99"/>
      <c r="AJ340" s="99"/>
      <c r="AK340" s="99"/>
      <c r="AU340" s="44"/>
    </row>
    <row r="341" spans="1:47" ht="12" customHeight="1">
      <c r="A341" s="88"/>
      <c r="B341" s="92"/>
      <c r="C341" s="88"/>
      <c r="D341" s="88"/>
      <c r="E341" s="91"/>
      <c r="F341" s="218"/>
      <c r="G341" s="112"/>
      <c r="H341" s="97"/>
      <c r="I341" s="91"/>
      <c r="J341" s="113"/>
      <c r="K341" s="88"/>
      <c r="L341" s="88"/>
      <c r="M341" s="88"/>
      <c r="N341" s="88"/>
      <c r="O341" s="90"/>
      <c r="P341" s="94"/>
      <c r="Q341" s="143"/>
      <c r="R341" s="114"/>
      <c r="S341" s="115"/>
      <c r="T341" s="96"/>
      <c r="U341" s="96"/>
      <c r="V341" s="97"/>
      <c r="W341" s="117"/>
      <c r="X341" s="97"/>
      <c r="Y341" s="97"/>
      <c r="Z341" s="88"/>
      <c r="AA341" s="96"/>
      <c r="AB341" s="88"/>
      <c r="AC341" s="119"/>
      <c r="AD341" s="88"/>
      <c r="AE341" s="88"/>
      <c r="AF341" s="116"/>
      <c r="AG341" s="118"/>
      <c r="AH341" s="116"/>
      <c r="AI341" s="99"/>
      <c r="AJ341" s="99"/>
      <c r="AK341" s="99"/>
      <c r="AU341" s="44"/>
    </row>
    <row r="342" spans="1:47" ht="12" customHeight="1">
      <c r="A342" s="88"/>
      <c r="B342" s="92"/>
      <c r="C342" s="88"/>
      <c r="D342" s="88"/>
      <c r="E342" s="91"/>
      <c r="F342" s="218"/>
      <c r="G342" s="112"/>
      <c r="H342" s="97"/>
      <c r="I342" s="91"/>
      <c r="J342" s="113"/>
      <c r="K342" s="88"/>
      <c r="L342" s="88"/>
      <c r="M342" s="88"/>
      <c r="N342" s="88"/>
      <c r="O342" s="90"/>
      <c r="P342" s="94"/>
      <c r="Q342" s="142"/>
      <c r="R342" s="120"/>
      <c r="S342" s="115"/>
      <c r="T342" s="96"/>
      <c r="U342" s="96"/>
      <c r="V342" s="97"/>
      <c r="W342" s="97"/>
      <c r="X342" s="97"/>
      <c r="Y342" s="97"/>
      <c r="Z342" s="88"/>
      <c r="AA342" s="96"/>
      <c r="AB342" s="88"/>
      <c r="AC342" s="119"/>
      <c r="AD342" s="88"/>
      <c r="AE342" s="88"/>
      <c r="AF342" s="118"/>
      <c r="AG342" s="118"/>
      <c r="AH342" s="118"/>
      <c r="AI342" s="99"/>
      <c r="AJ342" s="99"/>
      <c r="AK342" s="99"/>
      <c r="AU342" s="44"/>
    </row>
    <row r="343" spans="1:47" ht="12" customHeight="1">
      <c r="A343" s="88"/>
      <c r="B343" s="92"/>
      <c r="C343" s="88"/>
      <c r="D343" s="88"/>
      <c r="E343" s="91"/>
      <c r="F343" s="218"/>
      <c r="G343" s="112"/>
      <c r="H343" s="97"/>
      <c r="I343" s="91"/>
      <c r="J343" s="113"/>
      <c r="K343" s="88"/>
      <c r="L343" s="88"/>
      <c r="M343" s="88"/>
      <c r="N343" s="88"/>
      <c r="O343" s="90"/>
      <c r="P343" s="94"/>
      <c r="Q343" s="142"/>
      <c r="R343" s="120"/>
      <c r="S343" s="115"/>
      <c r="T343" s="96"/>
      <c r="U343" s="96"/>
      <c r="V343" s="97"/>
      <c r="W343" s="97"/>
      <c r="X343" s="97"/>
      <c r="Y343" s="97"/>
      <c r="Z343" s="88"/>
      <c r="AA343" s="96"/>
      <c r="AB343" s="88"/>
      <c r="AC343" s="119"/>
      <c r="AD343" s="88"/>
      <c r="AE343" s="88"/>
      <c r="AF343" s="118"/>
      <c r="AG343" s="118"/>
      <c r="AH343" s="118"/>
      <c r="AI343" s="99"/>
      <c r="AJ343" s="99"/>
      <c r="AK343" s="99"/>
      <c r="AU343" s="44"/>
    </row>
    <row r="344" spans="1:47" ht="12" customHeight="1">
      <c r="A344" s="88"/>
      <c r="B344" s="92"/>
      <c r="C344" s="88"/>
      <c r="D344" s="88"/>
      <c r="E344" s="91"/>
      <c r="F344" s="218"/>
      <c r="G344" s="112"/>
      <c r="H344" s="97"/>
      <c r="I344" s="91"/>
      <c r="J344" s="113"/>
      <c r="K344" s="88"/>
      <c r="L344" s="88"/>
      <c r="M344" s="88"/>
      <c r="N344" s="88"/>
      <c r="O344" s="90"/>
      <c r="P344" s="94"/>
      <c r="Q344" s="142"/>
      <c r="R344" s="120"/>
      <c r="S344" s="115"/>
      <c r="T344" s="96"/>
      <c r="U344" s="96"/>
      <c r="V344" s="97"/>
      <c r="W344" s="97"/>
      <c r="X344" s="97"/>
      <c r="Y344" s="97"/>
      <c r="Z344" s="88"/>
      <c r="AA344" s="96"/>
      <c r="AB344" s="88"/>
      <c r="AC344" s="119"/>
      <c r="AD344" s="88"/>
      <c r="AE344" s="88"/>
      <c r="AF344" s="118"/>
      <c r="AG344" s="118"/>
      <c r="AH344" s="118"/>
      <c r="AI344" s="99"/>
      <c r="AJ344" s="99"/>
      <c r="AK344" s="99"/>
      <c r="AU344" s="44"/>
    </row>
    <row r="345" spans="1:47" ht="12" customHeight="1">
      <c r="A345" s="88"/>
      <c r="B345" s="92"/>
      <c r="C345" s="88"/>
      <c r="D345" s="88"/>
      <c r="E345" s="91"/>
      <c r="F345" s="218"/>
      <c r="G345" s="112"/>
      <c r="H345" s="97"/>
      <c r="I345" s="91"/>
      <c r="J345" s="113"/>
      <c r="K345" s="88"/>
      <c r="L345" s="88"/>
      <c r="M345" s="88"/>
      <c r="N345" s="88"/>
      <c r="O345" s="90"/>
      <c r="P345" s="94"/>
      <c r="Q345" s="143"/>
      <c r="R345" s="114"/>
      <c r="S345" s="115"/>
      <c r="T345" s="96"/>
      <c r="U345" s="96"/>
      <c r="V345" s="97"/>
      <c r="W345" s="117"/>
      <c r="X345" s="97"/>
      <c r="Y345" s="97"/>
      <c r="Z345" s="88"/>
      <c r="AA345" s="96"/>
      <c r="AB345" s="88"/>
      <c r="AC345" s="119"/>
      <c r="AD345" s="88"/>
      <c r="AE345" s="88"/>
      <c r="AF345" s="116"/>
      <c r="AG345" s="118"/>
      <c r="AH345" s="116"/>
      <c r="AI345" s="99"/>
      <c r="AJ345" s="99"/>
      <c r="AK345" s="99"/>
      <c r="AU345" s="44"/>
    </row>
    <row r="346" spans="1:47" ht="12" customHeight="1">
      <c r="A346" s="88"/>
      <c r="B346" s="92"/>
      <c r="C346" s="88"/>
      <c r="D346" s="88"/>
      <c r="E346" s="91"/>
      <c r="F346" s="218"/>
      <c r="G346" s="112"/>
      <c r="H346" s="97"/>
      <c r="I346" s="91"/>
      <c r="J346" s="113"/>
      <c r="K346" s="88"/>
      <c r="L346" s="88"/>
      <c r="M346" s="88"/>
      <c r="N346" s="88"/>
      <c r="O346" s="90"/>
      <c r="P346" s="94"/>
      <c r="Q346" s="142"/>
      <c r="R346" s="120"/>
      <c r="S346" s="115"/>
      <c r="T346" s="96"/>
      <c r="U346" s="96"/>
      <c r="V346" s="97"/>
      <c r="W346" s="97"/>
      <c r="X346" s="97"/>
      <c r="Y346" s="97"/>
      <c r="Z346" s="88"/>
      <c r="AA346" s="96"/>
      <c r="AB346" s="88"/>
      <c r="AC346" s="119"/>
      <c r="AD346" s="88"/>
      <c r="AE346" s="88"/>
      <c r="AF346" s="118"/>
      <c r="AG346" s="118"/>
      <c r="AH346" s="118"/>
      <c r="AI346" s="99"/>
      <c r="AJ346" s="99"/>
      <c r="AK346" s="99"/>
      <c r="AU346" s="44"/>
    </row>
    <row r="347" spans="1:47" ht="12" customHeight="1">
      <c r="A347" s="88"/>
      <c r="B347" s="92"/>
      <c r="C347" s="88"/>
      <c r="D347" s="88"/>
      <c r="E347" s="91"/>
      <c r="F347" s="218"/>
      <c r="G347" s="112"/>
      <c r="H347" s="97"/>
      <c r="I347" s="91"/>
      <c r="J347" s="113"/>
      <c r="K347" s="88"/>
      <c r="L347" s="88"/>
      <c r="M347" s="88"/>
      <c r="N347" s="88"/>
      <c r="O347" s="90"/>
      <c r="P347" s="94"/>
      <c r="Q347" s="143"/>
      <c r="R347" s="114"/>
      <c r="S347" s="115"/>
      <c r="T347" s="96"/>
      <c r="U347" s="96"/>
      <c r="V347" s="97"/>
      <c r="W347" s="117"/>
      <c r="X347" s="97"/>
      <c r="Y347" s="97"/>
      <c r="Z347" s="88"/>
      <c r="AA347" s="96"/>
      <c r="AB347" s="88"/>
      <c r="AC347" s="119"/>
      <c r="AD347" s="88"/>
      <c r="AE347" s="88"/>
      <c r="AF347" s="116"/>
      <c r="AG347" s="118"/>
      <c r="AH347" s="116"/>
      <c r="AI347" s="99"/>
      <c r="AJ347" s="99"/>
      <c r="AK347" s="99"/>
      <c r="AU347" s="44"/>
    </row>
    <row r="348" spans="1:47" ht="12" customHeight="1">
      <c r="A348" s="88"/>
      <c r="B348" s="92"/>
      <c r="C348" s="88"/>
      <c r="D348" s="88"/>
      <c r="E348" s="91"/>
      <c r="F348" s="218"/>
      <c r="G348" s="112"/>
      <c r="H348" s="97"/>
      <c r="I348" s="91"/>
      <c r="J348" s="113"/>
      <c r="K348" s="88"/>
      <c r="L348" s="88"/>
      <c r="M348" s="88"/>
      <c r="N348" s="88"/>
      <c r="O348" s="90"/>
      <c r="P348" s="94"/>
      <c r="Q348" s="142"/>
      <c r="R348" s="120"/>
      <c r="S348" s="115"/>
      <c r="T348" s="96"/>
      <c r="U348" s="96"/>
      <c r="V348" s="97"/>
      <c r="W348" s="97"/>
      <c r="X348" s="97"/>
      <c r="Y348" s="97"/>
      <c r="Z348" s="88"/>
      <c r="AA348" s="96"/>
      <c r="AB348" s="88"/>
      <c r="AC348" s="119"/>
      <c r="AD348" s="88"/>
      <c r="AE348" s="88"/>
      <c r="AF348" s="118"/>
      <c r="AG348" s="118"/>
      <c r="AH348" s="118"/>
      <c r="AI348" s="99"/>
      <c r="AJ348" s="99"/>
      <c r="AK348" s="99"/>
      <c r="AU348" s="44"/>
    </row>
    <row r="349" spans="1:47" ht="12" customHeight="1">
      <c r="A349" s="88"/>
      <c r="B349" s="92"/>
      <c r="C349" s="88"/>
      <c r="D349" s="88"/>
      <c r="E349" s="91"/>
      <c r="F349" s="218"/>
      <c r="G349" s="112"/>
      <c r="H349" s="97"/>
      <c r="I349" s="91"/>
      <c r="J349" s="113"/>
      <c r="K349" s="88"/>
      <c r="L349" s="88"/>
      <c r="M349" s="88"/>
      <c r="N349" s="88"/>
      <c r="O349" s="90"/>
      <c r="P349" s="94"/>
      <c r="Q349" s="142"/>
      <c r="R349" s="120"/>
      <c r="S349" s="120"/>
      <c r="T349" s="96"/>
      <c r="U349" s="96"/>
      <c r="V349" s="97"/>
      <c r="W349" s="97"/>
      <c r="X349" s="97"/>
      <c r="Y349" s="97"/>
      <c r="Z349" s="88"/>
      <c r="AA349" s="96"/>
      <c r="AB349" s="88"/>
      <c r="AC349" s="119"/>
      <c r="AD349" s="88"/>
      <c r="AE349" s="88"/>
      <c r="AF349" s="118"/>
      <c r="AG349" s="118"/>
      <c r="AH349" s="118"/>
      <c r="AI349" s="99"/>
      <c r="AJ349" s="99"/>
      <c r="AK349" s="99"/>
      <c r="AU349" s="44"/>
    </row>
    <row r="350" spans="1:47" ht="12" customHeight="1">
      <c r="A350" s="88"/>
      <c r="B350" s="92"/>
      <c r="C350" s="88"/>
      <c r="D350" s="88"/>
      <c r="E350" s="91"/>
      <c r="F350" s="218"/>
      <c r="G350" s="112"/>
      <c r="H350" s="97"/>
      <c r="I350" s="91"/>
      <c r="J350" s="113"/>
      <c r="K350" s="88"/>
      <c r="L350" s="88"/>
      <c r="M350" s="88"/>
      <c r="N350" s="88"/>
      <c r="O350" s="90"/>
      <c r="P350" s="94"/>
      <c r="Q350" s="142"/>
      <c r="R350" s="120"/>
      <c r="S350" s="120"/>
      <c r="T350" s="96"/>
      <c r="U350" s="96"/>
      <c r="V350" s="97"/>
      <c r="W350" s="97"/>
      <c r="X350" s="97"/>
      <c r="Y350" s="97"/>
      <c r="Z350" s="88"/>
      <c r="AA350" s="96"/>
      <c r="AB350" s="88"/>
      <c r="AC350" s="119"/>
      <c r="AD350" s="88"/>
      <c r="AE350" s="88"/>
      <c r="AF350" s="118"/>
      <c r="AG350" s="118"/>
      <c r="AH350" s="118"/>
      <c r="AI350" s="99"/>
      <c r="AJ350" s="99"/>
      <c r="AK350" s="99"/>
      <c r="AU350" s="44"/>
    </row>
    <row r="351" spans="1:47" ht="12" customHeight="1">
      <c r="A351" s="88"/>
      <c r="B351" s="92"/>
      <c r="C351" s="88"/>
      <c r="D351" s="88"/>
      <c r="E351" s="91"/>
      <c r="F351" s="218"/>
      <c r="G351" s="112"/>
      <c r="H351" s="97"/>
      <c r="I351" s="91"/>
      <c r="J351" s="113"/>
      <c r="K351" s="88"/>
      <c r="L351" s="88"/>
      <c r="M351" s="88"/>
      <c r="N351" s="88"/>
      <c r="O351" s="90"/>
      <c r="P351" s="94"/>
      <c r="Q351" s="143"/>
      <c r="R351" s="120"/>
      <c r="S351" s="115"/>
      <c r="T351" s="96"/>
      <c r="U351" s="96"/>
      <c r="V351" s="97"/>
      <c r="W351" s="117"/>
      <c r="X351" s="97"/>
      <c r="Y351" s="97"/>
      <c r="Z351" s="88"/>
      <c r="AA351" s="96"/>
      <c r="AB351" s="88"/>
      <c r="AC351" s="119"/>
      <c r="AD351" s="88"/>
      <c r="AE351" s="88"/>
      <c r="AF351" s="116"/>
      <c r="AG351" s="118"/>
      <c r="AH351" s="116"/>
      <c r="AI351" s="99"/>
      <c r="AJ351" s="99"/>
      <c r="AK351" s="99"/>
      <c r="AU351" s="44"/>
    </row>
    <row r="352" spans="1:47" ht="12" customHeight="1">
      <c r="A352" s="88"/>
      <c r="B352" s="92"/>
      <c r="C352" s="88"/>
      <c r="D352" s="88"/>
      <c r="E352" s="91"/>
      <c r="F352" s="218"/>
      <c r="G352" s="112"/>
      <c r="H352" s="97"/>
      <c r="I352" s="91"/>
      <c r="J352" s="113"/>
      <c r="K352" s="88"/>
      <c r="L352" s="88"/>
      <c r="M352" s="88"/>
      <c r="N352" s="88"/>
      <c r="O352" s="90"/>
      <c r="P352" s="94"/>
      <c r="Q352" s="143"/>
      <c r="R352" s="114"/>
      <c r="S352" s="115"/>
      <c r="T352" s="96"/>
      <c r="U352" s="96"/>
      <c r="V352" s="117"/>
      <c r="W352" s="97"/>
      <c r="X352" s="97"/>
      <c r="Y352" s="97"/>
      <c r="Z352" s="88"/>
      <c r="AA352" s="96"/>
      <c r="AB352" s="88"/>
      <c r="AC352" s="119"/>
      <c r="AD352" s="88"/>
      <c r="AE352" s="88"/>
      <c r="AF352" s="116"/>
      <c r="AG352" s="118"/>
      <c r="AH352" s="116"/>
      <c r="AI352" s="99"/>
      <c r="AJ352" s="99"/>
      <c r="AK352" s="99"/>
      <c r="AU352" s="44"/>
    </row>
    <row r="353" spans="1:47" ht="12" customHeight="1">
      <c r="A353" s="88"/>
      <c r="B353" s="92"/>
      <c r="C353" s="88"/>
      <c r="D353" s="88"/>
      <c r="E353" s="91"/>
      <c r="F353" s="218"/>
      <c r="G353" s="112"/>
      <c r="H353" s="97"/>
      <c r="I353" s="91"/>
      <c r="J353" s="113"/>
      <c r="K353" s="88"/>
      <c r="L353" s="88"/>
      <c r="M353" s="88"/>
      <c r="N353" s="88"/>
      <c r="O353" s="90"/>
      <c r="P353" s="94"/>
      <c r="Q353" s="143"/>
      <c r="R353" s="114"/>
      <c r="S353" s="115"/>
      <c r="T353" s="96"/>
      <c r="U353" s="96"/>
      <c r="V353" s="117"/>
      <c r="W353" s="97"/>
      <c r="X353" s="97"/>
      <c r="Y353" s="97"/>
      <c r="Z353" s="88"/>
      <c r="AA353" s="96"/>
      <c r="AB353" s="88"/>
      <c r="AC353" s="119"/>
      <c r="AD353" s="88"/>
      <c r="AE353" s="88"/>
      <c r="AF353" s="116"/>
      <c r="AG353" s="118"/>
      <c r="AH353" s="116"/>
      <c r="AI353" s="99"/>
      <c r="AJ353" s="99"/>
      <c r="AK353" s="99"/>
      <c r="AU353" s="44"/>
    </row>
    <row r="354" spans="1:47" ht="12" customHeight="1">
      <c r="A354" s="88"/>
      <c r="B354" s="92"/>
      <c r="C354" s="88"/>
      <c r="D354" s="88"/>
      <c r="E354" s="91"/>
      <c r="F354" s="218"/>
      <c r="G354" s="112"/>
      <c r="H354" s="97"/>
      <c r="I354" s="91"/>
      <c r="J354" s="113"/>
      <c r="K354" s="88"/>
      <c r="L354" s="88"/>
      <c r="M354" s="88"/>
      <c r="N354" s="88"/>
      <c r="O354" s="90"/>
      <c r="P354" s="94"/>
      <c r="Q354" s="143"/>
      <c r="R354" s="114"/>
      <c r="S354" s="115"/>
      <c r="T354" s="96"/>
      <c r="U354" s="96"/>
      <c r="V354" s="117"/>
      <c r="W354" s="97"/>
      <c r="X354" s="97"/>
      <c r="Y354" s="97"/>
      <c r="Z354" s="88"/>
      <c r="AA354" s="96"/>
      <c r="AB354" s="88"/>
      <c r="AC354" s="119"/>
      <c r="AD354" s="88"/>
      <c r="AE354" s="88"/>
      <c r="AF354" s="116"/>
      <c r="AG354" s="118"/>
      <c r="AH354" s="116"/>
      <c r="AI354" s="99"/>
      <c r="AJ354" s="99"/>
      <c r="AK354" s="99"/>
      <c r="AU354" s="44"/>
    </row>
    <row r="355" spans="1:47" ht="12" customHeight="1">
      <c r="A355" s="88"/>
      <c r="B355" s="92"/>
      <c r="C355" s="88"/>
      <c r="D355" s="88"/>
      <c r="E355" s="91"/>
      <c r="F355" s="218"/>
      <c r="G355" s="112"/>
      <c r="H355" s="97"/>
      <c r="I355" s="91"/>
      <c r="J355" s="113"/>
      <c r="K355" s="88"/>
      <c r="L355" s="88"/>
      <c r="M355" s="88"/>
      <c r="N355" s="88"/>
      <c r="O355" s="90"/>
      <c r="P355" s="94"/>
      <c r="Q355" s="143"/>
      <c r="R355" s="114"/>
      <c r="S355" s="115"/>
      <c r="T355" s="96"/>
      <c r="U355" s="96"/>
      <c r="V355" s="117"/>
      <c r="W355" s="97"/>
      <c r="X355" s="97"/>
      <c r="Y355" s="97"/>
      <c r="Z355" s="88"/>
      <c r="AA355" s="96"/>
      <c r="AB355" s="88"/>
      <c r="AC355" s="119"/>
      <c r="AD355" s="88"/>
      <c r="AE355" s="88"/>
      <c r="AF355" s="116"/>
      <c r="AG355" s="118"/>
      <c r="AH355" s="116"/>
      <c r="AI355" s="99"/>
      <c r="AJ355" s="99"/>
      <c r="AK355" s="99"/>
      <c r="AU355" s="44"/>
    </row>
    <row r="356" spans="1:47" ht="12" customHeight="1">
      <c r="A356" s="88"/>
      <c r="B356" s="92"/>
      <c r="C356" s="88"/>
      <c r="D356" s="88"/>
      <c r="E356" s="91"/>
      <c r="F356" s="218"/>
      <c r="G356" s="112"/>
      <c r="H356" s="97"/>
      <c r="I356" s="91"/>
      <c r="J356" s="113"/>
      <c r="K356" s="88"/>
      <c r="L356" s="88"/>
      <c r="M356" s="88"/>
      <c r="N356" s="88"/>
      <c r="O356" s="90"/>
      <c r="P356" s="94"/>
      <c r="Q356" s="143"/>
      <c r="R356" s="114"/>
      <c r="S356" s="115"/>
      <c r="T356" s="96"/>
      <c r="U356" s="96"/>
      <c r="V356" s="117"/>
      <c r="W356" s="97"/>
      <c r="X356" s="97"/>
      <c r="Y356" s="97"/>
      <c r="Z356" s="88"/>
      <c r="AA356" s="96"/>
      <c r="AB356" s="88"/>
      <c r="AC356" s="119"/>
      <c r="AD356" s="88"/>
      <c r="AE356" s="88"/>
      <c r="AF356" s="116"/>
      <c r="AG356" s="118"/>
      <c r="AH356" s="116"/>
      <c r="AI356" s="99"/>
      <c r="AJ356" s="99"/>
      <c r="AK356" s="99"/>
      <c r="AU356" s="44"/>
    </row>
    <row r="357" spans="1:47" ht="12" customHeight="1">
      <c r="A357" s="88"/>
      <c r="B357" s="92"/>
      <c r="C357" s="88"/>
      <c r="D357" s="88"/>
      <c r="E357" s="91"/>
      <c r="F357" s="218"/>
      <c r="G357" s="112"/>
      <c r="H357" s="97"/>
      <c r="I357" s="91"/>
      <c r="J357" s="113"/>
      <c r="K357" s="88"/>
      <c r="L357" s="88"/>
      <c r="M357" s="88"/>
      <c r="N357" s="88"/>
      <c r="O357" s="90"/>
      <c r="P357" s="94"/>
      <c r="Q357" s="143"/>
      <c r="R357" s="114"/>
      <c r="S357" s="115"/>
      <c r="T357" s="96"/>
      <c r="U357" s="96"/>
      <c r="V357" s="117"/>
      <c r="W357" s="97"/>
      <c r="X357" s="97"/>
      <c r="Y357" s="97"/>
      <c r="Z357" s="88"/>
      <c r="AA357" s="96"/>
      <c r="AB357" s="88"/>
      <c r="AC357" s="119"/>
      <c r="AD357" s="88"/>
      <c r="AE357" s="88"/>
      <c r="AF357" s="116"/>
      <c r="AG357" s="118"/>
      <c r="AH357" s="116"/>
      <c r="AI357" s="99"/>
      <c r="AJ357" s="99"/>
      <c r="AK357" s="99"/>
      <c r="AU357" s="44"/>
    </row>
    <row r="358" spans="1:47" ht="12" customHeight="1">
      <c r="A358" s="88"/>
      <c r="B358" s="92"/>
      <c r="C358" s="88"/>
      <c r="D358" s="88"/>
      <c r="E358" s="91"/>
      <c r="F358" s="218"/>
      <c r="G358" s="112"/>
      <c r="H358" s="97"/>
      <c r="I358" s="91"/>
      <c r="J358" s="113"/>
      <c r="K358" s="88"/>
      <c r="L358" s="88"/>
      <c r="M358" s="88"/>
      <c r="N358" s="88"/>
      <c r="O358" s="90"/>
      <c r="P358" s="94"/>
      <c r="Q358" s="143"/>
      <c r="R358" s="114"/>
      <c r="S358" s="115"/>
      <c r="T358" s="96"/>
      <c r="U358" s="96"/>
      <c r="V358" s="117"/>
      <c r="W358" s="97"/>
      <c r="X358" s="97"/>
      <c r="Y358" s="97"/>
      <c r="Z358" s="88"/>
      <c r="AA358" s="96"/>
      <c r="AB358" s="88"/>
      <c r="AC358" s="119"/>
      <c r="AD358" s="88"/>
      <c r="AE358" s="88"/>
      <c r="AF358" s="116"/>
      <c r="AG358" s="118"/>
      <c r="AH358" s="116"/>
      <c r="AI358" s="99"/>
      <c r="AJ358" s="99"/>
      <c r="AK358" s="99"/>
      <c r="AU358" s="44"/>
    </row>
    <row r="359" spans="1:47" ht="12" customHeight="1">
      <c r="A359" s="88"/>
      <c r="B359" s="92"/>
      <c r="C359" s="88"/>
      <c r="D359" s="88"/>
      <c r="E359" s="91"/>
      <c r="F359" s="218"/>
      <c r="G359" s="112"/>
      <c r="H359" s="97"/>
      <c r="I359" s="91"/>
      <c r="J359" s="113"/>
      <c r="K359" s="88"/>
      <c r="L359" s="88"/>
      <c r="M359" s="88"/>
      <c r="N359" s="88"/>
      <c r="O359" s="90"/>
      <c r="P359" s="94"/>
      <c r="Q359" s="143"/>
      <c r="R359" s="114"/>
      <c r="S359" s="115"/>
      <c r="T359" s="96"/>
      <c r="U359" s="96"/>
      <c r="V359" s="117"/>
      <c r="W359" s="97"/>
      <c r="X359" s="97"/>
      <c r="Y359" s="97"/>
      <c r="Z359" s="88"/>
      <c r="AA359" s="96"/>
      <c r="AB359" s="88"/>
      <c r="AC359" s="119"/>
      <c r="AD359" s="88"/>
      <c r="AE359" s="88"/>
      <c r="AF359" s="116"/>
      <c r="AG359" s="118"/>
      <c r="AH359" s="116"/>
      <c r="AI359" s="99"/>
      <c r="AJ359" s="99"/>
      <c r="AK359" s="99"/>
      <c r="AU359" s="44"/>
    </row>
    <row r="360" spans="1:47" ht="12" customHeight="1">
      <c r="A360" s="88"/>
      <c r="B360" s="92"/>
      <c r="C360" s="88"/>
      <c r="D360" s="88"/>
      <c r="E360" s="91"/>
      <c r="F360" s="218"/>
      <c r="G360" s="112"/>
      <c r="H360" s="97"/>
      <c r="I360" s="91"/>
      <c r="J360" s="113"/>
      <c r="K360" s="88"/>
      <c r="L360" s="88"/>
      <c r="M360" s="88"/>
      <c r="N360" s="88"/>
      <c r="O360" s="90"/>
      <c r="P360" s="94"/>
      <c r="Q360" s="143"/>
      <c r="R360" s="114"/>
      <c r="S360" s="115"/>
      <c r="T360" s="96"/>
      <c r="U360" s="96"/>
      <c r="V360" s="117"/>
      <c r="W360" s="97"/>
      <c r="X360" s="97"/>
      <c r="Y360" s="97"/>
      <c r="Z360" s="88"/>
      <c r="AA360" s="96"/>
      <c r="AB360" s="88"/>
      <c r="AC360" s="119"/>
      <c r="AD360" s="88"/>
      <c r="AE360" s="88"/>
      <c r="AF360" s="116"/>
      <c r="AG360" s="118"/>
      <c r="AH360" s="116"/>
      <c r="AI360" s="99"/>
      <c r="AJ360" s="99"/>
      <c r="AK360" s="99"/>
      <c r="AU360" s="44"/>
    </row>
    <row r="361" spans="1:47" ht="12" customHeight="1">
      <c r="A361" s="88"/>
      <c r="B361" s="92"/>
      <c r="C361" s="88"/>
      <c r="D361" s="88"/>
      <c r="E361" s="91"/>
      <c r="F361" s="218"/>
      <c r="G361" s="112"/>
      <c r="H361" s="97"/>
      <c r="I361" s="91"/>
      <c r="J361" s="113"/>
      <c r="K361" s="88"/>
      <c r="L361" s="88"/>
      <c r="M361" s="88"/>
      <c r="N361" s="88"/>
      <c r="O361" s="90"/>
      <c r="P361" s="94"/>
      <c r="Q361" s="143"/>
      <c r="R361" s="114"/>
      <c r="S361" s="115"/>
      <c r="T361" s="96"/>
      <c r="U361" s="96"/>
      <c r="V361" s="117"/>
      <c r="W361" s="97"/>
      <c r="X361" s="97"/>
      <c r="Y361" s="97"/>
      <c r="Z361" s="88"/>
      <c r="AA361" s="96"/>
      <c r="AB361" s="88"/>
      <c r="AC361" s="119"/>
      <c r="AD361" s="88"/>
      <c r="AE361" s="88"/>
      <c r="AF361" s="116"/>
      <c r="AG361" s="116"/>
      <c r="AH361" s="116"/>
      <c r="AI361" s="99"/>
      <c r="AJ361" s="99"/>
      <c r="AK361" s="99"/>
      <c r="AU361" s="44"/>
    </row>
    <row r="362" spans="1:47" ht="12" customHeight="1">
      <c r="A362" s="88"/>
      <c r="B362" s="92"/>
      <c r="C362" s="88"/>
      <c r="D362" s="88"/>
      <c r="E362" s="91"/>
      <c r="F362" s="218"/>
      <c r="G362" s="112"/>
      <c r="H362" s="97"/>
      <c r="I362" s="91"/>
      <c r="J362" s="113"/>
      <c r="K362" s="88"/>
      <c r="L362" s="88"/>
      <c r="M362" s="88"/>
      <c r="N362" s="88"/>
      <c r="O362" s="90"/>
      <c r="P362" s="94"/>
      <c r="Q362" s="143"/>
      <c r="R362" s="114"/>
      <c r="S362" s="115"/>
      <c r="T362" s="96"/>
      <c r="U362" s="96"/>
      <c r="V362" s="117"/>
      <c r="W362" s="97"/>
      <c r="X362" s="97"/>
      <c r="Y362" s="97"/>
      <c r="Z362" s="88"/>
      <c r="AA362" s="96"/>
      <c r="AB362" s="88"/>
      <c r="AC362" s="119"/>
      <c r="AD362" s="88"/>
      <c r="AE362" s="88"/>
      <c r="AF362" s="116"/>
      <c r="AG362" s="116"/>
      <c r="AH362" s="116"/>
      <c r="AI362" s="99"/>
      <c r="AJ362" s="99"/>
      <c r="AK362" s="99"/>
      <c r="AU362" s="44"/>
    </row>
    <row r="363" spans="1:47" ht="12" customHeight="1">
      <c r="A363" s="88"/>
      <c r="B363" s="92"/>
      <c r="C363" s="88"/>
      <c r="D363" s="88"/>
      <c r="E363" s="91"/>
      <c r="F363" s="218"/>
      <c r="G363" s="112"/>
      <c r="H363" s="97"/>
      <c r="I363" s="91"/>
      <c r="J363" s="113"/>
      <c r="K363" s="88"/>
      <c r="L363" s="88"/>
      <c r="M363" s="88"/>
      <c r="N363" s="88"/>
      <c r="O363" s="90"/>
      <c r="P363" s="94"/>
      <c r="Q363" s="143"/>
      <c r="R363" s="114"/>
      <c r="S363" s="115"/>
      <c r="T363" s="96"/>
      <c r="U363" s="96"/>
      <c r="V363" s="117"/>
      <c r="W363" s="97"/>
      <c r="X363" s="97"/>
      <c r="Y363" s="97"/>
      <c r="Z363" s="88"/>
      <c r="AA363" s="96"/>
      <c r="AB363" s="88"/>
      <c r="AC363" s="119"/>
      <c r="AD363" s="88"/>
      <c r="AE363" s="88"/>
      <c r="AF363" s="116"/>
      <c r="AG363" s="116"/>
      <c r="AH363" s="116"/>
      <c r="AI363" s="99"/>
      <c r="AJ363" s="99"/>
      <c r="AK363" s="99"/>
      <c r="AU363" s="44"/>
    </row>
    <row r="364" spans="1:47" ht="12" customHeight="1">
      <c r="A364" s="88"/>
      <c r="B364" s="92"/>
      <c r="C364" s="88"/>
      <c r="D364" s="88"/>
      <c r="E364" s="91"/>
      <c r="F364" s="218"/>
      <c r="G364" s="112"/>
      <c r="H364" s="97"/>
      <c r="I364" s="91"/>
      <c r="J364" s="113"/>
      <c r="K364" s="88"/>
      <c r="L364" s="88"/>
      <c r="M364" s="88"/>
      <c r="N364" s="88"/>
      <c r="O364" s="90"/>
      <c r="P364" s="94"/>
      <c r="Q364" s="143"/>
      <c r="R364" s="120"/>
      <c r="S364" s="115"/>
      <c r="T364" s="96"/>
      <c r="U364" s="96"/>
      <c r="V364" s="117"/>
      <c r="W364" s="97"/>
      <c r="X364" s="97"/>
      <c r="Y364" s="97"/>
      <c r="Z364" s="88"/>
      <c r="AA364" s="96"/>
      <c r="AB364" s="88"/>
      <c r="AC364" s="119"/>
      <c r="AD364" s="88"/>
      <c r="AE364" s="88"/>
      <c r="AF364" s="116"/>
      <c r="AG364" s="118"/>
      <c r="AH364" s="116"/>
      <c r="AI364" s="99"/>
      <c r="AJ364" s="99"/>
      <c r="AK364" s="99"/>
      <c r="AU364" s="44"/>
    </row>
    <row r="365" spans="1:47" ht="12" customHeight="1">
      <c r="A365" s="88"/>
      <c r="B365" s="92"/>
      <c r="C365" s="88"/>
      <c r="D365" s="88"/>
      <c r="E365" s="91"/>
      <c r="F365" s="218"/>
      <c r="G365" s="112"/>
      <c r="H365" s="97"/>
      <c r="I365" s="91"/>
      <c r="J365" s="113"/>
      <c r="K365" s="88"/>
      <c r="L365" s="88"/>
      <c r="M365" s="88"/>
      <c r="N365" s="88"/>
      <c r="O365" s="90"/>
      <c r="P365" s="94"/>
      <c r="Q365" s="143"/>
      <c r="R365" s="114"/>
      <c r="S365" s="115"/>
      <c r="T365" s="96"/>
      <c r="U365" s="96"/>
      <c r="V365" s="117"/>
      <c r="W365" s="97"/>
      <c r="X365" s="97"/>
      <c r="Y365" s="97"/>
      <c r="Z365" s="88"/>
      <c r="AA365" s="96"/>
      <c r="AB365" s="88"/>
      <c r="AC365" s="119"/>
      <c r="AD365" s="88"/>
      <c r="AE365" s="88"/>
      <c r="AF365" s="116"/>
      <c r="AG365" s="116"/>
      <c r="AH365" s="116"/>
      <c r="AI365" s="99"/>
      <c r="AJ365" s="99"/>
      <c r="AK365" s="99"/>
      <c r="AU365" s="44"/>
    </row>
    <row r="366" spans="1:47" ht="12" customHeight="1">
      <c r="A366" s="88"/>
      <c r="B366" s="92"/>
      <c r="C366" s="88"/>
      <c r="D366" s="88"/>
      <c r="E366" s="91"/>
      <c r="F366" s="218"/>
      <c r="G366" s="112"/>
      <c r="H366" s="97"/>
      <c r="I366" s="91"/>
      <c r="J366" s="113"/>
      <c r="K366" s="88"/>
      <c r="L366" s="88"/>
      <c r="M366" s="88"/>
      <c r="N366" s="88"/>
      <c r="O366" s="90"/>
      <c r="P366" s="94"/>
      <c r="Q366" s="143"/>
      <c r="R366" s="114"/>
      <c r="S366" s="115"/>
      <c r="T366" s="96"/>
      <c r="U366" s="96"/>
      <c r="V366" s="117"/>
      <c r="W366" s="97"/>
      <c r="X366" s="97"/>
      <c r="Y366" s="97"/>
      <c r="Z366" s="88"/>
      <c r="AA366" s="96"/>
      <c r="AB366" s="88"/>
      <c r="AC366" s="119"/>
      <c r="AD366" s="88"/>
      <c r="AE366" s="88"/>
      <c r="AF366" s="116"/>
      <c r="AG366" s="118"/>
      <c r="AH366" s="116"/>
      <c r="AI366" s="99"/>
      <c r="AJ366" s="99"/>
      <c r="AK366" s="99"/>
      <c r="AU366" s="44"/>
    </row>
    <row r="367" spans="1:47" ht="12" customHeight="1">
      <c r="A367" s="88"/>
      <c r="B367" s="92"/>
      <c r="C367" s="88"/>
      <c r="D367" s="88"/>
      <c r="E367" s="91"/>
      <c r="F367" s="218"/>
      <c r="G367" s="112"/>
      <c r="H367" s="97"/>
      <c r="I367" s="91"/>
      <c r="J367" s="113"/>
      <c r="K367" s="88"/>
      <c r="L367" s="88"/>
      <c r="M367" s="88"/>
      <c r="N367" s="88"/>
      <c r="O367" s="90"/>
      <c r="P367" s="94"/>
      <c r="Q367" s="143"/>
      <c r="R367" s="114"/>
      <c r="S367" s="115"/>
      <c r="T367" s="96"/>
      <c r="U367" s="96"/>
      <c r="V367" s="117"/>
      <c r="W367" s="97"/>
      <c r="X367" s="97"/>
      <c r="Y367" s="97"/>
      <c r="Z367" s="88"/>
      <c r="AA367" s="96"/>
      <c r="AB367" s="88"/>
      <c r="AC367" s="119"/>
      <c r="AD367" s="88"/>
      <c r="AE367" s="88"/>
      <c r="AF367" s="116"/>
      <c r="AG367" s="118"/>
      <c r="AH367" s="116"/>
      <c r="AI367" s="99"/>
      <c r="AJ367" s="99"/>
      <c r="AK367" s="99"/>
      <c r="AU367" s="44"/>
    </row>
    <row r="368" spans="1:47" ht="12" customHeight="1">
      <c r="A368" s="88"/>
      <c r="B368" s="92"/>
      <c r="C368" s="88"/>
      <c r="D368" s="88"/>
      <c r="E368" s="91"/>
      <c r="F368" s="218"/>
      <c r="G368" s="112"/>
      <c r="H368" s="97"/>
      <c r="I368" s="91"/>
      <c r="J368" s="113"/>
      <c r="K368" s="88"/>
      <c r="L368" s="88"/>
      <c r="M368" s="88"/>
      <c r="N368" s="88"/>
      <c r="O368" s="90"/>
      <c r="P368" s="94"/>
      <c r="Q368" s="143"/>
      <c r="R368" s="114"/>
      <c r="S368" s="115"/>
      <c r="T368" s="96"/>
      <c r="U368" s="96"/>
      <c r="V368" s="117"/>
      <c r="W368" s="97"/>
      <c r="X368" s="97"/>
      <c r="Y368" s="97"/>
      <c r="Z368" s="88"/>
      <c r="AA368" s="96"/>
      <c r="AB368" s="88"/>
      <c r="AC368" s="119"/>
      <c r="AD368" s="88"/>
      <c r="AE368" s="88"/>
      <c r="AF368" s="116"/>
      <c r="AG368" s="116"/>
      <c r="AH368" s="116"/>
      <c r="AI368" s="99"/>
      <c r="AJ368" s="99"/>
      <c r="AK368" s="99"/>
      <c r="AU368" s="44"/>
    </row>
    <row r="369" spans="1:47" ht="12" customHeight="1">
      <c r="A369" s="88"/>
      <c r="B369" s="195"/>
      <c r="C369" s="88"/>
      <c r="D369" s="88"/>
      <c r="E369" s="91"/>
      <c r="F369" s="218"/>
      <c r="G369" s="112"/>
      <c r="H369" s="97"/>
      <c r="I369" s="91"/>
      <c r="J369" s="113"/>
      <c r="K369" s="88"/>
      <c r="L369" s="88"/>
      <c r="M369" s="88"/>
      <c r="N369" s="88"/>
      <c r="O369" s="90"/>
      <c r="P369" s="94"/>
      <c r="Q369" s="143"/>
      <c r="R369" s="114"/>
      <c r="S369" s="115"/>
      <c r="T369" s="96"/>
      <c r="U369" s="96"/>
      <c r="V369" s="117"/>
      <c r="W369" s="97"/>
      <c r="X369" s="97"/>
      <c r="Y369" s="97"/>
      <c r="Z369" s="88"/>
      <c r="AA369" s="96"/>
      <c r="AB369" s="88"/>
      <c r="AC369" s="119"/>
      <c r="AD369" s="88"/>
      <c r="AE369" s="88"/>
      <c r="AF369" s="116"/>
      <c r="AG369" s="118"/>
      <c r="AH369" s="116"/>
      <c r="AI369" s="99"/>
      <c r="AJ369" s="99"/>
      <c r="AK369" s="99"/>
      <c r="AU369" s="44"/>
    </row>
    <row r="370" spans="1:47" ht="12" customHeight="1">
      <c r="A370" s="88"/>
      <c r="B370" s="195"/>
      <c r="C370" s="88"/>
      <c r="D370" s="88"/>
      <c r="E370" s="91"/>
      <c r="F370" s="218"/>
      <c r="G370" s="90"/>
      <c r="H370" s="97"/>
      <c r="I370" s="91"/>
      <c r="J370" s="113"/>
      <c r="K370" s="88"/>
      <c r="L370" s="88"/>
      <c r="M370" s="88"/>
      <c r="N370" s="88"/>
      <c r="O370" s="90"/>
      <c r="P370" s="94"/>
      <c r="Q370" s="143"/>
      <c r="R370" s="114"/>
      <c r="S370" s="115"/>
      <c r="T370" s="96"/>
      <c r="U370" s="96"/>
      <c r="V370" s="117"/>
      <c r="W370" s="97"/>
      <c r="X370" s="97"/>
      <c r="Y370" s="97"/>
      <c r="Z370" s="88"/>
      <c r="AA370" s="96"/>
      <c r="AB370" s="88"/>
      <c r="AC370" s="119"/>
      <c r="AD370" s="88"/>
      <c r="AE370" s="88"/>
      <c r="AF370" s="116"/>
      <c r="AG370" s="118"/>
      <c r="AH370" s="116"/>
      <c r="AI370" s="99"/>
      <c r="AJ370" s="99"/>
      <c r="AK370" s="99"/>
      <c r="AU370" s="44"/>
    </row>
    <row r="371" spans="1:47" ht="12" customHeight="1">
      <c r="A371" s="88"/>
      <c r="B371" s="195"/>
      <c r="C371" s="88"/>
      <c r="D371" s="88"/>
      <c r="E371" s="91"/>
      <c r="F371" s="218"/>
      <c r="G371" s="112"/>
      <c r="H371" s="97"/>
      <c r="I371" s="91"/>
      <c r="J371" s="113"/>
      <c r="K371" s="88"/>
      <c r="L371" s="88"/>
      <c r="M371" s="88"/>
      <c r="N371" s="88"/>
      <c r="O371" s="90"/>
      <c r="P371" s="94"/>
      <c r="Q371" s="143"/>
      <c r="R371" s="114"/>
      <c r="S371" s="115"/>
      <c r="T371" s="96"/>
      <c r="U371" s="96"/>
      <c r="V371" s="117"/>
      <c r="W371" s="97"/>
      <c r="X371" s="97"/>
      <c r="Y371" s="97"/>
      <c r="Z371" s="88"/>
      <c r="AA371" s="96"/>
      <c r="AB371" s="88"/>
      <c r="AC371" s="119"/>
      <c r="AD371" s="88"/>
      <c r="AE371" s="88"/>
      <c r="AF371" s="116"/>
      <c r="AG371" s="118"/>
      <c r="AH371" s="116"/>
      <c r="AI371" s="99"/>
      <c r="AJ371" s="99"/>
      <c r="AK371" s="99"/>
      <c r="AU371" s="44"/>
    </row>
    <row r="372" spans="1:47" ht="12" customHeight="1">
      <c r="A372" s="88"/>
      <c r="B372" s="195"/>
      <c r="C372" s="88"/>
      <c r="D372" s="88"/>
      <c r="E372" s="91"/>
      <c r="F372" s="218"/>
      <c r="G372" s="112"/>
      <c r="H372" s="97"/>
      <c r="I372" s="91"/>
      <c r="J372" s="113"/>
      <c r="K372" s="88"/>
      <c r="L372" s="88"/>
      <c r="M372" s="88"/>
      <c r="N372" s="88"/>
      <c r="O372" s="90"/>
      <c r="P372" s="94"/>
      <c r="Q372" s="143"/>
      <c r="R372" s="114"/>
      <c r="S372" s="115"/>
      <c r="T372" s="96"/>
      <c r="U372" s="96"/>
      <c r="V372" s="117"/>
      <c r="W372" s="97"/>
      <c r="X372" s="97"/>
      <c r="Y372" s="97"/>
      <c r="Z372" s="88"/>
      <c r="AA372" s="96"/>
      <c r="AB372" s="88"/>
      <c r="AC372" s="119"/>
      <c r="AD372" s="88"/>
      <c r="AE372" s="88"/>
      <c r="AF372" s="116"/>
      <c r="AG372" s="118"/>
      <c r="AH372" s="116"/>
      <c r="AI372" s="99"/>
      <c r="AJ372" s="99"/>
      <c r="AK372" s="99"/>
      <c r="AU372" s="44"/>
    </row>
    <row r="373" spans="1:47" ht="12" customHeight="1">
      <c r="A373" s="88"/>
      <c r="B373" s="195"/>
      <c r="C373" s="88"/>
      <c r="D373" s="88"/>
      <c r="E373" s="91"/>
      <c r="F373" s="218"/>
      <c r="G373" s="112"/>
      <c r="H373" s="97"/>
      <c r="I373" s="91"/>
      <c r="J373" s="113"/>
      <c r="K373" s="88"/>
      <c r="L373" s="88"/>
      <c r="M373" s="88"/>
      <c r="N373" s="88"/>
      <c r="O373" s="90"/>
      <c r="P373" s="94"/>
      <c r="Q373" s="143"/>
      <c r="R373" s="114"/>
      <c r="S373" s="115"/>
      <c r="T373" s="96"/>
      <c r="U373" s="96"/>
      <c r="V373" s="117"/>
      <c r="W373" s="97"/>
      <c r="X373" s="97"/>
      <c r="Y373" s="97"/>
      <c r="Z373" s="88"/>
      <c r="AA373" s="96"/>
      <c r="AB373" s="88"/>
      <c r="AC373" s="119"/>
      <c r="AD373" s="88"/>
      <c r="AE373" s="88"/>
      <c r="AF373" s="116"/>
      <c r="AG373" s="118"/>
      <c r="AH373" s="116"/>
      <c r="AI373" s="99"/>
      <c r="AJ373" s="99"/>
      <c r="AK373" s="99"/>
      <c r="AU373" s="44"/>
    </row>
    <row r="374" spans="1:47" ht="12" customHeight="1">
      <c r="A374" s="88"/>
      <c r="B374" s="195"/>
      <c r="C374" s="88"/>
      <c r="D374" s="88"/>
      <c r="E374" s="91"/>
      <c r="F374" s="218"/>
      <c r="G374" s="112"/>
      <c r="H374" s="97"/>
      <c r="I374" s="91"/>
      <c r="J374" s="113"/>
      <c r="K374" s="88"/>
      <c r="L374" s="88"/>
      <c r="M374" s="88"/>
      <c r="N374" s="88"/>
      <c r="O374" s="90"/>
      <c r="P374" s="94"/>
      <c r="Q374" s="143"/>
      <c r="R374" s="114"/>
      <c r="S374" s="115"/>
      <c r="T374" s="96"/>
      <c r="U374" s="96"/>
      <c r="V374" s="117"/>
      <c r="W374" s="97"/>
      <c r="X374" s="97"/>
      <c r="Y374" s="97"/>
      <c r="Z374" s="88"/>
      <c r="AA374" s="96"/>
      <c r="AB374" s="88"/>
      <c r="AC374" s="119"/>
      <c r="AD374" s="88"/>
      <c r="AE374" s="88"/>
      <c r="AF374" s="116"/>
      <c r="AG374" s="118"/>
      <c r="AH374" s="116"/>
      <c r="AI374" s="99"/>
      <c r="AJ374" s="99"/>
      <c r="AK374" s="99"/>
      <c r="AU374" s="44"/>
    </row>
    <row r="375" spans="1:47" ht="12" customHeight="1">
      <c r="A375" s="88"/>
      <c r="B375" s="195"/>
      <c r="C375" s="88"/>
      <c r="D375" s="88"/>
      <c r="E375" s="91"/>
      <c r="F375" s="218"/>
      <c r="G375" s="112"/>
      <c r="H375" s="97"/>
      <c r="I375" s="91"/>
      <c r="J375" s="113"/>
      <c r="K375" s="88"/>
      <c r="L375" s="88"/>
      <c r="M375" s="88"/>
      <c r="N375" s="88"/>
      <c r="O375" s="90"/>
      <c r="P375" s="94"/>
      <c r="Q375" s="143"/>
      <c r="R375" s="114"/>
      <c r="S375" s="115"/>
      <c r="T375" s="96"/>
      <c r="U375" s="96"/>
      <c r="V375" s="117"/>
      <c r="W375" s="97"/>
      <c r="X375" s="97"/>
      <c r="Y375" s="97"/>
      <c r="Z375" s="88"/>
      <c r="AA375" s="96"/>
      <c r="AB375" s="88"/>
      <c r="AC375" s="119"/>
      <c r="AD375" s="88"/>
      <c r="AE375" s="88"/>
      <c r="AF375" s="116"/>
      <c r="AG375" s="118"/>
      <c r="AH375" s="116"/>
      <c r="AI375" s="99"/>
      <c r="AJ375" s="99"/>
      <c r="AK375" s="99"/>
      <c r="AU375" s="44"/>
    </row>
    <row r="376" spans="1:47" ht="12" customHeight="1">
      <c r="A376" s="88"/>
      <c r="B376" s="195"/>
      <c r="C376" s="88"/>
      <c r="D376" s="88"/>
      <c r="E376" s="91"/>
      <c r="F376" s="218"/>
      <c r="G376" s="112"/>
      <c r="H376" s="97"/>
      <c r="I376" s="91"/>
      <c r="J376" s="113"/>
      <c r="K376" s="88"/>
      <c r="L376" s="88"/>
      <c r="M376" s="88"/>
      <c r="N376" s="88"/>
      <c r="O376" s="90"/>
      <c r="P376" s="94"/>
      <c r="Q376" s="143"/>
      <c r="R376" s="114"/>
      <c r="S376" s="115"/>
      <c r="T376" s="96"/>
      <c r="U376" s="96"/>
      <c r="V376" s="117"/>
      <c r="W376" s="97"/>
      <c r="X376" s="97"/>
      <c r="Y376" s="97"/>
      <c r="Z376" s="88"/>
      <c r="AA376" s="96"/>
      <c r="AB376" s="88"/>
      <c r="AC376" s="119"/>
      <c r="AD376" s="88"/>
      <c r="AE376" s="88"/>
      <c r="AF376" s="116"/>
      <c r="AG376" s="118"/>
      <c r="AH376" s="116"/>
      <c r="AI376" s="99"/>
      <c r="AJ376" s="99"/>
      <c r="AK376" s="99"/>
      <c r="AU376" s="44"/>
    </row>
    <row r="377" spans="1:47" ht="12" customHeight="1">
      <c r="A377" s="88"/>
      <c r="B377" s="195"/>
      <c r="C377" s="88"/>
      <c r="D377" s="88"/>
      <c r="E377" s="91"/>
      <c r="F377" s="218"/>
      <c r="G377" s="112"/>
      <c r="H377" s="97"/>
      <c r="I377" s="91"/>
      <c r="J377" s="113"/>
      <c r="K377" s="88"/>
      <c r="L377" s="88"/>
      <c r="M377" s="88"/>
      <c r="N377" s="88"/>
      <c r="O377" s="90"/>
      <c r="P377" s="94"/>
      <c r="Q377" s="143"/>
      <c r="R377" s="114"/>
      <c r="S377" s="115"/>
      <c r="T377" s="96"/>
      <c r="U377" s="96"/>
      <c r="V377" s="117"/>
      <c r="W377" s="97"/>
      <c r="X377" s="97"/>
      <c r="Y377" s="97"/>
      <c r="Z377" s="88"/>
      <c r="AA377" s="96"/>
      <c r="AB377" s="88"/>
      <c r="AC377" s="119"/>
      <c r="AD377" s="88"/>
      <c r="AE377" s="88"/>
      <c r="AF377" s="116"/>
      <c r="AG377" s="118"/>
      <c r="AH377" s="116"/>
      <c r="AI377" s="99"/>
      <c r="AJ377" s="99"/>
      <c r="AK377" s="99"/>
      <c r="AU377" s="44"/>
    </row>
    <row r="378" spans="1:47" ht="12" customHeight="1">
      <c r="A378" s="88"/>
      <c r="B378" s="195"/>
      <c r="C378" s="88"/>
      <c r="D378" s="88"/>
      <c r="E378" s="91"/>
      <c r="F378" s="218"/>
      <c r="G378" s="112"/>
      <c r="H378" s="97"/>
      <c r="I378" s="91"/>
      <c r="J378" s="113"/>
      <c r="K378" s="88"/>
      <c r="L378" s="88"/>
      <c r="M378" s="88"/>
      <c r="N378" s="88"/>
      <c r="O378" s="90"/>
      <c r="P378" s="94"/>
      <c r="Q378" s="143"/>
      <c r="R378" s="114"/>
      <c r="S378" s="115"/>
      <c r="T378" s="96"/>
      <c r="U378" s="96"/>
      <c r="V378" s="117"/>
      <c r="W378" s="97"/>
      <c r="X378" s="97"/>
      <c r="Y378" s="97"/>
      <c r="Z378" s="88"/>
      <c r="AA378" s="96"/>
      <c r="AB378" s="88"/>
      <c r="AC378" s="119"/>
      <c r="AD378" s="88"/>
      <c r="AE378" s="88"/>
      <c r="AF378" s="116"/>
      <c r="AG378" s="118"/>
      <c r="AH378" s="116"/>
      <c r="AI378" s="99"/>
      <c r="AJ378" s="99"/>
      <c r="AK378" s="99"/>
      <c r="AU378" s="44"/>
    </row>
    <row r="379" spans="1:47" ht="12" customHeight="1">
      <c r="A379" s="88"/>
      <c r="B379" s="195"/>
      <c r="C379" s="88"/>
      <c r="D379" s="88"/>
      <c r="E379" s="91"/>
      <c r="F379" s="218"/>
      <c r="G379" s="112"/>
      <c r="H379" s="97"/>
      <c r="I379" s="91"/>
      <c r="J379" s="113"/>
      <c r="K379" s="88"/>
      <c r="L379" s="88"/>
      <c r="M379" s="88"/>
      <c r="N379" s="88"/>
      <c r="O379" s="90"/>
      <c r="P379" s="94"/>
      <c r="Q379" s="143"/>
      <c r="R379" s="114"/>
      <c r="S379" s="115"/>
      <c r="T379" s="96"/>
      <c r="U379" s="96"/>
      <c r="V379" s="117"/>
      <c r="W379" s="97"/>
      <c r="X379" s="97"/>
      <c r="Y379" s="97"/>
      <c r="Z379" s="88"/>
      <c r="AA379" s="96"/>
      <c r="AB379" s="88"/>
      <c r="AC379" s="119"/>
      <c r="AD379" s="88"/>
      <c r="AE379" s="88"/>
      <c r="AF379" s="116"/>
      <c r="AG379" s="116"/>
      <c r="AH379" s="116"/>
      <c r="AI379" s="99"/>
      <c r="AJ379" s="99"/>
      <c r="AK379" s="99"/>
      <c r="AU379" s="44"/>
    </row>
    <row r="380" spans="1:47" ht="12" customHeight="1">
      <c r="A380" s="88"/>
      <c r="B380" s="195"/>
      <c r="C380" s="88"/>
      <c r="D380" s="88"/>
      <c r="E380" s="91"/>
      <c r="F380" s="218"/>
      <c r="G380" s="112"/>
      <c r="H380" s="97"/>
      <c r="I380" s="91"/>
      <c r="J380" s="113"/>
      <c r="K380" s="88"/>
      <c r="L380" s="88"/>
      <c r="M380" s="88"/>
      <c r="N380" s="88"/>
      <c r="O380" s="90"/>
      <c r="P380" s="94"/>
      <c r="Q380" s="143"/>
      <c r="R380" s="114"/>
      <c r="S380" s="115"/>
      <c r="T380" s="96"/>
      <c r="U380" s="96"/>
      <c r="V380" s="117"/>
      <c r="W380" s="97"/>
      <c r="X380" s="97"/>
      <c r="Y380" s="97"/>
      <c r="Z380" s="88"/>
      <c r="AA380" s="96"/>
      <c r="AB380" s="88"/>
      <c r="AC380" s="119"/>
      <c r="AD380" s="88"/>
      <c r="AE380" s="88"/>
      <c r="AF380" s="116"/>
      <c r="AG380" s="116"/>
      <c r="AH380" s="116"/>
      <c r="AI380" s="99"/>
      <c r="AJ380" s="99"/>
      <c r="AK380" s="99"/>
      <c r="AU380" s="44"/>
    </row>
    <row r="381" spans="1:47" ht="12" customHeight="1">
      <c r="A381" s="88"/>
      <c r="B381" s="195"/>
      <c r="C381" s="88"/>
      <c r="D381" s="88"/>
      <c r="E381" s="91"/>
      <c r="F381" s="218"/>
      <c r="G381" s="112"/>
      <c r="H381" s="97"/>
      <c r="I381" s="91"/>
      <c r="J381" s="113"/>
      <c r="K381" s="88"/>
      <c r="L381" s="88"/>
      <c r="M381" s="88"/>
      <c r="N381" s="88"/>
      <c r="O381" s="90"/>
      <c r="P381" s="94"/>
      <c r="Q381" s="143"/>
      <c r="R381" s="114"/>
      <c r="S381" s="115"/>
      <c r="T381" s="96"/>
      <c r="U381" s="96"/>
      <c r="V381" s="97"/>
      <c r="W381" s="97"/>
      <c r="X381" s="97"/>
      <c r="Y381" s="97"/>
      <c r="Z381" s="88"/>
      <c r="AA381" s="96"/>
      <c r="AB381" s="88"/>
      <c r="AC381" s="119"/>
      <c r="AD381" s="88"/>
      <c r="AE381" s="88"/>
      <c r="AF381" s="116"/>
      <c r="AG381" s="116"/>
      <c r="AH381" s="116"/>
      <c r="AI381" s="99"/>
      <c r="AJ381" s="99"/>
      <c r="AK381" s="99"/>
      <c r="AU381" s="44"/>
    </row>
    <row r="382" spans="1:47" ht="12" customHeight="1">
      <c r="A382" s="88"/>
      <c r="B382" s="195"/>
      <c r="C382" s="88"/>
      <c r="D382" s="88"/>
      <c r="E382" s="91"/>
      <c r="F382" s="218"/>
      <c r="G382" s="112"/>
      <c r="H382" s="97"/>
      <c r="I382" s="91"/>
      <c r="J382" s="113"/>
      <c r="K382" s="88"/>
      <c r="L382" s="88"/>
      <c r="M382" s="88"/>
      <c r="N382" s="88"/>
      <c r="O382" s="90"/>
      <c r="P382" s="94"/>
      <c r="Q382" s="143"/>
      <c r="R382" s="114"/>
      <c r="S382" s="115"/>
      <c r="T382" s="96"/>
      <c r="U382" s="96"/>
      <c r="V382" s="97"/>
      <c r="W382" s="97"/>
      <c r="X382" s="97"/>
      <c r="Y382" s="97"/>
      <c r="Z382" s="88"/>
      <c r="AA382" s="96"/>
      <c r="AB382" s="88"/>
      <c r="AC382" s="119"/>
      <c r="AD382" s="88"/>
      <c r="AE382" s="88"/>
      <c r="AF382" s="116"/>
      <c r="AG382" s="116"/>
      <c r="AH382" s="116"/>
      <c r="AI382" s="99"/>
      <c r="AJ382" s="99"/>
      <c r="AK382" s="99"/>
      <c r="AU382" s="44"/>
    </row>
    <row r="383" spans="1:47" ht="12" customHeight="1">
      <c r="A383" s="88"/>
      <c r="B383" s="195"/>
      <c r="C383" s="88"/>
      <c r="D383" s="88"/>
      <c r="E383" s="91"/>
      <c r="F383" s="218"/>
      <c r="G383" s="112"/>
      <c r="H383" s="97"/>
      <c r="I383" s="91"/>
      <c r="J383" s="113"/>
      <c r="K383" s="88"/>
      <c r="L383" s="88"/>
      <c r="M383" s="88"/>
      <c r="N383" s="88"/>
      <c r="O383" s="90"/>
      <c r="P383" s="94"/>
      <c r="Q383" s="143"/>
      <c r="R383" s="114"/>
      <c r="S383" s="115"/>
      <c r="T383" s="96"/>
      <c r="U383" s="96"/>
      <c r="V383" s="97"/>
      <c r="W383" s="97"/>
      <c r="X383" s="97"/>
      <c r="Y383" s="97"/>
      <c r="Z383" s="88"/>
      <c r="AA383" s="96"/>
      <c r="AB383" s="88"/>
      <c r="AC383" s="119"/>
      <c r="AD383" s="88"/>
      <c r="AE383" s="88"/>
      <c r="AF383" s="116"/>
      <c r="AG383" s="116"/>
      <c r="AH383" s="116"/>
      <c r="AI383" s="99"/>
      <c r="AJ383" s="99"/>
      <c r="AK383" s="99"/>
      <c r="AU383" s="44"/>
    </row>
    <row r="384" spans="1:47" ht="12" customHeight="1">
      <c r="A384" s="88"/>
      <c r="B384" s="195"/>
      <c r="C384" s="88"/>
      <c r="D384" s="88"/>
      <c r="E384" s="91"/>
      <c r="F384" s="218"/>
      <c r="G384" s="112"/>
      <c r="H384" s="97"/>
      <c r="I384" s="91"/>
      <c r="J384" s="113"/>
      <c r="K384" s="88"/>
      <c r="L384" s="88"/>
      <c r="M384" s="88"/>
      <c r="N384" s="88"/>
      <c r="O384" s="90"/>
      <c r="P384" s="94"/>
      <c r="Q384" s="143"/>
      <c r="R384" s="114"/>
      <c r="S384" s="115"/>
      <c r="T384" s="96"/>
      <c r="U384" s="96"/>
      <c r="V384" s="97"/>
      <c r="W384" s="97"/>
      <c r="X384" s="97"/>
      <c r="Y384" s="97"/>
      <c r="Z384" s="88"/>
      <c r="AA384" s="96"/>
      <c r="AB384" s="88"/>
      <c r="AC384" s="119"/>
      <c r="AD384" s="88"/>
      <c r="AE384" s="88"/>
      <c r="AF384" s="116"/>
      <c r="AG384" s="116"/>
      <c r="AH384" s="116"/>
      <c r="AI384" s="99"/>
      <c r="AJ384" s="99"/>
      <c r="AK384" s="99"/>
      <c r="AU384" s="44"/>
    </row>
    <row r="385" spans="1:47" ht="12" customHeight="1">
      <c r="A385" s="88"/>
      <c r="B385" s="195"/>
      <c r="C385" s="88"/>
      <c r="D385" s="88"/>
      <c r="E385" s="91"/>
      <c r="F385" s="218"/>
      <c r="G385" s="112"/>
      <c r="H385" s="97"/>
      <c r="I385" s="91"/>
      <c r="J385" s="113"/>
      <c r="K385" s="88"/>
      <c r="L385" s="88"/>
      <c r="M385" s="88"/>
      <c r="N385" s="88"/>
      <c r="O385" s="90"/>
      <c r="P385" s="94"/>
      <c r="Q385" s="143"/>
      <c r="R385" s="114"/>
      <c r="S385" s="115"/>
      <c r="T385" s="96"/>
      <c r="U385" s="96"/>
      <c r="V385" s="97"/>
      <c r="W385" s="97"/>
      <c r="X385" s="97"/>
      <c r="Y385" s="97"/>
      <c r="Z385" s="88"/>
      <c r="AA385" s="96"/>
      <c r="AB385" s="88"/>
      <c r="AC385" s="119"/>
      <c r="AD385" s="88"/>
      <c r="AE385" s="88"/>
      <c r="AF385" s="116"/>
      <c r="AG385" s="116"/>
      <c r="AH385" s="116"/>
      <c r="AI385" s="99"/>
      <c r="AJ385" s="99"/>
      <c r="AK385" s="99"/>
      <c r="AU385" s="44"/>
    </row>
    <row r="386" spans="1:47" ht="12" customHeight="1">
      <c r="A386" s="88"/>
      <c r="B386" s="195"/>
      <c r="C386" s="88"/>
      <c r="D386" s="88"/>
      <c r="E386" s="91"/>
      <c r="F386" s="218"/>
      <c r="G386" s="112"/>
      <c r="H386" s="97"/>
      <c r="I386" s="91"/>
      <c r="J386" s="113"/>
      <c r="K386" s="88"/>
      <c r="L386" s="88"/>
      <c r="M386" s="88"/>
      <c r="N386" s="88"/>
      <c r="O386" s="90"/>
      <c r="P386" s="94"/>
      <c r="Q386" s="143"/>
      <c r="R386" s="114"/>
      <c r="S386" s="115"/>
      <c r="T386" s="96"/>
      <c r="U386" s="96"/>
      <c r="V386" s="97"/>
      <c r="W386" s="97"/>
      <c r="X386" s="97"/>
      <c r="Y386" s="97"/>
      <c r="Z386" s="88"/>
      <c r="AA386" s="96"/>
      <c r="AB386" s="88"/>
      <c r="AC386" s="119"/>
      <c r="AD386" s="88"/>
      <c r="AE386" s="88"/>
      <c r="AF386" s="116"/>
      <c r="AG386" s="116"/>
      <c r="AH386" s="116"/>
      <c r="AI386" s="99"/>
      <c r="AJ386" s="99"/>
      <c r="AK386" s="99"/>
      <c r="AU386" s="44"/>
    </row>
    <row r="387" spans="1:47" ht="12" customHeight="1">
      <c r="A387" s="88"/>
      <c r="B387" s="195"/>
      <c r="C387" s="88"/>
      <c r="D387" s="88"/>
      <c r="E387" s="91"/>
      <c r="F387" s="218"/>
      <c r="G387" s="112"/>
      <c r="H387" s="97"/>
      <c r="I387" s="91"/>
      <c r="J387" s="113"/>
      <c r="K387" s="88"/>
      <c r="L387" s="88"/>
      <c r="M387" s="88"/>
      <c r="N387" s="88"/>
      <c r="O387" s="90"/>
      <c r="P387" s="94"/>
      <c r="Q387" s="143"/>
      <c r="R387" s="114"/>
      <c r="S387" s="115"/>
      <c r="T387" s="96"/>
      <c r="U387" s="96"/>
      <c r="V387" s="97"/>
      <c r="W387" s="97"/>
      <c r="X387" s="97"/>
      <c r="Y387" s="97"/>
      <c r="Z387" s="88"/>
      <c r="AA387" s="96"/>
      <c r="AB387" s="88"/>
      <c r="AC387" s="119"/>
      <c r="AD387" s="88"/>
      <c r="AE387" s="88"/>
      <c r="AF387" s="116"/>
      <c r="AG387" s="116"/>
      <c r="AH387" s="116"/>
      <c r="AI387" s="99"/>
      <c r="AJ387" s="99"/>
      <c r="AK387" s="99"/>
      <c r="AU387" s="44"/>
    </row>
    <row r="388" spans="1:47" ht="12" customHeight="1">
      <c r="A388" s="88"/>
      <c r="B388" s="195"/>
      <c r="C388" s="88"/>
      <c r="D388" s="88"/>
      <c r="E388" s="91"/>
      <c r="F388" s="218"/>
      <c r="G388" s="112"/>
      <c r="H388" s="97"/>
      <c r="I388" s="91"/>
      <c r="J388" s="113"/>
      <c r="K388" s="88"/>
      <c r="L388" s="88"/>
      <c r="M388" s="88"/>
      <c r="N388" s="88"/>
      <c r="O388" s="90"/>
      <c r="P388" s="94"/>
      <c r="Q388" s="143"/>
      <c r="R388" s="114"/>
      <c r="S388" s="115"/>
      <c r="T388" s="96"/>
      <c r="U388" s="96"/>
      <c r="V388" s="97"/>
      <c r="W388" s="97"/>
      <c r="X388" s="97"/>
      <c r="Y388" s="97"/>
      <c r="Z388" s="88"/>
      <c r="AA388" s="96"/>
      <c r="AB388" s="88"/>
      <c r="AC388" s="119"/>
      <c r="AD388" s="88"/>
      <c r="AE388" s="88"/>
      <c r="AF388" s="116"/>
      <c r="AG388" s="116"/>
      <c r="AH388" s="116"/>
      <c r="AI388" s="99"/>
      <c r="AJ388" s="99"/>
      <c r="AK388" s="99"/>
      <c r="AU388" s="44"/>
    </row>
    <row r="389" spans="1:47" ht="12" customHeight="1">
      <c r="A389" s="88"/>
      <c r="B389" s="195"/>
      <c r="C389" s="88"/>
      <c r="D389" s="88"/>
      <c r="E389" s="91"/>
      <c r="F389" s="218"/>
      <c r="G389" s="112"/>
      <c r="H389" s="97"/>
      <c r="I389" s="91"/>
      <c r="J389" s="113"/>
      <c r="K389" s="88"/>
      <c r="L389" s="88"/>
      <c r="M389" s="88"/>
      <c r="N389" s="88"/>
      <c r="O389" s="90"/>
      <c r="P389" s="94"/>
      <c r="Q389" s="143"/>
      <c r="R389" s="114"/>
      <c r="S389" s="115"/>
      <c r="T389" s="96"/>
      <c r="U389" s="96"/>
      <c r="V389" s="97"/>
      <c r="W389" s="97"/>
      <c r="X389" s="97"/>
      <c r="Y389" s="97"/>
      <c r="Z389" s="88"/>
      <c r="AA389" s="96"/>
      <c r="AB389" s="88"/>
      <c r="AC389" s="119"/>
      <c r="AD389" s="88"/>
      <c r="AE389" s="88"/>
      <c r="AF389" s="116"/>
      <c r="AG389" s="116"/>
      <c r="AH389" s="116"/>
      <c r="AI389" s="99"/>
      <c r="AJ389" s="99"/>
      <c r="AK389" s="99"/>
      <c r="AU389" s="44"/>
    </row>
    <row r="390" spans="1:47" ht="12" customHeight="1">
      <c r="A390" s="88"/>
      <c r="B390" s="195"/>
      <c r="C390" s="88"/>
      <c r="D390" s="88"/>
      <c r="E390" s="91"/>
      <c r="F390" s="218"/>
      <c r="G390" s="112"/>
      <c r="H390" s="97"/>
      <c r="I390" s="91"/>
      <c r="J390" s="113"/>
      <c r="K390" s="88"/>
      <c r="L390" s="88"/>
      <c r="M390" s="88"/>
      <c r="N390" s="88"/>
      <c r="O390" s="90"/>
      <c r="P390" s="94"/>
      <c r="Q390" s="143"/>
      <c r="R390" s="114"/>
      <c r="S390" s="115"/>
      <c r="T390" s="96"/>
      <c r="U390" s="96"/>
      <c r="V390" s="97"/>
      <c r="W390" s="97"/>
      <c r="X390" s="97"/>
      <c r="Y390" s="97"/>
      <c r="Z390" s="88"/>
      <c r="AA390" s="96"/>
      <c r="AB390" s="88"/>
      <c r="AC390" s="119"/>
      <c r="AD390" s="88"/>
      <c r="AE390" s="88"/>
      <c r="AF390" s="116"/>
      <c r="AG390" s="116"/>
      <c r="AH390" s="116"/>
      <c r="AI390" s="99"/>
      <c r="AJ390" s="99"/>
      <c r="AK390" s="99"/>
      <c r="AU390" s="44"/>
    </row>
    <row r="391" spans="1:47" ht="12" customHeight="1">
      <c r="A391" s="88"/>
      <c r="B391" s="195"/>
      <c r="C391" s="88"/>
      <c r="D391" s="88"/>
      <c r="E391" s="91"/>
      <c r="F391" s="218"/>
      <c r="G391" s="112"/>
      <c r="H391" s="97"/>
      <c r="I391" s="91"/>
      <c r="J391" s="113"/>
      <c r="K391" s="88"/>
      <c r="L391" s="88"/>
      <c r="M391" s="88"/>
      <c r="N391" s="88"/>
      <c r="O391" s="90"/>
      <c r="P391" s="94"/>
      <c r="Q391" s="143"/>
      <c r="R391" s="114"/>
      <c r="S391" s="115"/>
      <c r="T391" s="96"/>
      <c r="U391" s="96"/>
      <c r="V391" s="97"/>
      <c r="W391" s="97"/>
      <c r="X391" s="97"/>
      <c r="Y391" s="97"/>
      <c r="Z391" s="88"/>
      <c r="AA391" s="96"/>
      <c r="AB391" s="88"/>
      <c r="AC391" s="119"/>
      <c r="AD391" s="88"/>
      <c r="AE391" s="88"/>
      <c r="AF391" s="116"/>
      <c r="AG391" s="116"/>
      <c r="AH391" s="116"/>
      <c r="AI391" s="99"/>
      <c r="AJ391" s="99"/>
      <c r="AK391" s="99"/>
      <c r="AU391" s="44"/>
    </row>
    <row r="392" spans="1:47" ht="12" customHeight="1">
      <c r="A392" s="88"/>
      <c r="B392" s="195"/>
      <c r="C392" s="88"/>
      <c r="D392" s="88"/>
      <c r="E392" s="91"/>
      <c r="F392" s="218"/>
      <c r="G392" s="112"/>
      <c r="H392" s="97"/>
      <c r="I392" s="91"/>
      <c r="J392" s="113"/>
      <c r="K392" s="88"/>
      <c r="L392" s="88"/>
      <c r="M392" s="88"/>
      <c r="N392" s="88"/>
      <c r="O392" s="90"/>
      <c r="P392" s="94"/>
      <c r="Q392" s="143"/>
      <c r="R392" s="114"/>
      <c r="S392" s="115"/>
      <c r="T392" s="96"/>
      <c r="U392" s="96"/>
      <c r="V392" s="97"/>
      <c r="W392" s="97"/>
      <c r="X392" s="97"/>
      <c r="Y392" s="97"/>
      <c r="Z392" s="88"/>
      <c r="AA392" s="96"/>
      <c r="AB392" s="88"/>
      <c r="AC392" s="119"/>
      <c r="AD392" s="88"/>
      <c r="AE392" s="88"/>
      <c r="AF392" s="116"/>
      <c r="AG392" s="116"/>
      <c r="AH392" s="116"/>
      <c r="AI392" s="99"/>
      <c r="AJ392" s="99"/>
      <c r="AK392" s="99"/>
      <c r="AU392" s="44"/>
    </row>
    <row r="393" spans="1:47" ht="12" customHeight="1">
      <c r="A393" s="88"/>
      <c r="B393" s="195"/>
      <c r="C393" s="88"/>
      <c r="D393" s="88"/>
      <c r="E393" s="91"/>
      <c r="F393" s="218"/>
      <c r="G393" s="112"/>
      <c r="H393" s="97"/>
      <c r="I393" s="91"/>
      <c r="J393" s="113"/>
      <c r="K393" s="88"/>
      <c r="L393" s="88"/>
      <c r="M393" s="88"/>
      <c r="N393" s="88"/>
      <c r="O393" s="90"/>
      <c r="P393" s="94"/>
      <c r="Q393" s="143"/>
      <c r="R393" s="114"/>
      <c r="S393" s="115"/>
      <c r="T393" s="96"/>
      <c r="U393" s="96"/>
      <c r="V393" s="97"/>
      <c r="W393" s="97"/>
      <c r="X393" s="97"/>
      <c r="Y393" s="97"/>
      <c r="Z393" s="88"/>
      <c r="AA393" s="96"/>
      <c r="AB393" s="88"/>
      <c r="AC393" s="119"/>
      <c r="AD393" s="88"/>
      <c r="AE393" s="88"/>
      <c r="AF393" s="116"/>
      <c r="AG393" s="116"/>
      <c r="AH393" s="116"/>
      <c r="AI393" s="99"/>
      <c r="AJ393" s="99"/>
      <c r="AK393" s="99"/>
      <c r="AU393" s="44"/>
    </row>
    <row r="394" spans="1:47" ht="12" customHeight="1">
      <c r="A394" s="88"/>
      <c r="B394" s="195"/>
      <c r="C394" s="88"/>
      <c r="D394" s="88"/>
      <c r="E394" s="91"/>
      <c r="F394" s="218"/>
      <c r="G394" s="112"/>
      <c r="H394" s="97"/>
      <c r="I394" s="91"/>
      <c r="J394" s="113"/>
      <c r="K394" s="88"/>
      <c r="L394" s="88"/>
      <c r="M394" s="88"/>
      <c r="N394" s="88"/>
      <c r="O394" s="90"/>
      <c r="P394" s="94"/>
      <c r="Q394" s="143"/>
      <c r="R394" s="114"/>
      <c r="S394" s="115"/>
      <c r="T394" s="96"/>
      <c r="U394" s="96"/>
      <c r="V394" s="97"/>
      <c r="W394" s="97"/>
      <c r="X394" s="97"/>
      <c r="Y394" s="97"/>
      <c r="Z394" s="88"/>
      <c r="AA394" s="96"/>
      <c r="AB394" s="88"/>
      <c r="AC394" s="119"/>
      <c r="AD394" s="88"/>
      <c r="AE394" s="88"/>
      <c r="AF394" s="116"/>
      <c r="AG394" s="116"/>
      <c r="AH394" s="116"/>
      <c r="AI394" s="99"/>
      <c r="AJ394" s="99"/>
      <c r="AK394" s="99"/>
      <c r="AU394" s="44"/>
    </row>
    <row r="395" spans="1:47" ht="12" customHeight="1">
      <c r="A395" s="124"/>
      <c r="B395" s="87"/>
      <c r="C395" s="88"/>
      <c r="D395" s="88"/>
      <c r="E395" s="91"/>
      <c r="F395" s="218"/>
      <c r="G395" s="91"/>
      <c r="H395" s="92"/>
      <c r="I395" s="91"/>
      <c r="J395" s="125"/>
      <c r="K395" s="88"/>
      <c r="L395" s="88"/>
      <c r="M395" s="88"/>
      <c r="N395" s="88"/>
      <c r="O395" s="93"/>
      <c r="P395" s="94"/>
      <c r="Q395" s="142"/>
      <c r="R395" s="95"/>
      <c r="S395" s="96"/>
      <c r="T395" s="96"/>
      <c r="U395" s="96"/>
      <c r="V395" s="92"/>
      <c r="W395" s="92"/>
      <c r="X395" s="92"/>
      <c r="Y395" s="97"/>
      <c r="Z395" s="88"/>
      <c r="AA395" s="96"/>
      <c r="AB395" s="88"/>
      <c r="AC395" s="119"/>
      <c r="AD395" s="88"/>
      <c r="AE395" s="88"/>
      <c r="AF395" s="98"/>
      <c r="AG395" s="98"/>
      <c r="AH395" s="126"/>
      <c r="AI395" s="99"/>
      <c r="AJ395" s="99"/>
      <c r="AK395" s="127"/>
      <c r="AU395" s="44"/>
    </row>
    <row r="396" spans="1:47" ht="12" customHeight="1">
      <c r="A396" s="124"/>
      <c r="B396" s="87"/>
      <c r="C396" s="88"/>
      <c r="D396" s="88"/>
      <c r="E396" s="91"/>
      <c r="F396" s="218"/>
      <c r="G396" s="91"/>
      <c r="H396" s="92"/>
      <c r="I396" s="91"/>
      <c r="J396" s="125"/>
      <c r="K396" s="88"/>
      <c r="L396" s="88"/>
      <c r="M396" s="88"/>
      <c r="N396" s="88"/>
      <c r="O396" s="93"/>
      <c r="P396" s="94"/>
      <c r="Q396" s="142"/>
      <c r="R396" s="95"/>
      <c r="S396" s="96"/>
      <c r="T396" s="96"/>
      <c r="U396" s="96"/>
      <c r="V396" s="92"/>
      <c r="W396" s="92"/>
      <c r="X396" s="92"/>
      <c r="Y396" s="97"/>
      <c r="Z396" s="88"/>
      <c r="AA396" s="96"/>
      <c r="AB396" s="88"/>
      <c r="AC396" s="119"/>
      <c r="AD396" s="88"/>
      <c r="AE396" s="88"/>
      <c r="AF396" s="98"/>
      <c r="AG396" s="98"/>
      <c r="AH396" s="126"/>
      <c r="AI396" s="99"/>
      <c r="AJ396" s="99"/>
      <c r="AK396" s="127"/>
      <c r="AU396" s="44"/>
    </row>
    <row r="397" spans="1:47" ht="12" customHeight="1">
      <c r="A397" s="124"/>
      <c r="B397" s="87"/>
      <c r="C397" s="88"/>
      <c r="D397" s="88"/>
      <c r="E397" s="91"/>
      <c r="F397" s="218"/>
      <c r="G397" s="91"/>
      <c r="H397" s="92"/>
      <c r="I397" s="91"/>
      <c r="J397" s="125"/>
      <c r="K397" s="88"/>
      <c r="L397" s="88"/>
      <c r="M397" s="88"/>
      <c r="N397" s="88"/>
      <c r="O397" s="93"/>
      <c r="P397" s="94"/>
      <c r="Q397" s="142"/>
      <c r="R397" s="95"/>
      <c r="S397" s="96"/>
      <c r="T397" s="96"/>
      <c r="U397" s="96"/>
      <c r="V397" s="92"/>
      <c r="W397" s="88"/>
      <c r="X397" s="88"/>
      <c r="Y397" s="97"/>
      <c r="Z397" s="88"/>
      <c r="AA397" s="96"/>
      <c r="AB397" s="88"/>
      <c r="AC397" s="119"/>
      <c r="AD397" s="88"/>
      <c r="AE397" s="88"/>
      <c r="AF397" s="98"/>
      <c r="AG397" s="98"/>
      <c r="AH397" s="126"/>
      <c r="AI397" s="99"/>
      <c r="AJ397" s="99"/>
      <c r="AK397" s="127"/>
      <c r="AU397" s="44"/>
    </row>
    <row r="398" spans="1:47" ht="12" customHeight="1">
      <c r="A398" s="124"/>
      <c r="B398" s="87"/>
      <c r="C398" s="88"/>
      <c r="D398" s="88"/>
      <c r="E398" s="91"/>
      <c r="F398" s="218"/>
      <c r="G398" s="91"/>
      <c r="H398" s="92"/>
      <c r="I398" s="91"/>
      <c r="J398" s="125"/>
      <c r="K398" s="88"/>
      <c r="L398" s="88"/>
      <c r="M398" s="88"/>
      <c r="N398" s="88"/>
      <c r="O398" s="93"/>
      <c r="P398" s="94"/>
      <c r="Q398" s="142"/>
      <c r="R398" s="95"/>
      <c r="S398" s="96"/>
      <c r="T398" s="96"/>
      <c r="U398" s="96"/>
      <c r="V398" s="92"/>
      <c r="W398" s="92"/>
      <c r="X398" s="92"/>
      <c r="Y398" s="97"/>
      <c r="Z398" s="88"/>
      <c r="AA398" s="96"/>
      <c r="AB398" s="88"/>
      <c r="AC398" s="119"/>
      <c r="AD398" s="88"/>
      <c r="AE398" s="88"/>
      <c r="AF398" s="126"/>
      <c r="AG398" s="98"/>
      <c r="AH398" s="98"/>
      <c r="AI398" s="99"/>
      <c r="AJ398" s="99"/>
      <c r="AK398" s="127"/>
      <c r="AU398" s="44"/>
    </row>
    <row r="399" spans="1:47" ht="12" customHeight="1">
      <c r="A399" s="124"/>
      <c r="B399" s="87"/>
      <c r="C399" s="88"/>
      <c r="D399" s="88"/>
      <c r="E399" s="91"/>
      <c r="F399" s="218"/>
      <c r="G399" s="91"/>
      <c r="H399" s="92"/>
      <c r="I399" s="91"/>
      <c r="J399" s="125"/>
      <c r="K399" s="88"/>
      <c r="L399" s="88"/>
      <c r="M399" s="88"/>
      <c r="N399" s="88"/>
      <c r="O399" s="93"/>
      <c r="P399" s="94"/>
      <c r="Q399" s="142"/>
      <c r="R399" s="95"/>
      <c r="S399" s="96"/>
      <c r="T399" s="96"/>
      <c r="U399" s="96"/>
      <c r="V399" s="92"/>
      <c r="W399" s="92"/>
      <c r="X399" s="92"/>
      <c r="Y399" s="97"/>
      <c r="Z399" s="88"/>
      <c r="AA399" s="96"/>
      <c r="AB399" s="88"/>
      <c r="AC399" s="119"/>
      <c r="AD399" s="88"/>
      <c r="AE399" s="88"/>
      <c r="AF399" s="98"/>
      <c r="AG399" s="98"/>
      <c r="AH399" s="126"/>
      <c r="AI399" s="99"/>
      <c r="AJ399" s="99"/>
      <c r="AK399" s="127"/>
      <c r="AU399" s="44"/>
    </row>
    <row r="400" spans="1:47" ht="12" customHeight="1">
      <c r="A400" s="124"/>
      <c r="B400" s="87"/>
      <c r="C400" s="88"/>
      <c r="D400" s="88"/>
      <c r="E400" s="91"/>
      <c r="F400" s="218"/>
      <c r="G400" s="91"/>
      <c r="H400" s="92"/>
      <c r="I400" s="91"/>
      <c r="J400" s="125"/>
      <c r="K400" s="88"/>
      <c r="L400" s="88"/>
      <c r="M400" s="88"/>
      <c r="N400" s="88"/>
      <c r="O400" s="93"/>
      <c r="P400" s="94"/>
      <c r="Q400" s="142"/>
      <c r="R400" s="95"/>
      <c r="S400" s="96"/>
      <c r="T400" s="96"/>
      <c r="U400" s="96"/>
      <c r="V400" s="92"/>
      <c r="W400" s="92"/>
      <c r="X400" s="92"/>
      <c r="Y400" s="97"/>
      <c r="Z400" s="88"/>
      <c r="AA400" s="96"/>
      <c r="AB400" s="88"/>
      <c r="AC400" s="119"/>
      <c r="AD400" s="88"/>
      <c r="AE400" s="88"/>
      <c r="AF400" s="98"/>
      <c r="AG400" s="98"/>
      <c r="AH400" s="126"/>
      <c r="AI400" s="99"/>
      <c r="AJ400" s="99"/>
      <c r="AK400" s="127"/>
      <c r="AU400" s="44"/>
    </row>
    <row r="401" spans="1:47" ht="12" customHeight="1">
      <c r="A401" s="124"/>
      <c r="B401" s="87"/>
      <c r="C401" s="88"/>
      <c r="D401" s="88"/>
      <c r="E401" s="91"/>
      <c r="F401" s="218"/>
      <c r="G401" s="91"/>
      <c r="H401" s="92"/>
      <c r="I401" s="91"/>
      <c r="J401" s="125"/>
      <c r="K401" s="88"/>
      <c r="L401" s="88"/>
      <c r="M401" s="88"/>
      <c r="N401" s="88"/>
      <c r="O401" s="93"/>
      <c r="P401" s="94"/>
      <c r="Q401" s="142"/>
      <c r="R401" s="95"/>
      <c r="S401" s="96"/>
      <c r="T401" s="96"/>
      <c r="U401" s="96"/>
      <c r="V401" s="92"/>
      <c r="W401" s="88"/>
      <c r="X401" s="88"/>
      <c r="Y401" s="97"/>
      <c r="Z401" s="88"/>
      <c r="AA401" s="96"/>
      <c r="AB401" s="88"/>
      <c r="AC401" s="119"/>
      <c r="AD401" s="88"/>
      <c r="AE401" s="88"/>
      <c r="AF401" s="98"/>
      <c r="AG401" s="98"/>
      <c r="AH401" s="126"/>
      <c r="AI401" s="99"/>
      <c r="AJ401" s="99"/>
      <c r="AK401" s="127"/>
      <c r="AU401" s="44"/>
    </row>
    <row r="402" spans="1:47" ht="12" customHeight="1">
      <c r="A402" s="124"/>
      <c r="B402" s="87"/>
      <c r="C402" s="88"/>
      <c r="D402" s="88"/>
      <c r="E402" s="91"/>
      <c r="F402" s="218"/>
      <c r="G402" s="91"/>
      <c r="H402" s="92"/>
      <c r="I402" s="91"/>
      <c r="J402" s="125"/>
      <c r="K402" s="88"/>
      <c r="L402" s="88"/>
      <c r="M402" s="88"/>
      <c r="N402" s="88"/>
      <c r="O402" s="93"/>
      <c r="P402" s="94"/>
      <c r="Q402" s="142"/>
      <c r="R402" s="95"/>
      <c r="S402" s="96"/>
      <c r="T402" s="96"/>
      <c r="U402" s="96"/>
      <c r="V402" s="92"/>
      <c r="W402" s="92"/>
      <c r="X402" s="92"/>
      <c r="Y402" s="97"/>
      <c r="Z402" s="88"/>
      <c r="AA402" s="96"/>
      <c r="AB402" s="88"/>
      <c r="AC402" s="119"/>
      <c r="AD402" s="88"/>
      <c r="AE402" s="88"/>
      <c r="AF402" s="98"/>
      <c r="AG402" s="98"/>
      <c r="AH402" s="126"/>
      <c r="AI402" s="99"/>
      <c r="AJ402" s="99"/>
      <c r="AK402" s="127"/>
      <c r="AU402" s="44"/>
    </row>
    <row r="403" spans="1:47" ht="12" customHeight="1">
      <c r="A403" s="124"/>
      <c r="B403" s="87"/>
      <c r="C403" s="88"/>
      <c r="D403" s="88"/>
      <c r="E403" s="91"/>
      <c r="F403" s="218"/>
      <c r="G403" s="91"/>
      <c r="H403" s="92"/>
      <c r="I403" s="91"/>
      <c r="J403" s="125"/>
      <c r="K403" s="88"/>
      <c r="L403" s="88"/>
      <c r="M403" s="88"/>
      <c r="N403" s="88"/>
      <c r="O403" s="93"/>
      <c r="P403" s="94"/>
      <c r="Q403" s="142"/>
      <c r="R403" s="95"/>
      <c r="S403" s="96"/>
      <c r="T403" s="96"/>
      <c r="U403" s="96"/>
      <c r="V403" s="92"/>
      <c r="W403" s="92"/>
      <c r="X403" s="92"/>
      <c r="Y403" s="97"/>
      <c r="Z403" s="88"/>
      <c r="AA403" s="96"/>
      <c r="AB403" s="88"/>
      <c r="AC403" s="119"/>
      <c r="AD403" s="88"/>
      <c r="AE403" s="88"/>
      <c r="AF403" s="98"/>
      <c r="AG403" s="98"/>
      <c r="AH403" s="126"/>
      <c r="AI403" s="99"/>
      <c r="AJ403" s="99"/>
      <c r="AK403" s="127"/>
      <c r="AU403" s="44"/>
    </row>
    <row r="404" spans="1:47" ht="12" customHeight="1">
      <c r="A404" s="124"/>
      <c r="B404" s="87"/>
      <c r="C404" s="88"/>
      <c r="D404" s="88"/>
      <c r="E404" s="91"/>
      <c r="F404" s="218"/>
      <c r="G404" s="91"/>
      <c r="H404" s="92"/>
      <c r="I404" s="91"/>
      <c r="J404" s="125"/>
      <c r="K404" s="88"/>
      <c r="L404" s="88"/>
      <c r="M404" s="88"/>
      <c r="N404" s="88"/>
      <c r="O404" s="93"/>
      <c r="P404" s="94"/>
      <c r="Q404" s="142"/>
      <c r="R404" s="95"/>
      <c r="S404" s="96"/>
      <c r="T404" s="96"/>
      <c r="U404" s="96"/>
      <c r="V404" s="92"/>
      <c r="W404" s="92"/>
      <c r="X404" s="92"/>
      <c r="Y404" s="97"/>
      <c r="Z404" s="88"/>
      <c r="AA404" s="96"/>
      <c r="AB404" s="88"/>
      <c r="AC404" s="119"/>
      <c r="AD404" s="88"/>
      <c r="AE404" s="88"/>
      <c r="AF404" s="98"/>
      <c r="AG404" s="98"/>
      <c r="AH404" s="126"/>
      <c r="AI404" s="99"/>
      <c r="AJ404" s="99"/>
      <c r="AK404" s="127"/>
      <c r="AU404" s="44"/>
    </row>
    <row r="405" spans="1:47" ht="12" customHeight="1">
      <c r="A405" s="124"/>
      <c r="B405" s="87"/>
      <c r="C405" s="88"/>
      <c r="D405" s="88"/>
      <c r="E405" s="91"/>
      <c r="F405" s="218"/>
      <c r="G405" s="91"/>
      <c r="H405" s="92"/>
      <c r="I405" s="91"/>
      <c r="J405" s="125"/>
      <c r="K405" s="88"/>
      <c r="L405" s="88"/>
      <c r="M405" s="88"/>
      <c r="N405" s="88"/>
      <c r="O405" s="93"/>
      <c r="P405" s="94"/>
      <c r="Q405" s="142"/>
      <c r="R405" s="95"/>
      <c r="S405" s="96"/>
      <c r="T405" s="96"/>
      <c r="U405" s="96"/>
      <c r="V405" s="92"/>
      <c r="W405" s="92"/>
      <c r="X405" s="92"/>
      <c r="Y405" s="87"/>
      <c r="Z405" s="88"/>
      <c r="AA405" s="96"/>
      <c r="AB405" s="88"/>
      <c r="AC405" s="119"/>
      <c r="AD405" s="88"/>
      <c r="AE405" s="88"/>
      <c r="AF405" s="98"/>
      <c r="AG405" s="98"/>
      <c r="AH405" s="126"/>
      <c r="AI405" s="99"/>
      <c r="AJ405" s="99"/>
      <c r="AK405" s="127"/>
      <c r="AU405" s="44"/>
    </row>
    <row r="406" spans="1:47" ht="12" customHeight="1">
      <c r="A406" s="124"/>
      <c r="B406" s="87"/>
      <c r="C406" s="88"/>
      <c r="D406" s="88"/>
      <c r="E406" s="91"/>
      <c r="F406" s="218"/>
      <c r="G406" s="91"/>
      <c r="H406" s="92"/>
      <c r="I406" s="91"/>
      <c r="J406" s="125"/>
      <c r="K406" s="88"/>
      <c r="L406" s="88"/>
      <c r="M406" s="88"/>
      <c r="N406" s="88"/>
      <c r="O406" s="93"/>
      <c r="P406" s="94"/>
      <c r="Q406" s="142"/>
      <c r="R406" s="95"/>
      <c r="S406" s="96"/>
      <c r="T406" s="96"/>
      <c r="U406" s="96"/>
      <c r="V406" s="92"/>
      <c r="W406" s="87"/>
      <c r="X406" s="92"/>
      <c r="Y406" s="97"/>
      <c r="Z406" s="88"/>
      <c r="AA406" s="96"/>
      <c r="AB406" s="88"/>
      <c r="AC406" s="119"/>
      <c r="AD406" s="88"/>
      <c r="AE406" s="88"/>
      <c r="AF406" s="98"/>
      <c r="AG406" s="98"/>
      <c r="AH406" s="126"/>
      <c r="AI406" s="99"/>
      <c r="AJ406" s="99"/>
      <c r="AK406" s="127"/>
      <c r="AU406" s="44"/>
    </row>
    <row r="407" spans="1:47" ht="12" customHeight="1">
      <c r="A407" s="124"/>
      <c r="B407" s="87"/>
      <c r="C407" s="88"/>
      <c r="D407" s="88"/>
      <c r="E407" s="91"/>
      <c r="F407" s="218"/>
      <c r="G407" s="91"/>
      <c r="H407" s="92"/>
      <c r="I407" s="91"/>
      <c r="J407" s="125"/>
      <c r="K407" s="88"/>
      <c r="L407" s="88"/>
      <c r="M407" s="88"/>
      <c r="N407" s="88"/>
      <c r="O407" s="93"/>
      <c r="P407" s="94"/>
      <c r="Q407" s="142"/>
      <c r="R407" s="95"/>
      <c r="S407" s="96"/>
      <c r="T407" s="96"/>
      <c r="U407" s="96"/>
      <c r="V407" s="92"/>
      <c r="W407" s="123"/>
      <c r="X407" s="92"/>
      <c r="Y407" s="97"/>
      <c r="Z407" s="88"/>
      <c r="AA407" s="96"/>
      <c r="AB407" s="88"/>
      <c r="AC407" s="119"/>
      <c r="AD407" s="88"/>
      <c r="AE407" s="88"/>
      <c r="AF407" s="98"/>
      <c r="AG407" s="98"/>
      <c r="AH407" s="126"/>
      <c r="AI407" s="99"/>
      <c r="AJ407" s="99"/>
      <c r="AK407" s="127"/>
      <c r="AU407" s="44"/>
    </row>
    <row r="408" spans="1:47" ht="12" customHeight="1">
      <c r="A408" s="124"/>
      <c r="B408" s="87"/>
      <c r="C408" s="88"/>
      <c r="D408" s="88"/>
      <c r="E408" s="91"/>
      <c r="F408" s="218"/>
      <c r="G408" s="91"/>
      <c r="H408" s="92"/>
      <c r="I408" s="91"/>
      <c r="J408" s="125"/>
      <c r="K408" s="88"/>
      <c r="L408" s="88"/>
      <c r="M408" s="88"/>
      <c r="N408" s="88"/>
      <c r="O408" s="93"/>
      <c r="P408" s="94"/>
      <c r="Q408" s="142"/>
      <c r="R408" s="95"/>
      <c r="S408" s="96"/>
      <c r="T408" s="96"/>
      <c r="U408" s="96"/>
      <c r="V408" s="92"/>
      <c r="W408" s="123"/>
      <c r="X408" s="92"/>
      <c r="Y408" s="87"/>
      <c r="Z408" s="88"/>
      <c r="AA408" s="96"/>
      <c r="AB408" s="88"/>
      <c r="AC408" s="119"/>
      <c r="AD408" s="88"/>
      <c r="AE408" s="88"/>
      <c r="AF408" s="98"/>
      <c r="AG408" s="98"/>
      <c r="AH408" s="126"/>
      <c r="AI408" s="99"/>
      <c r="AJ408" s="99"/>
      <c r="AK408" s="127"/>
      <c r="AU408" s="44"/>
    </row>
    <row r="409" spans="1:47" ht="12" customHeight="1">
      <c r="A409" s="124"/>
      <c r="B409" s="87"/>
      <c r="C409" s="88"/>
      <c r="D409" s="88"/>
      <c r="E409" s="91"/>
      <c r="F409" s="218"/>
      <c r="G409" s="91"/>
      <c r="H409" s="92"/>
      <c r="I409" s="91"/>
      <c r="J409" s="125"/>
      <c r="K409" s="88"/>
      <c r="L409" s="88"/>
      <c r="M409" s="88"/>
      <c r="N409" s="88"/>
      <c r="O409" s="93"/>
      <c r="P409" s="94"/>
      <c r="Q409" s="142"/>
      <c r="R409" s="95"/>
      <c r="S409" s="96"/>
      <c r="T409" s="96"/>
      <c r="U409" s="96"/>
      <c r="V409" s="87"/>
      <c r="W409" s="123"/>
      <c r="X409" s="92"/>
      <c r="Y409" s="97"/>
      <c r="Z409" s="88"/>
      <c r="AA409" s="96"/>
      <c r="AB409" s="88"/>
      <c r="AC409" s="119"/>
      <c r="AD409" s="88"/>
      <c r="AE409" s="88"/>
      <c r="AF409" s="98"/>
      <c r="AG409" s="98"/>
      <c r="AH409" s="126"/>
      <c r="AI409" s="99"/>
      <c r="AJ409" s="99"/>
      <c r="AK409" s="127"/>
      <c r="AU409" s="44"/>
    </row>
    <row r="410" spans="1:47" ht="12" customHeight="1">
      <c r="A410" s="124"/>
      <c r="B410" s="87"/>
      <c r="C410" s="88"/>
      <c r="D410" s="88"/>
      <c r="E410" s="91"/>
      <c r="F410" s="218"/>
      <c r="G410" s="91"/>
      <c r="H410" s="92"/>
      <c r="I410" s="91"/>
      <c r="J410" s="125"/>
      <c r="K410" s="88"/>
      <c r="L410" s="88"/>
      <c r="M410" s="88"/>
      <c r="N410" s="88"/>
      <c r="O410" s="93"/>
      <c r="P410" s="94"/>
      <c r="Q410" s="142"/>
      <c r="R410" s="95"/>
      <c r="S410" s="96"/>
      <c r="T410" s="96"/>
      <c r="U410" s="96"/>
      <c r="V410" s="87"/>
      <c r="W410" s="123"/>
      <c r="X410" s="92"/>
      <c r="Y410" s="97"/>
      <c r="Z410" s="88"/>
      <c r="AA410" s="96"/>
      <c r="AB410" s="88"/>
      <c r="AC410" s="119"/>
      <c r="AD410" s="88"/>
      <c r="AE410" s="88"/>
      <c r="AF410" s="98"/>
      <c r="AG410" s="98"/>
      <c r="AH410" s="126"/>
      <c r="AI410" s="99"/>
      <c r="AJ410" s="99"/>
      <c r="AK410" s="127"/>
      <c r="AU410" s="44"/>
    </row>
    <row r="411" spans="1:47" ht="12" customHeight="1">
      <c r="A411" s="124"/>
      <c r="B411" s="87"/>
      <c r="C411" s="88"/>
      <c r="D411" s="88"/>
      <c r="E411" s="91"/>
      <c r="F411" s="218"/>
      <c r="G411" s="91"/>
      <c r="H411" s="92"/>
      <c r="I411" s="91"/>
      <c r="J411" s="125"/>
      <c r="K411" s="88"/>
      <c r="L411" s="88"/>
      <c r="M411" s="88"/>
      <c r="N411" s="88"/>
      <c r="O411" s="93"/>
      <c r="P411" s="94"/>
      <c r="Q411" s="142"/>
      <c r="R411" s="95"/>
      <c r="S411" s="96"/>
      <c r="T411" s="96"/>
      <c r="U411" s="96"/>
      <c r="V411" s="87"/>
      <c r="W411" s="123"/>
      <c r="X411" s="92"/>
      <c r="Y411" s="97"/>
      <c r="Z411" s="88"/>
      <c r="AA411" s="96"/>
      <c r="AB411" s="88"/>
      <c r="AC411" s="119"/>
      <c r="AD411" s="88"/>
      <c r="AE411" s="88"/>
      <c r="AF411" s="98"/>
      <c r="AG411" s="98"/>
      <c r="AH411" s="126"/>
      <c r="AI411" s="99"/>
      <c r="AJ411" s="99"/>
      <c r="AK411" s="127"/>
      <c r="AU411" s="44"/>
    </row>
    <row r="412" spans="1:47" ht="12" customHeight="1">
      <c r="A412" s="124"/>
      <c r="B412" s="87"/>
      <c r="C412" s="88"/>
      <c r="D412" s="88"/>
      <c r="E412" s="91"/>
      <c r="F412" s="218"/>
      <c r="G412" s="91"/>
      <c r="H412" s="92"/>
      <c r="I412" s="91"/>
      <c r="J412" s="125"/>
      <c r="K412" s="88"/>
      <c r="L412" s="88"/>
      <c r="M412" s="88"/>
      <c r="N412" s="88"/>
      <c r="O412" s="93"/>
      <c r="P412" s="94"/>
      <c r="Q412" s="142"/>
      <c r="R412" s="95"/>
      <c r="S412" s="96"/>
      <c r="T412" s="96"/>
      <c r="U412" s="96"/>
      <c r="V412" s="87"/>
      <c r="W412" s="123"/>
      <c r="X412" s="92"/>
      <c r="Y412" s="87"/>
      <c r="Z412" s="88"/>
      <c r="AA412" s="96"/>
      <c r="AB412" s="88"/>
      <c r="AC412" s="119"/>
      <c r="AD412" s="88"/>
      <c r="AE412" s="88"/>
      <c r="AF412" s="98"/>
      <c r="AG412" s="98"/>
      <c r="AH412" s="126"/>
      <c r="AI412" s="99"/>
      <c r="AJ412" s="99"/>
      <c r="AK412" s="127"/>
      <c r="AU412" s="44"/>
    </row>
    <row r="413" spans="1:47" ht="12" customHeight="1">
      <c r="A413" s="124"/>
      <c r="B413" s="87"/>
      <c r="C413" s="88"/>
      <c r="D413" s="88"/>
      <c r="E413" s="91"/>
      <c r="F413" s="218"/>
      <c r="G413" s="91"/>
      <c r="H413" s="92"/>
      <c r="I413" s="91"/>
      <c r="J413" s="125"/>
      <c r="K413" s="88"/>
      <c r="L413" s="88"/>
      <c r="M413" s="88"/>
      <c r="N413" s="88"/>
      <c r="O413" s="93"/>
      <c r="P413" s="94"/>
      <c r="Q413" s="142"/>
      <c r="R413" s="95"/>
      <c r="S413" s="96"/>
      <c r="T413" s="96"/>
      <c r="U413" s="96"/>
      <c r="V413" s="92"/>
      <c r="W413" s="87"/>
      <c r="X413" s="92"/>
      <c r="Y413" s="97"/>
      <c r="Z413" s="88"/>
      <c r="AA413" s="96"/>
      <c r="AB413" s="88"/>
      <c r="AC413" s="119"/>
      <c r="AD413" s="88"/>
      <c r="AE413" s="88"/>
      <c r="AF413" s="98"/>
      <c r="AG413" s="98"/>
      <c r="AH413" s="126"/>
      <c r="AI413" s="99"/>
      <c r="AJ413" s="99"/>
      <c r="AK413" s="127"/>
      <c r="AU413" s="44"/>
    </row>
    <row r="414" spans="1:47" ht="12" customHeight="1">
      <c r="A414" s="124"/>
      <c r="B414" s="87"/>
      <c r="C414" s="88"/>
      <c r="D414" s="88"/>
      <c r="E414" s="91"/>
      <c r="F414" s="218"/>
      <c r="G414" s="91"/>
      <c r="H414" s="92"/>
      <c r="I414" s="91"/>
      <c r="J414" s="125"/>
      <c r="K414" s="88"/>
      <c r="L414" s="88"/>
      <c r="M414" s="88"/>
      <c r="N414" s="88"/>
      <c r="O414" s="93"/>
      <c r="P414" s="94"/>
      <c r="Q414" s="142"/>
      <c r="R414" s="95"/>
      <c r="S414" s="96"/>
      <c r="T414" s="96"/>
      <c r="U414" s="96"/>
      <c r="V414" s="92"/>
      <c r="W414" s="87"/>
      <c r="X414" s="92"/>
      <c r="Y414" s="97"/>
      <c r="Z414" s="88"/>
      <c r="AA414" s="96"/>
      <c r="AB414" s="88"/>
      <c r="AC414" s="119"/>
      <c r="AD414" s="88"/>
      <c r="AE414" s="88"/>
      <c r="AF414" s="98"/>
      <c r="AG414" s="98"/>
      <c r="AH414" s="126"/>
      <c r="AI414" s="99"/>
      <c r="AJ414" s="99"/>
      <c r="AK414" s="127"/>
      <c r="AU414" s="44"/>
    </row>
    <row r="415" spans="1:47" ht="12" customHeight="1">
      <c r="A415" s="124"/>
      <c r="B415" s="87"/>
      <c r="C415" s="88"/>
      <c r="D415" s="88"/>
      <c r="E415" s="91"/>
      <c r="F415" s="218"/>
      <c r="G415" s="91"/>
      <c r="H415" s="92"/>
      <c r="I415" s="91"/>
      <c r="J415" s="125"/>
      <c r="K415" s="88"/>
      <c r="L415" s="88"/>
      <c r="M415" s="88"/>
      <c r="N415" s="88"/>
      <c r="O415" s="93"/>
      <c r="P415" s="94"/>
      <c r="Q415" s="142"/>
      <c r="R415" s="95"/>
      <c r="S415" s="96"/>
      <c r="T415" s="96"/>
      <c r="U415" s="96"/>
      <c r="V415" s="92"/>
      <c r="W415" s="123"/>
      <c r="X415" s="92"/>
      <c r="Y415" s="87"/>
      <c r="Z415" s="88"/>
      <c r="AA415" s="96"/>
      <c r="AB415" s="88"/>
      <c r="AC415" s="119"/>
      <c r="AD415" s="88"/>
      <c r="AE415" s="88"/>
      <c r="AF415" s="98"/>
      <c r="AG415" s="98"/>
      <c r="AH415" s="126"/>
      <c r="AI415" s="99"/>
      <c r="AJ415" s="99"/>
      <c r="AK415" s="127"/>
      <c r="AU415" s="44"/>
    </row>
    <row r="416" spans="1:47" ht="12" customHeight="1">
      <c r="A416" s="124"/>
      <c r="B416" s="87"/>
      <c r="C416" s="88"/>
      <c r="D416" s="88"/>
      <c r="E416" s="91"/>
      <c r="F416" s="218"/>
      <c r="G416" s="91"/>
      <c r="H416" s="92"/>
      <c r="I416" s="91"/>
      <c r="J416" s="125"/>
      <c r="K416" s="88"/>
      <c r="L416" s="88"/>
      <c r="M416" s="88"/>
      <c r="N416" s="88"/>
      <c r="O416" s="93"/>
      <c r="P416" s="94"/>
      <c r="Q416" s="142"/>
      <c r="R416" s="95"/>
      <c r="S416" s="96"/>
      <c r="T416" s="96"/>
      <c r="U416" s="96"/>
      <c r="V416" s="92"/>
      <c r="W416" s="123"/>
      <c r="X416" s="92"/>
      <c r="Y416" s="87"/>
      <c r="Z416" s="88"/>
      <c r="AA416" s="96"/>
      <c r="AB416" s="88"/>
      <c r="AC416" s="119"/>
      <c r="AD416" s="88"/>
      <c r="AE416" s="88"/>
      <c r="AF416" s="98"/>
      <c r="AG416" s="98"/>
      <c r="AH416" s="126"/>
      <c r="AI416" s="99"/>
      <c r="AJ416" s="99"/>
      <c r="AK416" s="127"/>
      <c r="AU416" s="44"/>
    </row>
    <row r="417" spans="1:47" ht="12" customHeight="1">
      <c r="A417" s="124"/>
      <c r="B417" s="87"/>
      <c r="C417" s="88"/>
      <c r="D417" s="88"/>
      <c r="E417" s="91"/>
      <c r="F417" s="218"/>
      <c r="G417" s="91"/>
      <c r="H417" s="92"/>
      <c r="I417" s="91"/>
      <c r="J417" s="125"/>
      <c r="K417" s="88"/>
      <c r="L417" s="88"/>
      <c r="M417" s="88"/>
      <c r="N417" s="88"/>
      <c r="O417" s="93"/>
      <c r="P417" s="94"/>
      <c r="Q417" s="142"/>
      <c r="R417" s="95"/>
      <c r="S417" s="96"/>
      <c r="T417" s="96"/>
      <c r="U417" s="96"/>
      <c r="V417" s="92"/>
      <c r="W417" s="123"/>
      <c r="X417" s="92"/>
      <c r="Y417" s="87"/>
      <c r="Z417" s="88"/>
      <c r="AA417" s="96"/>
      <c r="AB417" s="88"/>
      <c r="AC417" s="119"/>
      <c r="AD417" s="88"/>
      <c r="AE417" s="88"/>
      <c r="AF417" s="98"/>
      <c r="AG417" s="98"/>
      <c r="AH417" s="126"/>
      <c r="AI417" s="99"/>
      <c r="AJ417" s="99"/>
      <c r="AK417" s="127"/>
      <c r="AU417" s="44"/>
    </row>
    <row r="418" spans="1:47" ht="12" customHeight="1">
      <c r="A418" s="124"/>
      <c r="B418" s="87"/>
      <c r="C418" s="88"/>
      <c r="D418" s="88"/>
      <c r="E418" s="91"/>
      <c r="F418" s="218"/>
      <c r="G418" s="91"/>
      <c r="H418" s="92"/>
      <c r="I418" s="91"/>
      <c r="J418" s="125"/>
      <c r="K418" s="88"/>
      <c r="L418" s="88"/>
      <c r="M418" s="88"/>
      <c r="N418" s="88"/>
      <c r="O418" s="93"/>
      <c r="P418" s="94"/>
      <c r="Q418" s="142"/>
      <c r="R418" s="95"/>
      <c r="S418" s="96"/>
      <c r="T418" s="96"/>
      <c r="U418" s="96"/>
      <c r="V418" s="92"/>
      <c r="W418" s="123"/>
      <c r="X418" s="92"/>
      <c r="Y418" s="87"/>
      <c r="Z418" s="88"/>
      <c r="AA418" s="96"/>
      <c r="AB418" s="88"/>
      <c r="AC418" s="119"/>
      <c r="AD418" s="88"/>
      <c r="AE418" s="88"/>
      <c r="AF418" s="98"/>
      <c r="AG418" s="98"/>
      <c r="AH418" s="126"/>
      <c r="AI418" s="99"/>
      <c r="AJ418" s="99"/>
      <c r="AK418" s="127"/>
      <c r="AU418" s="44"/>
    </row>
    <row r="419" spans="1:47" ht="12" customHeight="1">
      <c r="A419" s="124"/>
      <c r="B419" s="87"/>
      <c r="C419" s="88"/>
      <c r="D419" s="88"/>
      <c r="E419" s="91"/>
      <c r="F419" s="218"/>
      <c r="G419" s="91"/>
      <c r="H419" s="92"/>
      <c r="I419" s="91"/>
      <c r="J419" s="125"/>
      <c r="K419" s="88"/>
      <c r="L419" s="88"/>
      <c r="M419" s="88"/>
      <c r="N419" s="88"/>
      <c r="O419" s="93"/>
      <c r="P419" s="94"/>
      <c r="Q419" s="142"/>
      <c r="R419" s="95"/>
      <c r="S419" s="96"/>
      <c r="T419" s="96"/>
      <c r="U419" s="96"/>
      <c r="V419" s="92"/>
      <c r="W419" s="123"/>
      <c r="X419" s="92"/>
      <c r="Y419" s="87"/>
      <c r="Z419" s="88"/>
      <c r="AA419" s="96"/>
      <c r="AB419" s="88"/>
      <c r="AC419" s="119"/>
      <c r="AD419" s="88"/>
      <c r="AE419" s="88"/>
      <c r="AF419" s="98"/>
      <c r="AG419" s="98"/>
      <c r="AH419" s="126"/>
      <c r="AI419" s="99"/>
      <c r="AJ419" s="99"/>
      <c r="AK419" s="127"/>
      <c r="AU419" s="44"/>
    </row>
    <row r="420" spans="1:47" ht="12" customHeight="1">
      <c r="A420" s="124"/>
      <c r="B420" s="87"/>
      <c r="C420" s="88"/>
      <c r="D420" s="88"/>
      <c r="E420" s="91"/>
      <c r="F420" s="218"/>
      <c r="G420" s="91"/>
      <c r="H420" s="92"/>
      <c r="I420" s="91"/>
      <c r="J420" s="125"/>
      <c r="K420" s="88"/>
      <c r="L420" s="88"/>
      <c r="M420" s="88"/>
      <c r="N420" s="88"/>
      <c r="O420" s="93"/>
      <c r="P420" s="94"/>
      <c r="Q420" s="142"/>
      <c r="R420" s="95"/>
      <c r="S420" s="96"/>
      <c r="T420" s="96"/>
      <c r="U420" s="96"/>
      <c r="V420" s="92"/>
      <c r="W420" s="123"/>
      <c r="X420" s="92"/>
      <c r="Y420" s="87"/>
      <c r="Z420" s="88"/>
      <c r="AA420" s="96"/>
      <c r="AB420" s="88"/>
      <c r="AC420" s="119"/>
      <c r="AD420" s="88"/>
      <c r="AE420" s="88"/>
      <c r="AF420" s="98"/>
      <c r="AG420" s="98"/>
      <c r="AH420" s="126"/>
      <c r="AI420" s="99"/>
      <c r="AJ420" s="99"/>
      <c r="AK420" s="127"/>
      <c r="AU420" s="44"/>
    </row>
    <row r="421" spans="1:47" ht="12" customHeight="1">
      <c r="A421" s="124"/>
      <c r="B421" s="87"/>
      <c r="C421" s="88"/>
      <c r="D421" s="88"/>
      <c r="E421" s="91"/>
      <c r="F421" s="218"/>
      <c r="G421" s="91"/>
      <c r="H421" s="92"/>
      <c r="I421" s="91"/>
      <c r="J421" s="125"/>
      <c r="K421" s="88"/>
      <c r="L421" s="88"/>
      <c r="M421" s="88"/>
      <c r="N421" s="88"/>
      <c r="O421" s="93"/>
      <c r="P421" s="94"/>
      <c r="Q421" s="142"/>
      <c r="R421" s="95"/>
      <c r="S421" s="96"/>
      <c r="T421" s="96"/>
      <c r="U421" s="96"/>
      <c r="V421" s="87"/>
      <c r="W421" s="123"/>
      <c r="X421" s="92"/>
      <c r="Y421" s="87"/>
      <c r="Z421" s="88"/>
      <c r="AA421" s="96"/>
      <c r="AB421" s="88"/>
      <c r="AC421" s="119"/>
      <c r="AD421" s="88"/>
      <c r="AE421" s="88"/>
      <c r="AF421" s="98"/>
      <c r="AG421" s="98"/>
      <c r="AH421" s="126"/>
      <c r="AI421" s="99"/>
      <c r="AJ421" s="99"/>
      <c r="AK421" s="127"/>
      <c r="AU421" s="44"/>
    </row>
    <row r="422" spans="1:47" ht="12" customHeight="1">
      <c r="A422" s="124"/>
      <c r="B422" s="87"/>
      <c r="C422" s="88"/>
      <c r="D422" s="88"/>
      <c r="E422" s="91"/>
      <c r="F422" s="218"/>
      <c r="G422" s="91"/>
      <c r="H422" s="92"/>
      <c r="I422" s="91"/>
      <c r="J422" s="125"/>
      <c r="K422" s="113"/>
      <c r="L422" s="88"/>
      <c r="M422" s="88"/>
      <c r="N422" s="88"/>
      <c r="O422" s="93"/>
      <c r="P422" s="94"/>
      <c r="Q422" s="142"/>
      <c r="R422" s="95"/>
      <c r="S422" s="96"/>
      <c r="T422" s="96"/>
      <c r="U422" s="96"/>
      <c r="V422" s="87"/>
      <c r="W422" s="123"/>
      <c r="X422" s="92"/>
      <c r="Y422" s="87"/>
      <c r="Z422" s="88"/>
      <c r="AA422" s="96"/>
      <c r="AB422" s="88"/>
      <c r="AC422" s="119"/>
      <c r="AD422" s="88"/>
      <c r="AE422" s="113"/>
      <c r="AF422" s="98"/>
      <c r="AG422" s="98"/>
      <c r="AH422" s="126"/>
      <c r="AI422" s="99"/>
      <c r="AJ422" s="99"/>
      <c r="AK422" s="127"/>
      <c r="AU422" s="44"/>
    </row>
    <row r="423" spans="1:47" ht="12" customHeight="1">
      <c r="A423" s="124"/>
      <c r="B423" s="87"/>
      <c r="C423" s="88"/>
      <c r="D423" s="88"/>
      <c r="E423" s="91"/>
      <c r="F423" s="218"/>
      <c r="G423" s="91"/>
      <c r="H423" s="92"/>
      <c r="I423" s="91"/>
      <c r="J423" s="125"/>
      <c r="K423" s="113"/>
      <c r="L423" s="88"/>
      <c r="M423" s="88"/>
      <c r="N423" s="88"/>
      <c r="O423" s="93"/>
      <c r="P423" s="94"/>
      <c r="Q423" s="142"/>
      <c r="R423" s="95"/>
      <c r="S423" s="96"/>
      <c r="T423" s="96"/>
      <c r="U423" s="96"/>
      <c r="V423" s="87"/>
      <c r="W423" s="123"/>
      <c r="X423" s="92"/>
      <c r="Y423" s="87"/>
      <c r="Z423" s="88"/>
      <c r="AA423" s="96"/>
      <c r="AB423" s="88"/>
      <c r="AC423" s="119"/>
      <c r="AD423" s="88"/>
      <c r="AE423" s="88"/>
      <c r="AF423" s="98"/>
      <c r="AG423" s="98"/>
      <c r="AH423" s="126"/>
      <c r="AI423" s="99"/>
      <c r="AJ423" s="99"/>
      <c r="AK423" s="127"/>
      <c r="AU423" s="44"/>
    </row>
    <row r="424" spans="1:47" ht="12" customHeight="1">
      <c r="A424" s="124"/>
      <c r="B424" s="87"/>
      <c r="C424" s="88"/>
      <c r="D424" s="88"/>
      <c r="E424" s="91"/>
      <c r="F424" s="218"/>
      <c r="G424" s="91"/>
      <c r="H424" s="92"/>
      <c r="I424" s="91"/>
      <c r="J424" s="125"/>
      <c r="K424" s="113"/>
      <c r="L424" s="88"/>
      <c r="M424" s="88"/>
      <c r="N424" s="88"/>
      <c r="O424" s="93"/>
      <c r="P424" s="94"/>
      <c r="Q424" s="142"/>
      <c r="R424" s="95"/>
      <c r="S424" s="96"/>
      <c r="T424" s="96"/>
      <c r="U424" s="96"/>
      <c r="V424" s="87"/>
      <c r="W424" s="123"/>
      <c r="X424" s="92"/>
      <c r="Y424" s="87"/>
      <c r="Z424" s="88"/>
      <c r="AA424" s="96"/>
      <c r="AB424" s="88"/>
      <c r="AC424" s="119"/>
      <c r="AD424" s="88"/>
      <c r="AE424" s="88"/>
      <c r="AF424" s="98"/>
      <c r="AG424" s="98"/>
      <c r="AH424" s="126"/>
      <c r="AI424" s="99"/>
      <c r="AJ424" s="99"/>
      <c r="AK424" s="127"/>
      <c r="AU424" s="44"/>
    </row>
    <row r="425" spans="1:47" ht="12" customHeight="1">
      <c r="A425" s="124"/>
      <c r="B425" s="87"/>
      <c r="C425" s="88"/>
      <c r="D425" s="88"/>
      <c r="E425" s="91"/>
      <c r="F425" s="218"/>
      <c r="G425" s="91"/>
      <c r="H425" s="92"/>
      <c r="I425" s="91"/>
      <c r="J425" s="125"/>
      <c r="K425" s="113"/>
      <c r="L425" s="88"/>
      <c r="M425" s="88"/>
      <c r="N425" s="88"/>
      <c r="O425" s="93"/>
      <c r="P425" s="94"/>
      <c r="Q425" s="142"/>
      <c r="R425" s="95"/>
      <c r="S425" s="96"/>
      <c r="T425" s="96"/>
      <c r="U425" s="96"/>
      <c r="V425" s="87"/>
      <c r="W425" s="92"/>
      <c r="X425" s="92"/>
      <c r="Y425" s="87"/>
      <c r="Z425" s="88"/>
      <c r="AA425" s="96"/>
      <c r="AB425" s="88"/>
      <c r="AC425" s="119"/>
      <c r="AD425" s="88"/>
      <c r="AE425" s="88"/>
      <c r="AF425" s="98"/>
      <c r="AG425" s="98"/>
      <c r="AH425" s="126"/>
      <c r="AI425" s="99"/>
      <c r="AJ425" s="99"/>
      <c r="AK425" s="127"/>
      <c r="AU425" s="44"/>
    </row>
    <row r="426" spans="1:47" ht="12" customHeight="1">
      <c r="A426" s="124"/>
      <c r="B426" s="87"/>
      <c r="C426" s="88"/>
      <c r="D426" s="88"/>
      <c r="E426" s="91"/>
      <c r="F426" s="218"/>
      <c r="G426" s="91"/>
      <c r="H426" s="92"/>
      <c r="I426" s="91"/>
      <c r="J426" s="125"/>
      <c r="K426" s="113"/>
      <c r="L426" s="88"/>
      <c r="M426" s="88"/>
      <c r="N426" s="88"/>
      <c r="O426" s="93"/>
      <c r="P426" s="94"/>
      <c r="Q426" s="142"/>
      <c r="R426" s="95"/>
      <c r="S426" s="96"/>
      <c r="T426" s="96"/>
      <c r="U426" s="96"/>
      <c r="V426" s="87"/>
      <c r="W426" s="92"/>
      <c r="X426" s="92"/>
      <c r="Y426" s="97"/>
      <c r="Z426" s="88"/>
      <c r="AA426" s="96"/>
      <c r="AB426" s="88"/>
      <c r="AC426" s="119"/>
      <c r="AD426" s="88"/>
      <c r="AE426" s="88"/>
      <c r="AF426" s="98"/>
      <c r="AG426" s="98"/>
      <c r="AH426" s="126"/>
      <c r="AI426" s="99"/>
      <c r="AJ426" s="99"/>
      <c r="AK426" s="127"/>
      <c r="AU426" s="44"/>
    </row>
    <row r="427" spans="1:47" ht="12" customHeight="1">
      <c r="A427" s="124"/>
      <c r="B427" s="92"/>
      <c r="C427" s="88"/>
      <c r="D427" s="88"/>
      <c r="E427" s="91"/>
      <c r="F427" s="218"/>
      <c r="G427" s="91"/>
      <c r="H427" s="92"/>
      <c r="I427" s="91"/>
      <c r="J427" s="125"/>
      <c r="K427" s="88"/>
      <c r="L427" s="88"/>
      <c r="M427" s="88"/>
      <c r="N427" s="88"/>
      <c r="O427" s="90"/>
      <c r="P427" s="94"/>
      <c r="Q427" s="142"/>
      <c r="R427" s="95"/>
      <c r="S427" s="96"/>
      <c r="T427" s="96"/>
      <c r="U427" s="96"/>
      <c r="V427" s="87"/>
      <c r="W427" s="92"/>
      <c r="X427" s="92"/>
      <c r="Y427" s="97"/>
      <c r="Z427" s="88"/>
      <c r="AA427" s="96"/>
      <c r="AB427" s="88"/>
      <c r="AC427" s="119"/>
      <c r="AD427" s="88"/>
      <c r="AE427" s="88"/>
      <c r="AF427" s="98"/>
      <c r="AG427" s="98"/>
      <c r="AH427" s="126"/>
      <c r="AI427" s="99"/>
      <c r="AJ427" s="99"/>
      <c r="AK427" s="127"/>
      <c r="AU427" s="44"/>
    </row>
    <row r="428" spans="1:47" ht="12" customHeight="1">
      <c r="A428" s="124"/>
      <c r="B428" s="92"/>
      <c r="C428" s="88"/>
      <c r="D428" s="88"/>
      <c r="E428" s="91"/>
      <c r="F428" s="218"/>
      <c r="G428" s="91"/>
      <c r="H428" s="92"/>
      <c r="I428" s="91"/>
      <c r="J428" s="125"/>
      <c r="K428" s="88"/>
      <c r="L428" s="88"/>
      <c r="M428" s="88"/>
      <c r="N428" s="88"/>
      <c r="O428" s="90"/>
      <c r="P428" s="94"/>
      <c r="Q428" s="142"/>
      <c r="R428" s="95"/>
      <c r="S428" s="96"/>
      <c r="T428" s="96"/>
      <c r="U428" s="96"/>
      <c r="V428" s="87"/>
      <c r="W428" s="92"/>
      <c r="X428" s="92"/>
      <c r="Y428" s="97"/>
      <c r="Z428" s="88"/>
      <c r="AA428" s="96"/>
      <c r="AB428" s="88"/>
      <c r="AC428" s="119"/>
      <c r="AD428" s="88"/>
      <c r="AE428" s="88"/>
      <c r="AF428" s="98"/>
      <c r="AG428" s="98"/>
      <c r="AH428" s="126"/>
      <c r="AI428" s="99"/>
      <c r="AJ428" s="99"/>
      <c r="AK428" s="127"/>
      <c r="AU428" s="44"/>
    </row>
    <row r="429" spans="1:47" ht="12" customHeight="1">
      <c r="A429" s="124"/>
      <c r="B429" s="92"/>
      <c r="C429" s="88"/>
      <c r="D429" s="88"/>
      <c r="E429" s="91"/>
      <c r="F429" s="218"/>
      <c r="G429" s="91"/>
      <c r="H429" s="92"/>
      <c r="I429" s="91"/>
      <c r="J429" s="125"/>
      <c r="K429" s="88"/>
      <c r="L429" s="88"/>
      <c r="M429" s="88"/>
      <c r="N429" s="88"/>
      <c r="O429" s="90"/>
      <c r="P429" s="94"/>
      <c r="Q429" s="142"/>
      <c r="R429" s="95"/>
      <c r="S429" s="96"/>
      <c r="T429" s="96"/>
      <c r="U429" s="96"/>
      <c r="V429" s="87"/>
      <c r="W429" s="92"/>
      <c r="X429" s="92"/>
      <c r="Y429" s="97"/>
      <c r="Z429" s="88"/>
      <c r="AA429" s="96"/>
      <c r="AB429" s="88"/>
      <c r="AC429" s="119"/>
      <c r="AD429" s="88"/>
      <c r="AE429" s="88"/>
      <c r="AF429" s="98"/>
      <c r="AG429" s="98"/>
      <c r="AH429" s="126"/>
      <c r="AI429" s="99"/>
      <c r="AJ429" s="99"/>
      <c r="AK429" s="127"/>
      <c r="AU429" s="44"/>
    </row>
    <row r="430" spans="1:47" ht="12" customHeight="1">
      <c r="A430" s="124"/>
      <c r="B430" s="92"/>
      <c r="C430" s="88"/>
      <c r="D430" s="88"/>
      <c r="E430" s="91"/>
      <c r="F430" s="218"/>
      <c r="G430" s="91"/>
      <c r="H430" s="92"/>
      <c r="I430" s="91"/>
      <c r="J430" s="125"/>
      <c r="K430" s="88"/>
      <c r="L430" s="88"/>
      <c r="M430" s="88"/>
      <c r="N430" s="88"/>
      <c r="O430" s="90"/>
      <c r="P430" s="94"/>
      <c r="Q430" s="142"/>
      <c r="R430" s="95"/>
      <c r="S430" s="96"/>
      <c r="T430" s="96"/>
      <c r="U430" s="96"/>
      <c r="V430" s="87"/>
      <c r="W430" s="92"/>
      <c r="X430" s="92"/>
      <c r="Y430" s="97"/>
      <c r="Z430" s="88"/>
      <c r="AA430" s="96"/>
      <c r="AB430" s="88"/>
      <c r="AC430" s="119"/>
      <c r="AD430" s="88"/>
      <c r="AE430" s="88"/>
      <c r="AF430" s="98"/>
      <c r="AG430" s="98"/>
      <c r="AH430" s="126"/>
      <c r="AI430" s="99"/>
      <c r="AJ430" s="99"/>
      <c r="AK430" s="127"/>
      <c r="AU430" s="44"/>
    </row>
    <row r="431" spans="1:47" ht="12" customHeight="1">
      <c r="A431" s="124"/>
      <c r="B431" s="92"/>
      <c r="C431" s="88"/>
      <c r="D431" s="88"/>
      <c r="E431" s="91"/>
      <c r="F431" s="218"/>
      <c r="G431" s="91"/>
      <c r="H431" s="92"/>
      <c r="I431" s="91"/>
      <c r="J431" s="125"/>
      <c r="K431" s="88"/>
      <c r="L431" s="88"/>
      <c r="M431" s="88"/>
      <c r="N431" s="88"/>
      <c r="O431" s="90"/>
      <c r="P431" s="94"/>
      <c r="Q431" s="142"/>
      <c r="R431" s="95"/>
      <c r="S431" s="96"/>
      <c r="T431" s="96"/>
      <c r="U431" s="96"/>
      <c r="V431" s="87"/>
      <c r="W431" s="92"/>
      <c r="X431" s="92"/>
      <c r="Y431" s="97"/>
      <c r="Z431" s="88"/>
      <c r="AA431" s="96"/>
      <c r="AB431" s="88"/>
      <c r="AC431" s="119"/>
      <c r="AD431" s="88"/>
      <c r="AE431" s="88"/>
      <c r="AF431" s="98"/>
      <c r="AG431" s="98"/>
      <c r="AH431" s="126"/>
      <c r="AI431" s="99"/>
      <c r="AJ431" s="99"/>
      <c r="AK431" s="127"/>
      <c r="AU431" s="44"/>
    </row>
    <row r="432" spans="1:47" ht="12" customHeight="1">
      <c r="A432" s="124"/>
      <c r="B432" s="92"/>
      <c r="C432" s="88"/>
      <c r="D432" s="88"/>
      <c r="E432" s="91"/>
      <c r="F432" s="218"/>
      <c r="G432" s="91"/>
      <c r="H432" s="92"/>
      <c r="I432" s="91"/>
      <c r="J432" s="125"/>
      <c r="K432" s="88"/>
      <c r="L432" s="88"/>
      <c r="M432" s="88"/>
      <c r="N432" s="88"/>
      <c r="O432" s="90"/>
      <c r="P432" s="94"/>
      <c r="Q432" s="142"/>
      <c r="R432" s="95"/>
      <c r="S432" s="96"/>
      <c r="T432" s="96"/>
      <c r="U432" s="96"/>
      <c r="V432" s="87"/>
      <c r="W432" s="92"/>
      <c r="X432" s="92"/>
      <c r="Y432" s="97"/>
      <c r="Z432" s="88"/>
      <c r="AA432" s="96"/>
      <c r="AB432" s="88"/>
      <c r="AC432" s="119"/>
      <c r="AD432" s="88"/>
      <c r="AE432" s="88"/>
      <c r="AF432" s="98"/>
      <c r="AG432" s="98"/>
      <c r="AH432" s="126"/>
      <c r="AI432" s="99"/>
      <c r="AJ432" s="99"/>
      <c r="AK432" s="127"/>
      <c r="AU432" s="44"/>
    </row>
    <row r="433" spans="1:47" ht="12" customHeight="1">
      <c r="A433" s="124"/>
      <c r="B433" s="92"/>
      <c r="C433" s="88"/>
      <c r="D433" s="88"/>
      <c r="E433" s="91"/>
      <c r="F433" s="218"/>
      <c r="G433" s="91"/>
      <c r="H433" s="92"/>
      <c r="I433" s="91"/>
      <c r="J433" s="125"/>
      <c r="K433" s="88"/>
      <c r="L433" s="88"/>
      <c r="M433" s="88"/>
      <c r="N433" s="88"/>
      <c r="O433" s="90"/>
      <c r="P433" s="94"/>
      <c r="Q433" s="142"/>
      <c r="R433" s="95"/>
      <c r="S433" s="96"/>
      <c r="T433" s="96"/>
      <c r="U433" s="96"/>
      <c r="V433" s="87"/>
      <c r="W433" s="92"/>
      <c r="X433" s="122"/>
      <c r="Y433" s="97"/>
      <c r="Z433" s="88"/>
      <c r="AA433" s="96"/>
      <c r="AB433" s="88"/>
      <c r="AC433" s="119"/>
      <c r="AD433" s="88"/>
      <c r="AE433" s="88"/>
      <c r="AF433" s="98"/>
      <c r="AG433" s="98"/>
      <c r="AH433" s="126"/>
      <c r="AI433" s="99"/>
      <c r="AJ433" s="99"/>
      <c r="AK433" s="127"/>
      <c r="AU433" s="44"/>
    </row>
    <row r="434" spans="1:47" ht="12" customHeight="1">
      <c r="A434" s="124"/>
      <c r="B434" s="92"/>
      <c r="C434" s="88"/>
      <c r="D434" s="88"/>
      <c r="E434" s="91"/>
      <c r="F434" s="218"/>
      <c r="G434" s="91"/>
      <c r="H434" s="92"/>
      <c r="I434" s="91"/>
      <c r="J434" s="125"/>
      <c r="K434" s="88"/>
      <c r="L434" s="88"/>
      <c r="M434" s="88"/>
      <c r="N434" s="88"/>
      <c r="O434" s="90"/>
      <c r="P434" s="94"/>
      <c r="Q434" s="142"/>
      <c r="R434" s="95"/>
      <c r="S434" s="96"/>
      <c r="T434" s="96"/>
      <c r="U434" s="96"/>
      <c r="V434" s="87"/>
      <c r="W434" s="92"/>
      <c r="X434" s="92"/>
      <c r="Y434" s="97"/>
      <c r="Z434" s="88"/>
      <c r="AA434" s="96"/>
      <c r="AB434" s="88"/>
      <c r="AC434" s="119"/>
      <c r="AD434" s="88"/>
      <c r="AE434" s="88"/>
      <c r="AF434" s="98"/>
      <c r="AG434" s="98"/>
      <c r="AH434" s="126"/>
      <c r="AI434" s="99"/>
      <c r="AJ434" s="99"/>
      <c r="AK434" s="127"/>
      <c r="AU434" s="44"/>
    </row>
    <row r="435" spans="1:47" ht="12" customHeight="1">
      <c r="A435" s="124"/>
      <c r="B435" s="92"/>
      <c r="C435" s="88"/>
      <c r="D435" s="88"/>
      <c r="E435" s="91"/>
      <c r="F435" s="218"/>
      <c r="G435" s="91"/>
      <c r="H435" s="92"/>
      <c r="I435" s="91"/>
      <c r="J435" s="125"/>
      <c r="K435" s="88"/>
      <c r="L435" s="88"/>
      <c r="M435" s="88"/>
      <c r="N435" s="88"/>
      <c r="O435" s="90"/>
      <c r="P435" s="94"/>
      <c r="Q435" s="142"/>
      <c r="R435" s="95"/>
      <c r="S435" s="96"/>
      <c r="T435" s="96"/>
      <c r="U435" s="96"/>
      <c r="V435" s="87"/>
      <c r="W435" s="92"/>
      <c r="X435" s="92"/>
      <c r="Y435" s="97"/>
      <c r="Z435" s="88"/>
      <c r="AA435" s="96"/>
      <c r="AB435" s="88"/>
      <c r="AC435" s="119"/>
      <c r="AD435" s="88"/>
      <c r="AE435" s="88"/>
      <c r="AF435" s="98"/>
      <c r="AG435" s="98"/>
      <c r="AH435" s="126"/>
      <c r="AI435" s="99"/>
      <c r="AJ435" s="99"/>
      <c r="AK435" s="127"/>
      <c r="AU435" s="44"/>
    </row>
    <row r="436" spans="1:47" ht="12" customHeight="1">
      <c r="A436" s="124"/>
      <c r="B436" s="92"/>
      <c r="C436" s="88"/>
      <c r="D436" s="88"/>
      <c r="E436" s="91"/>
      <c r="F436" s="218"/>
      <c r="G436" s="91"/>
      <c r="H436" s="92"/>
      <c r="I436" s="91"/>
      <c r="J436" s="125"/>
      <c r="K436" s="88"/>
      <c r="L436" s="88"/>
      <c r="M436" s="88"/>
      <c r="N436" s="88"/>
      <c r="O436" s="90"/>
      <c r="P436" s="94"/>
      <c r="Q436" s="142"/>
      <c r="R436" s="95"/>
      <c r="S436" s="96"/>
      <c r="T436" s="96"/>
      <c r="U436" s="96"/>
      <c r="V436" s="87"/>
      <c r="W436" s="92"/>
      <c r="X436" s="92"/>
      <c r="Y436" s="97"/>
      <c r="Z436" s="88"/>
      <c r="AA436" s="96"/>
      <c r="AB436" s="88"/>
      <c r="AC436" s="119"/>
      <c r="AD436" s="88"/>
      <c r="AE436" s="88"/>
      <c r="AF436" s="98"/>
      <c r="AG436" s="98"/>
      <c r="AH436" s="126"/>
      <c r="AI436" s="99"/>
      <c r="AJ436" s="99"/>
      <c r="AK436" s="127"/>
      <c r="AU436" s="44"/>
    </row>
    <row r="437" spans="1:47" ht="12" customHeight="1">
      <c r="A437" s="124"/>
      <c r="B437" s="92"/>
      <c r="C437" s="88"/>
      <c r="D437" s="88"/>
      <c r="E437" s="91"/>
      <c r="F437" s="218"/>
      <c r="G437" s="91"/>
      <c r="H437" s="92"/>
      <c r="I437" s="91"/>
      <c r="J437" s="125"/>
      <c r="K437" s="88"/>
      <c r="L437" s="88"/>
      <c r="M437" s="88"/>
      <c r="N437" s="88"/>
      <c r="O437" s="90"/>
      <c r="P437" s="94"/>
      <c r="Q437" s="142"/>
      <c r="R437" s="95"/>
      <c r="S437" s="96"/>
      <c r="T437" s="96"/>
      <c r="U437" s="96"/>
      <c r="V437" s="87"/>
      <c r="W437" s="92"/>
      <c r="X437" s="92"/>
      <c r="Y437" s="97"/>
      <c r="Z437" s="88"/>
      <c r="AA437" s="96"/>
      <c r="AB437" s="88"/>
      <c r="AC437" s="119"/>
      <c r="AD437" s="88"/>
      <c r="AE437" s="88"/>
      <c r="AF437" s="98"/>
      <c r="AG437" s="98"/>
      <c r="AH437" s="126"/>
      <c r="AI437" s="99"/>
      <c r="AJ437" s="99"/>
      <c r="AK437" s="127"/>
      <c r="AU437" s="44"/>
    </row>
    <row r="438" spans="1:47" ht="12" customHeight="1">
      <c r="A438" s="124"/>
      <c r="B438" s="92"/>
      <c r="C438" s="88"/>
      <c r="D438" s="88"/>
      <c r="E438" s="91"/>
      <c r="F438" s="218"/>
      <c r="G438" s="91"/>
      <c r="H438" s="92"/>
      <c r="I438" s="91"/>
      <c r="J438" s="125"/>
      <c r="K438" s="88"/>
      <c r="L438" s="88"/>
      <c r="M438" s="88"/>
      <c r="N438" s="88"/>
      <c r="O438" s="90"/>
      <c r="P438" s="94"/>
      <c r="Q438" s="142"/>
      <c r="R438" s="95"/>
      <c r="S438" s="96"/>
      <c r="T438" s="96"/>
      <c r="U438" s="96"/>
      <c r="V438" s="87"/>
      <c r="W438" s="92"/>
      <c r="X438" s="122"/>
      <c r="Y438" s="97"/>
      <c r="Z438" s="88"/>
      <c r="AA438" s="96"/>
      <c r="AB438" s="88"/>
      <c r="AC438" s="119"/>
      <c r="AD438" s="88"/>
      <c r="AE438" s="88"/>
      <c r="AF438" s="98"/>
      <c r="AG438" s="98"/>
      <c r="AH438" s="126"/>
      <c r="AI438" s="99"/>
      <c r="AJ438" s="99"/>
      <c r="AK438" s="127"/>
      <c r="AU438" s="44"/>
    </row>
    <row r="439" spans="1:47" ht="12" customHeight="1">
      <c r="A439" s="124"/>
      <c r="B439" s="92"/>
      <c r="C439" s="88"/>
      <c r="D439" s="88"/>
      <c r="E439" s="91"/>
      <c r="F439" s="218"/>
      <c r="G439" s="91"/>
      <c r="H439" s="92"/>
      <c r="I439" s="91"/>
      <c r="J439" s="125"/>
      <c r="K439" s="88"/>
      <c r="L439" s="88"/>
      <c r="M439" s="88"/>
      <c r="N439" s="88"/>
      <c r="O439" s="90"/>
      <c r="P439" s="94"/>
      <c r="Q439" s="142"/>
      <c r="R439" s="95"/>
      <c r="S439" s="96"/>
      <c r="T439" s="96"/>
      <c r="U439" s="96"/>
      <c r="V439" s="87"/>
      <c r="W439" s="92"/>
      <c r="X439" s="92"/>
      <c r="Y439" s="97"/>
      <c r="Z439" s="88"/>
      <c r="AA439" s="96"/>
      <c r="AB439" s="88"/>
      <c r="AC439" s="119"/>
      <c r="AD439" s="88"/>
      <c r="AE439" s="88"/>
      <c r="AF439" s="98"/>
      <c r="AG439" s="98"/>
      <c r="AH439" s="126"/>
      <c r="AI439" s="99"/>
      <c r="AJ439" s="99"/>
      <c r="AK439" s="127"/>
      <c r="AU439" s="44"/>
    </row>
    <row r="440" spans="1:47" ht="12" customHeight="1">
      <c r="A440" s="124"/>
      <c r="B440" s="92"/>
      <c r="C440" s="88"/>
      <c r="D440" s="88"/>
      <c r="E440" s="91"/>
      <c r="F440" s="218"/>
      <c r="G440" s="91"/>
      <c r="H440" s="92"/>
      <c r="I440" s="91"/>
      <c r="J440" s="125"/>
      <c r="K440" s="88"/>
      <c r="L440" s="88"/>
      <c r="M440" s="88"/>
      <c r="N440" s="88"/>
      <c r="O440" s="90"/>
      <c r="P440" s="94"/>
      <c r="Q440" s="142"/>
      <c r="R440" s="95"/>
      <c r="S440" s="96"/>
      <c r="T440" s="96"/>
      <c r="U440" s="96"/>
      <c r="V440" s="87"/>
      <c r="W440" s="92"/>
      <c r="X440" s="92"/>
      <c r="Y440" s="97"/>
      <c r="Z440" s="88"/>
      <c r="AA440" s="96"/>
      <c r="AB440" s="88"/>
      <c r="AC440" s="119"/>
      <c r="AD440" s="88"/>
      <c r="AE440" s="88"/>
      <c r="AF440" s="98"/>
      <c r="AG440" s="98"/>
      <c r="AH440" s="126"/>
      <c r="AI440" s="99"/>
      <c r="AJ440" s="99"/>
      <c r="AK440" s="127"/>
      <c r="AU440" s="44"/>
    </row>
    <row r="441" spans="1:47" ht="12" customHeight="1">
      <c r="A441" s="124"/>
      <c r="B441" s="92"/>
      <c r="C441" s="88"/>
      <c r="D441" s="88"/>
      <c r="E441" s="91"/>
      <c r="F441" s="218"/>
      <c r="G441" s="91"/>
      <c r="H441" s="92"/>
      <c r="I441" s="91"/>
      <c r="J441" s="125"/>
      <c r="K441" s="88"/>
      <c r="L441" s="88"/>
      <c r="M441" s="88"/>
      <c r="N441" s="88"/>
      <c r="O441" s="90"/>
      <c r="P441" s="94"/>
      <c r="Q441" s="142"/>
      <c r="R441" s="95"/>
      <c r="S441" s="96"/>
      <c r="T441" s="96"/>
      <c r="U441" s="96"/>
      <c r="V441" s="87"/>
      <c r="W441" s="92"/>
      <c r="X441" s="92"/>
      <c r="Y441" s="97"/>
      <c r="Z441" s="88"/>
      <c r="AA441" s="96"/>
      <c r="AB441" s="88"/>
      <c r="AC441" s="119"/>
      <c r="AD441" s="88"/>
      <c r="AE441" s="88"/>
      <c r="AF441" s="98"/>
      <c r="AG441" s="98"/>
      <c r="AH441" s="126"/>
      <c r="AI441" s="99"/>
      <c r="AJ441" s="99"/>
      <c r="AK441" s="127"/>
      <c r="AU441" s="44"/>
    </row>
    <row r="442" spans="1:47" ht="12" customHeight="1">
      <c r="A442" s="124"/>
      <c r="B442" s="92"/>
      <c r="C442" s="88"/>
      <c r="D442" s="88"/>
      <c r="E442" s="91"/>
      <c r="F442" s="218"/>
      <c r="G442" s="91"/>
      <c r="H442" s="92"/>
      <c r="I442" s="91"/>
      <c r="J442" s="125"/>
      <c r="K442" s="88"/>
      <c r="L442" s="88"/>
      <c r="M442" s="88"/>
      <c r="N442" s="88"/>
      <c r="O442" s="90"/>
      <c r="P442" s="94"/>
      <c r="Q442" s="142"/>
      <c r="R442" s="95"/>
      <c r="S442" s="96"/>
      <c r="T442" s="96"/>
      <c r="U442" s="96"/>
      <c r="V442" s="87"/>
      <c r="W442" s="92"/>
      <c r="X442" s="92"/>
      <c r="Y442" s="97"/>
      <c r="Z442" s="88"/>
      <c r="AA442" s="96"/>
      <c r="AB442" s="88"/>
      <c r="AC442" s="119"/>
      <c r="AD442" s="88"/>
      <c r="AE442" s="88"/>
      <c r="AF442" s="98"/>
      <c r="AG442" s="98"/>
      <c r="AH442" s="126"/>
      <c r="AI442" s="99"/>
      <c r="AJ442" s="99"/>
      <c r="AK442" s="127"/>
      <c r="AU442" s="44"/>
    </row>
    <row r="443" spans="1:47" ht="12" customHeight="1">
      <c r="A443" s="124"/>
      <c r="B443" s="92"/>
      <c r="C443" s="88"/>
      <c r="D443" s="88"/>
      <c r="E443" s="91"/>
      <c r="F443" s="218"/>
      <c r="G443" s="91"/>
      <c r="H443" s="92"/>
      <c r="I443" s="91"/>
      <c r="J443" s="125"/>
      <c r="K443" s="88"/>
      <c r="L443" s="88"/>
      <c r="M443" s="88"/>
      <c r="N443" s="88"/>
      <c r="O443" s="90"/>
      <c r="P443" s="94"/>
      <c r="Q443" s="142"/>
      <c r="R443" s="95"/>
      <c r="S443" s="96"/>
      <c r="T443" s="96"/>
      <c r="U443" s="96"/>
      <c r="V443" s="87"/>
      <c r="W443" s="92"/>
      <c r="X443" s="122"/>
      <c r="Y443" s="97"/>
      <c r="Z443" s="88"/>
      <c r="AA443" s="96"/>
      <c r="AB443" s="88"/>
      <c r="AC443" s="119"/>
      <c r="AD443" s="88"/>
      <c r="AE443" s="88"/>
      <c r="AF443" s="98"/>
      <c r="AG443" s="98"/>
      <c r="AH443" s="126"/>
      <c r="AI443" s="99"/>
      <c r="AJ443" s="99"/>
      <c r="AK443" s="127"/>
      <c r="AU443" s="44"/>
    </row>
    <row r="444" spans="1:47" ht="12" customHeight="1">
      <c r="A444" s="124"/>
      <c r="B444" s="92"/>
      <c r="C444" s="88"/>
      <c r="D444" s="88"/>
      <c r="E444" s="91"/>
      <c r="F444" s="218"/>
      <c r="G444" s="91"/>
      <c r="H444" s="92"/>
      <c r="I444" s="91"/>
      <c r="J444" s="125"/>
      <c r="K444" s="88"/>
      <c r="L444" s="88"/>
      <c r="M444" s="88"/>
      <c r="N444" s="88"/>
      <c r="O444" s="90"/>
      <c r="P444" s="94"/>
      <c r="Q444" s="142"/>
      <c r="R444" s="95"/>
      <c r="S444" s="96"/>
      <c r="T444" s="96"/>
      <c r="U444" s="96"/>
      <c r="V444" s="87"/>
      <c r="W444" s="92"/>
      <c r="X444" s="92"/>
      <c r="Y444" s="97"/>
      <c r="Z444" s="88"/>
      <c r="AA444" s="96"/>
      <c r="AB444" s="88"/>
      <c r="AC444" s="119"/>
      <c r="AD444" s="88"/>
      <c r="AE444" s="88"/>
      <c r="AF444" s="98"/>
      <c r="AG444" s="98"/>
      <c r="AH444" s="126"/>
      <c r="AI444" s="99"/>
      <c r="AJ444" s="99"/>
      <c r="AK444" s="127"/>
      <c r="AU444" s="44"/>
    </row>
    <row r="445" spans="1:47" ht="12" customHeight="1">
      <c r="A445" s="124"/>
      <c r="B445" s="92"/>
      <c r="C445" s="88"/>
      <c r="D445" s="88"/>
      <c r="E445" s="91"/>
      <c r="F445" s="218"/>
      <c r="G445" s="91"/>
      <c r="H445" s="92"/>
      <c r="I445" s="91"/>
      <c r="J445" s="125"/>
      <c r="K445" s="88"/>
      <c r="L445" s="88"/>
      <c r="M445" s="88"/>
      <c r="N445" s="88"/>
      <c r="O445" s="90"/>
      <c r="P445" s="94"/>
      <c r="Q445" s="142"/>
      <c r="R445" s="95"/>
      <c r="S445" s="96"/>
      <c r="T445" s="96"/>
      <c r="U445" s="96"/>
      <c r="V445" s="87"/>
      <c r="W445" s="92"/>
      <c r="X445" s="92"/>
      <c r="Y445" s="97"/>
      <c r="Z445" s="88"/>
      <c r="AA445" s="96"/>
      <c r="AB445" s="88"/>
      <c r="AC445" s="119"/>
      <c r="AD445" s="88"/>
      <c r="AE445" s="88"/>
      <c r="AF445" s="98"/>
      <c r="AG445" s="98"/>
      <c r="AH445" s="126"/>
      <c r="AI445" s="99"/>
      <c r="AJ445" s="99"/>
      <c r="AK445" s="127"/>
      <c r="AU445" s="44"/>
    </row>
    <row r="446" spans="1:47" ht="12" customHeight="1">
      <c r="A446" s="124"/>
      <c r="B446" s="92"/>
      <c r="C446" s="88"/>
      <c r="D446" s="88"/>
      <c r="E446" s="91"/>
      <c r="F446" s="218"/>
      <c r="G446" s="91"/>
      <c r="H446" s="92"/>
      <c r="I446" s="91"/>
      <c r="J446" s="125"/>
      <c r="K446" s="88"/>
      <c r="L446" s="88"/>
      <c r="M446" s="88"/>
      <c r="N446" s="88"/>
      <c r="O446" s="90"/>
      <c r="P446" s="94"/>
      <c r="Q446" s="142"/>
      <c r="R446" s="95"/>
      <c r="S446" s="96"/>
      <c r="T446" s="96"/>
      <c r="U446" s="96"/>
      <c r="V446" s="87"/>
      <c r="W446" s="92"/>
      <c r="X446" s="92"/>
      <c r="Y446" s="97"/>
      <c r="Z446" s="88"/>
      <c r="AA446" s="96"/>
      <c r="AB446" s="88"/>
      <c r="AC446" s="119"/>
      <c r="AD446" s="88"/>
      <c r="AE446" s="88"/>
      <c r="AF446" s="98"/>
      <c r="AG446" s="98"/>
      <c r="AH446" s="126"/>
      <c r="AI446" s="99"/>
      <c r="AJ446" s="99"/>
      <c r="AK446" s="127"/>
      <c r="AU446" s="44"/>
    </row>
    <row r="447" spans="1:47" ht="12" customHeight="1">
      <c r="A447" s="124"/>
      <c r="B447" s="92"/>
      <c r="C447" s="88"/>
      <c r="D447" s="88"/>
      <c r="E447" s="91"/>
      <c r="F447" s="218"/>
      <c r="G447" s="91"/>
      <c r="H447" s="92"/>
      <c r="I447" s="91"/>
      <c r="J447" s="125"/>
      <c r="K447" s="88"/>
      <c r="L447" s="88"/>
      <c r="M447" s="88"/>
      <c r="N447" s="88"/>
      <c r="O447" s="90"/>
      <c r="P447" s="94"/>
      <c r="Q447" s="142"/>
      <c r="R447" s="95"/>
      <c r="S447" s="96"/>
      <c r="T447" s="96"/>
      <c r="U447" s="96"/>
      <c r="V447" s="87"/>
      <c r="W447" s="92"/>
      <c r="X447" s="92"/>
      <c r="Y447" s="97"/>
      <c r="Z447" s="88"/>
      <c r="AA447" s="96"/>
      <c r="AB447" s="88"/>
      <c r="AC447" s="119"/>
      <c r="AD447" s="88"/>
      <c r="AE447" s="88"/>
      <c r="AF447" s="98"/>
      <c r="AG447" s="98"/>
      <c r="AH447" s="126"/>
      <c r="AI447" s="99"/>
      <c r="AJ447" s="99"/>
      <c r="AK447" s="127"/>
      <c r="AU447" s="44"/>
    </row>
    <row r="448" spans="1:47" ht="12" customHeight="1">
      <c r="A448" s="124"/>
      <c r="B448" s="92"/>
      <c r="C448" s="88"/>
      <c r="D448" s="88"/>
      <c r="E448" s="91"/>
      <c r="F448" s="218"/>
      <c r="G448" s="91"/>
      <c r="H448" s="92"/>
      <c r="I448" s="91"/>
      <c r="J448" s="125"/>
      <c r="K448" s="88"/>
      <c r="L448" s="88"/>
      <c r="M448" s="88"/>
      <c r="N448" s="88"/>
      <c r="O448" s="90"/>
      <c r="P448" s="94"/>
      <c r="Q448" s="142"/>
      <c r="R448" s="95"/>
      <c r="S448" s="96"/>
      <c r="T448" s="96"/>
      <c r="U448" s="96"/>
      <c r="V448" s="87"/>
      <c r="W448" s="92"/>
      <c r="X448" s="92"/>
      <c r="Y448" s="97"/>
      <c r="Z448" s="88"/>
      <c r="AA448" s="96"/>
      <c r="AB448" s="88"/>
      <c r="AC448" s="119"/>
      <c r="AD448" s="88"/>
      <c r="AE448" s="88"/>
      <c r="AF448" s="98"/>
      <c r="AG448" s="98"/>
      <c r="AH448" s="126"/>
      <c r="AI448" s="99"/>
      <c r="AJ448" s="99"/>
      <c r="AK448" s="127"/>
      <c r="AU448" s="44"/>
    </row>
    <row r="449" spans="1:47" ht="12" customHeight="1">
      <c r="A449" s="124"/>
      <c r="B449" s="92"/>
      <c r="C449" s="88"/>
      <c r="D449" s="88"/>
      <c r="E449" s="91"/>
      <c r="F449" s="218"/>
      <c r="G449" s="91"/>
      <c r="H449" s="92"/>
      <c r="I449" s="91"/>
      <c r="J449" s="125"/>
      <c r="K449" s="88"/>
      <c r="L449" s="88"/>
      <c r="M449" s="88"/>
      <c r="N449" s="88"/>
      <c r="O449" s="90"/>
      <c r="P449" s="94"/>
      <c r="Q449" s="142"/>
      <c r="R449" s="95"/>
      <c r="S449" s="96"/>
      <c r="T449" s="96"/>
      <c r="U449" s="96"/>
      <c r="V449" s="87"/>
      <c r="W449" s="92"/>
      <c r="X449" s="92"/>
      <c r="Y449" s="97"/>
      <c r="Z449" s="88"/>
      <c r="AA449" s="96"/>
      <c r="AB449" s="88"/>
      <c r="AC449" s="119"/>
      <c r="AD449" s="88"/>
      <c r="AE449" s="88"/>
      <c r="AF449" s="98"/>
      <c r="AG449" s="98"/>
      <c r="AH449" s="126"/>
      <c r="AI449" s="99"/>
      <c r="AJ449" s="99"/>
      <c r="AK449" s="127"/>
      <c r="AU449" s="44"/>
    </row>
    <row r="450" spans="1:47" ht="12" customHeight="1">
      <c r="A450" s="124"/>
      <c r="B450" s="92"/>
      <c r="C450" s="88"/>
      <c r="D450" s="88"/>
      <c r="E450" s="91"/>
      <c r="F450" s="218"/>
      <c r="G450" s="91"/>
      <c r="H450" s="92"/>
      <c r="I450" s="91"/>
      <c r="J450" s="125"/>
      <c r="K450" s="88"/>
      <c r="L450" s="88"/>
      <c r="M450" s="88"/>
      <c r="N450" s="88"/>
      <c r="O450" s="90"/>
      <c r="P450" s="94"/>
      <c r="Q450" s="142"/>
      <c r="R450" s="95"/>
      <c r="S450" s="96"/>
      <c r="T450" s="96"/>
      <c r="U450" s="96"/>
      <c r="V450" s="87"/>
      <c r="W450" s="92"/>
      <c r="X450" s="92"/>
      <c r="Y450" s="97"/>
      <c r="Z450" s="88"/>
      <c r="AA450" s="96"/>
      <c r="AB450" s="88"/>
      <c r="AC450" s="119"/>
      <c r="AD450" s="88"/>
      <c r="AE450" s="88"/>
      <c r="AF450" s="98"/>
      <c r="AG450" s="98"/>
      <c r="AH450" s="126"/>
      <c r="AI450" s="99"/>
      <c r="AJ450" s="99"/>
      <c r="AK450" s="127"/>
      <c r="AU450" s="44"/>
    </row>
    <row r="451" spans="1:47" ht="12" customHeight="1">
      <c r="A451" s="124"/>
      <c r="B451" s="92"/>
      <c r="C451" s="88"/>
      <c r="D451" s="88"/>
      <c r="E451" s="91"/>
      <c r="F451" s="218"/>
      <c r="G451" s="91"/>
      <c r="H451" s="92"/>
      <c r="I451" s="91"/>
      <c r="J451" s="125"/>
      <c r="K451" s="88"/>
      <c r="L451" s="88"/>
      <c r="M451" s="88"/>
      <c r="N451" s="88"/>
      <c r="O451" s="90"/>
      <c r="P451" s="94"/>
      <c r="Q451" s="142"/>
      <c r="R451" s="95"/>
      <c r="S451" s="96"/>
      <c r="T451" s="96"/>
      <c r="U451" s="96"/>
      <c r="V451" s="87"/>
      <c r="W451" s="92"/>
      <c r="X451" s="92"/>
      <c r="Y451" s="97"/>
      <c r="Z451" s="88"/>
      <c r="AA451" s="96"/>
      <c r="AB451" s="88"/>
      <c r="AC451" s="119"/>
      <c r="AD451" s="88"/>
      <c r="AE451" s="88"/>
      <c r="AF451" s="98"/>
      <c r="AG451" s="98"/>
      <c r="AH451" s="126"/>
      <c r="AI451" s="99"/>
      <c r="AJ451" s="99"/>
      <c r="AK451" s="127"/>
      <c r="AU451" s="44"/>
    </row>
    <row r="452" spans="1:47" ht="12" customHeight="1">
      <c r="A452" s="124"/>
      <c r="B452" s="92"/>
      <c r="C452" s="88"/>
      <c r="D452" s="88"/>
      <c r="E452" s="91"/>
      <c r="F452" s="218"/>
      <c r="G452" s="91"/>
      <c r="H452" s="92"/>
      <c r="I452" s="91"/>
      <c r="J452" s="125"/>
      <c r="K452" s="88"/>
      <c r="L452" s="88"/>
      <c r="M452" s="88"/>
      <c r="N452" s="88"/>
      <c r="O452" s="90"/>
      <c r="P452" s="94"/>
      <c r="Q452" s="142"/>
      <c r="R452" s="95"/>
      <c r="S452" s="96"/>
      <c r="T452" s="96"/>
      <c r="U452" s="96"/>
      <c r="V452" s="87"/>
      <c r="W452" s="92"/>
      <c r="X452" s="92"/>
      <c r="Y452" s="97"/>
      <c r="Z452" s="88"/>
      <c r="AA452" s="96"/>
      <c r="AB452" s="88"/>
      <c r="AC452" s="119"/>
      <c r="AD452" s="88"/>
      <c r="AE452" s="88"/>
      <c r="AF452" s="98"/>
      <c r="AG452" s="98"/>
      <c r="AH452" s="126"/>
      <c r="AI452" s="99"/>
      <c r="AJ452" s="99"/>
      <c r="AK452" s="127"/>
      <c r="AU452" s="44"/>
    </row>
    <row r="453" spans="1:47" ht="12" customHeight="1">
      <c r="A453" s="124"/>
      <c r="B453" s="92"/>
      <c r="C453" s="88"/>
      <c r="D453" s="88"/>
      <c r="E453" s="91"/>
      <c r="F453" s="218"/>
      <c r="G453" s="91"/>
      <c r="H453" s="92"/>
      <c r="I453" s="91"/>
      <c r="J453" s="125"/>
      <c r="K453" s="88"/>
      <c r="L453" s="88"/>
      <c r="M453" s="88"/>
      <c r="N453" s="88"/>
      <c r="O453" s="90"/>
      <c r="P453" s="94"/>
      <c r="Q453" s="142"/>
      <c r="R453" s="95"/>
      <c r="S453" s="96"/>
      <c r="T453" s="96"/>
      <c r="U453" s="96"/>
      <c r="V453" s="87"/>
      <c r="W453" s="92"/>
      <c r="X453" s="92"/>
      <c r="Y453" s="97"/>
      <c r="Z453" s="88"/>
      <c r="AA453" s="96"/>
      <c r="AB453" s="88"/>
      <c r="AC453" s="119"/>
      <c r="AD453" s="88"/>
      <c r="AE453" s="88"/>
      <c r="AF453" s="98"/>
      <c r="AG453" s="98"/>
      <c r="AH453" s="126"/>
      <c r="AI453" s="99"/>
      <c r="AJ453" s="99"/>
      <c r="AK453" s="127"/>
      <c r="AU453" s="44"/>
    </row>
    <row r="454" spans="1:47" ht="12" customHeight="1">
      <c r="A454" s="124"/>
      <c r="B454" s="92"/>
      <c r="C454" s="88"/>
      <c r="D454" s="88"/>
      <c r="E454" s="91"/>
      <c r="F454" s="218"/>
      <c r="G454" s="91"/>
      <c r="H454" s="92"/>
      <c r="I454" s="91"/>
      <c r="J454" s="125"/>
      <c r="K454" s="88"/>
      <c r="L454" s="88"/>
      <c r="M454" s="88"/>
      <c r="N454" s="88"/>
      <c r="O454" s="90"/>
      <c r="P454" s="94"/>
      <c r="Q454" s="142"/>
      <c r="R454" s="95"/>
      <c r="S454" s="96"/>
      <c r="T454" s="96"/>
      <c r="U454" s="96"/>
      <c r="V454" s="87"/>
      <c r="W454" s="92"/>
      <c r="X454" s="92"/>
      <c r="Y454" s="97"/>
      <c r="Z454" s="88"/>
      <c r="AA454" s="96"/>
      <c r="AB454" s="88"/>
      <c r="AC454" s="119"/>
      <c r="AD454" s="88"/>
      <c r="AE454" s="88"/>
      <c r="AF454" s="98"/>
      <c r="AG454" s="98"/>
      <c r="AH454" s="126"/>
      <c r="AI454" s="99"/>
      <c r="AJ454" s="99"/>
      <c r="AK454" s="127"/>
      <c r="AU454" s="44"/>
    </row>
    <row r="455" spans="1:47" ht="12" customHeight="1">
      <c r="A455" s="124"/>
      <c r="B455" s="92"/>
      <c r="C455" s="88"/>
      <c r="D455" s="88"/>
      <c r="E455" s="91"/>
      <c r="F455" s="218"/>
      <c r="G455" s="91"/>
      <c r="H455" s="92"/>
      <c r="I455" s="91"/>
      <c r="J455" s="125"/>
      <c r="K455" s="88"/>
      <c r="L455" s="88"/>
      <c r="M455" s="88"/>
      <c r="N455" s="88"/>
      <c r="O455" s="90"/>
      <c r="P455" s="94"/>
      <c r="Q455" s="142"/>
      <c r="R455" s="95"/>
      <c r="S455" s="96"/>
      <c r="T455" s="96"/>
      <c r="U455" s="96"/>
      <c r="V455" s="87"/>
      <c r="W455" s="92"/>
      <c r="X455" s="92"/>
      <c r="Y455" s="97"/>
      <c r="Z455" s="88"/>
      <c r="AA455" s="96"/>
      <c r="AB455" s="88"/>
      <c r="AC455" s="119"/>
      <c r="AD455" s="88"/>
      <c r="AE455" s="88"/>
      <c r="AF455" s="98"/>
      <c r="AG455" s="98"/>
      <c r="AH455" s="126"/>
      <c r="AI455" s="99"/>
      <c r="AJ455" s="99"/>
      <c r="AK455" s="127"/>
      <c r="AU455" s="44"/>
    </row>
    <row r="456" spans="1:47" ht="12" customHeight="1">
      <c r="A456" s="124"/>
      <c r="B456" s="92"/>
      <c r="C456" s="88"/>
      <c r="D456" s="88"/>
      <c r="E456" s="91"/>
      <c r="F456" s="218"/>
      <c r="G456" s="91"/>
      <c r="H456" s="92"/>
      <c r="I456" s="91"/>
      <c r="J456" s="125"/>
      <c r="K456" s="88"/>
      <c r="L456" s="88"/>
      <c r="M456" s="88"/>
      <c r="N456" s="88"/>
      <c r="O456" s="90"/>
      <c r="P456" s="94"/>
      <c r="Q456" s="142"/>
      <c r="R456" s="95"/>
      <c r="S456" s="96"/>
      <c r="T456" s="96"/>
      <c r="U456" s="96"/>
      <c r="V456" s="87"/>
      <c r="W456" s="92"/>
      <c r="X456" s="92"/>
      <c r="Y456" s="97"/>
      <c r="Z456" s="88"/>
      <c r="AA456" s="96"/>
      <c r="AB456" s="88"/>
      <c r="AC456" s="119"/>
      <c r="AD456" s="88"/>
      <c r="AE456" s="88"/>
      <c r="AF456" s="98"/>
      <c r="AG456" s="98"/>
      <c r="AH456" s="126"/>
      <c r="AI456" s="99"/>
      <c r="AJ456" s="99"/>
      <c r="AK456" s="127"/>
      <c r="AU456" s="44"/>
    </row>
    <row r="457" spans="1:47" ht="12" customHeight="1">
      <c r="A457" s="124"/>
      <c r="B457" s="92"/>
      <c r="C457" s="88"/>
      <c r="D457" s="88"/>
      <c r="E457" s="91"/>
      <c r="F457" s="218"/>
      <c r="G457" s="91"/>
      <c r="H457" s="92"/>
      <c r="I457" s="91"/>
      <c r="J457" s="125"/>
      <c r="K457" s="88"/>
      <c r="L457" s="88"/>
      <c r="M457" s="88"/>
      <c r="N457" s="88"/>
      <c r="O457" s="90"/>
      <c r="P457" s="94"/>
      <c r="Q457" s="142"/>
      <c r="R457" s="95"/>
      <c r="S457" s="96"/>
      <c r="T457" s="96"/>
      <c r="U457" s="96"/>
      <c r="V457" s="87"/>
      <c r="W457" s="92"/>
      <c r="X457" s="122"/>
      <c r="Y457" s="97"/>
      <c r="Z457" s="88"/>
      <c r="AA457" s="96"/>
      <c r="AB457" s="88"/>
      <c r="AC457" s="119"/>
      <c r="AD457" s="88"/>
      <c r="AE457" s="88"/>
      <c r="AF457" s="98"/>
      <c r="AG457" s="98"/>
      <c r="AH457" s="126"/>
      <c r="AI457" s="99"/>
      <c r="AJ457" s="99"/>
      <c r="AK457" s="127"/>
      <c r="AU457" s="44"/>
    </row>
    <row r="458" spans="1:47" ht="12" customHeight="1">
      <c r="A458" s="124"/>
      <c r="B458" s="92"/>
      <c r="C458" s="88"/>
      <c r="D458" s="88"/>
      <c r="E458" s="91"/>
      <c r="F458" s="218"/>
      <c r="G458" s="91"/>
      <c r="H458" s="92"/>
      <c r="I458" s="91"/>
      <c r="J458" s="125"/>
      <c r="K458" s="88"/>
      <c r="L458" s="88"/>
      <c r="M458" s="88"/>
      <c r="N458" s="88"/>
      <c r="O458" s="90"/>
      <c r="P458" s="94"/>
      <c r="Q458" s="142"/>
      <c r="R458" s="95"/>
      <c r="S458" s="96"/>
      <c r="T458" s="96"/>
      <c r="U458" s="96"/>
      <c r="V458" s="87"/>
      <c r="W458" s="92"/>
      <c r="X458" s="92"/>
      <c r="Y458" s="97"/>
      <c r="Z458" s="88"/>
      <c r="AA458" s="96"/>
      <c r="AB458" s="88"/>
      <c r="AC458" s="119"/>
      <c r="AD458" s="88"/>
      <c r="AE458" s="88"/>
      <c r="AF458" s="98"/>
      <c r="AG458" s="98"/>
      <c r="AH458" s="126"/>
      <c r="AI458" s="99"/>
      <c r="AJ458" s="99"/>
      <c r="AK458" s="127"/>
      <c r="AU458" s="44"/>
    </row>
    <row r="459" spans="1:47" ht="12" customHeight="1">
      <c r="A459" s="124"/>
      <c r="B459" s="92"/>
      <c r="C459" s="88"/>
      <c r="D459" s="88"/>
      <c r="E459" s="91"/>
      <c r="F459" s="218"/>
      <c r="G459" s="91"/>
      <c r="H459" s="92"/>
      <c r="I459" s="91"/>
      <c r="J459" s="125"/>
      <c r="K459" s="88"/>
      <c r="L459" s="88"/>
      <c r="M459" s="88"/>
      <c r="N459" s="88"/>
      <c r="O459" s="90"/>
      <c r="P459" s="94"/>
      <c r="Q459" s="142"/>
      <c r="R459" s="95"/>
      <c r="S459" s="96"/>
      <c r="T459" s="96"/>
      <c r="U459" s="96"/>
      <c r="V459" s="87"/>
      <c r="W459" s="92"/>
      <c r="X459" s="92"/>
      <c r="Y459" s="97"/>
      <c r="Z459" s="88"/>
      <c r="AA459" s="96"/>
      <c r="AB459" s="88"/>
      <c r="AC459" s="119"/>
      <c r="AD459" s="88"/>
      <c r="AE459" s="88"/>
      <c r="AF459" s="98"/>
      <c r="AG459" s="98"/>
      <c r="AH459" s="126"/>
      <c r="AI459" s="99"/>
      <c r="AJ459" s="99"/>
      <c r="AK459" s="127"/>
      <c r="AU459" s="44"/>
    </row>
    <row r="460" spans="1:47" ht="12" customHeight="1">
      <c r="A460" s="124"/>
      <c r="B460" s="92"/>
      <c r="C460" s="88"/>
      <c r="D460" s="88"/>
      <c r="E460" s="91"/>
      <c r="F460" s="218"/>
      <c r="G460" s="91"/>
      <c r="H460" s="92"/>
      <c r="I460" s="91"/>
      <c r="J460" s="125"/>
      <c r="K460" s="88"/>
      <c r="L460" s="88"/>
      <c r="M460" s="88"/>
      <c r="N460" s="88"/>
      <c r="O460" s="90"/>
      <c r="P460" s="94"/>
      <c r="Q460" s="142"/>
      <c r="R460" s="95"/>
      <c r="S460" s="96"/>
      <c r="T460" s="96"/>
      <c r="U460" s="96"/>
      <c r="V460" s="92"/>
      <c r="W460" s="92"/>
      <c r="X460" s="92"/>
      <c r="Y460" s="97"/>
      <c r="Z460" s="88"/>
      <c r="AA460" s="96"/>
      <c r="AB460" s="88"/>
      <c r="AC460" s="119"/>
      <c r="AD460" s="88"/>
      <c r="AE460" s="88"/>
      <c r="AF460" s="94"/>
      <c r="AG460" s="98"/>
      <c r="AH460" s="94"/>
      <c r="AI460" s="99"/>
      <c r="AJ460" s="99"/>
      <c r="AK460" s="127"/>
      <c r="AU460" s="44"/>
    </row>
    <row r="461" spans="1:47" ht="12" customHeight="1">
      <c r="A461" s="124"/>
      <c r="B461" s="92"/>
      <c r="C461" s="88"/>
      <c r="D461" s="88"/>
      <c r="E461" s="91"/>
      <c r="F461" s="218"/>
      <c r="G461" s="91"/>
      <c r="H461" s="92"/>
      <c r="I461" s="91"/>
      <c r="J461" s="125"/>
      <c r="K461" s="88"/>
      <c r="L461" s="88"/>
      <c r="M461" s="88"/>
      <c r="N461" s="88"/>
      <c r="O461" s="90"/>
      <c r="P461" s="94"/>
      <c r="Q461" s="142"/>
      <c r="R461" s="95"/>
      <c r="S461" s="96"/>
      <c r="T461" s="96"/>
      <c r="U461" s="96"/>
      <c r="V461" s="92"/>
      <c r="W461" s="92"/>
      <c r="X461" s="92"/>
      <c r="Y461" s="97"/>
      <c r="Z461" s="88"/>
      <c r="AA461" s="96"/>
      <c r="AB461" s="88"/>
      <c r="AC461" s="119"/>
      <c r="AD461" s="88"/>
      <c r="AE461" s="88"/>
      <c r="AF461" s="94"/>
      <c r="AG461" s="98"/>
      <c r="AH461" s="94"/>
      <c r="AI461" s="99"/>
      <c r="AJ461" s="99"/>
      <c r="AK461" s="127"/>
      <c r="AU461" s="44"/>
    </row>
    <row r="462" spans="1:47" ht="12" customHeight="1">
      <c r="A462" s="124"/>
      <c r="B462" s="92"/>
      <c r="C462" s="88"/>
      <c r="D462" s="88"/>
      <c r="E462" s="91"/>
      <c r="F462" s="218"/>
      <c r="G462" s="91"/>
      <c r="H462" s="92"/>
      <c r="I462" s="91"/>
      <c r="J462" s="125"/>
      <c r="K462" s="88"/>
      <c r="L462" s="88"/>
      <c r="M462" s="88"/>
      <c r="N462" s="88"/>
      <c r="O462" s="90"/>
      <c r="P462" s="94"/>
      <c r="Q462" s="142"/>
      <c r="R462" s="95"/>
      <c r="S462" s="96"/>
      <c r="T462" s="96"/>
      <c r="U462" s="96"/>
      <c r="V462" s="92"/>
      <c r="W462" s="122"/>
      <c r="X462" s="122"/>
      <c r="Y462" s="97"/>
      <c r="Z462" s="88"/>
      <c r="AA462" s="96"/>
      <c r="AB462" s="88"/>
      <c r="AC462" s="119"/>
      <c r="AD462" s="88"/>
      <c r="AE462" s="88"/>
      <c r="AF462" s="94"/>
      <c r="AG462" s="98"/>
      <c r="AH462" s="94"/>
      <c r="AI462" s="99"/>
      <c r="AJ462" s="99"/>
      <c r="AK462" s="127"/>
      <c r="AU462" s="44"/>
    </row>
    <row r="463" spans="1:47" ht="12" customHeight="1">
      <c r="A463" s="124"/>
      <c r="B463" s="92"/>
      <c r="C463" s="88"/>
      <c r="D463" s="88"/>
      <c r="E463" s="91"/>
      <c r="F463" s="218"/>
      <c r="G463" s="91"/>
      <c r="H463" s="92"/>
      <c r="I463" s="91"/>
      <c r="J463" s="125"/>
      <c r="K463" s="88"/>
      <c r="L463" s="88"/>
      <c r="M463" s="88"/>
      <c r="N463" s="88"/>
      <c r="O463" s="90"/>
      <c r="P463" s="94"/>
      <c r="Q463" s="142"/>
      <c r="R463" s="95"/>
      <c r="S463" s="96"/>
      <c r="T463" s="96"/>
      <c r="U463" s="96"/>
      <c r="V463" s="92"/>
      <c r="W463" s="122"/>
      <c r="X463" s="122"/>
      <c r="Y463" s="97"/>
      <c r="Z463" s="88"/>
      <c r="AA463" s="96"/>
      <c r="AB463" s="88"/>
      <c r="AC463" s="119"/>
      <c r="AD463" s="88"/>
      <c r="AE463" s="88"/>
      <c r="AF463" s="94"/>
      <c r="AG463" s="94"/>
      <c r="AH463" s="94"/>
      <c r="AI463" s="99"/>
      <c r="AJ463" s="99"/>
      <c r="AK463" s="127"/>
      <c r="AU463" s="44"/>
    </row>
    <row r="464" spans="1:47" ht="12" customHeight="1">
      <c r="A464" s="124"/>
      <c r="B464" s="92"/>
      <c r="C464" s="88"/>
      <c r="D464" s="88"/>
      <c r="E464" s="91"/>
      <c r="F464" s="218"/>
      <c r="G464" s="91"/>
      <c r="H464" s="92"/>
      <c r="I464" s="91"/>
      <c r="J464" s="125"/>
      <c r="K464" s="88"/>
      <c r="L464" s="88"/>
      <c r="M464" s="88"/>
      <c r="N464" s="88"/>
      <c r="O464" s="90"/>
      <c r="P464" s="94"/>
      <c r="Q464" s="142"/>
      <c r="R464" s="95"/>
      <c r="S464" s="96"/>
      <c r="T464" s="96"/>
      <c r="U464" s="96"/>
      <c r="V464" s="92"/>
      <c r="W464" s="122"/>
      <c r="X464" s="122"/>
      <c r="Y464" s="97"/>
      <c r="Z464" s="88"/>
      <c r="AA464" s="96"/>
      <c r="AB464" s="88"/>
      <c r="AC464" s="119"/>
      <c r="AD464" s="88"/>
      <c r="AE464" s="88"/>
      <c r="AF464" s="94"/>
      <c r="AG464" s="98"/>
      <c r="AH464" s="94"/>
      <c r="AI464" s="99"/>
      <c r="AJ464" s="99"/>
      <c r="AK464" s="127"/>
      <c r="AU464" s="44"/>
    </row>
    <row r="465" spans="1:47" ht="12" customHeight="1">
      <c r="A465" s="124"/>
      <c r="B465" s="92"/>
      <c r="C465" s="88"/>
      <c r="D465" s="88"/>
      <c r="E465" s="91"/>
      <c r="F465" s="218"/>
      <c r="G465" s="91"/>
      <c r="H465" s="92"/>
      <c r="I465" s="91"/>
      <c r="J465" s="125"/>
      <c r="K465" s="88"/>
      <c r="L465" s="88"/>
      <c r="M465" s="88"/>
      <c r="N465" s="88"/>
      <c r="O465" s="90"/>
      <c r="P465" s="94"/>
      <c r="Q465" s="142"/>
      <c r="R465" s="95"/>
      <c r="S465" s="96"/>
      <c r="T465" s="96"/>
      <c r="U465" s="96"/>
      <c r="V465" s="92"/>
      <c r="W465" s="92"/>
      <c r="X465" s="92"/>
      <c r="Y465" s="97"/>
      <c r="Z465" s="88"/>
      <c r="AA465" s="96"/>
      <c r="AB465" s="88"/>
      <c r="AC465" s="119"/>
      <c r="AD465" s="88"/>
      <c r="AE465" s="88"/>
      <c r="AF465" s="94"/>
      <c r="AG465" s="94"/>
      <c r="AH465" s="126"/>
      <c r="AI465" s="99"/>
      <c r="AJ465" s="99"/>
      <c r="AK465" s="127"/>
      <c r="AU465" s="44"/>
    </row>
    <row r="466" spans="1:47" ht="12" customHeight="1">
      <c r="A466" s="124"/>
      <c r="B466" s="92"/>
      <c r="C466" s="88"/>
      <c r="D466" s="88"/>
      <c r="E466" s="91"/>
      <c r="F466" s="218"/>
      <c r="G466" s="91"/>
      <c r="H466" s="92"/>
      <c r="I466" s="91"/>
      <c r="J466" s="125"/>
      <c r="K466" s="88"/>
      <c r="L466" s="88"/>
      <c r="M466" s="88"/>
      <c r="N466" s="88"/>
      <c r="O466" s="90"/>
      <c r="P466" s="94"/>
      <c r="Q466" s="142"/>
      <c r="R466" s="95"/>
      <c r="S466" s="96"/>
      <c r="T466" s="96"/>
      <c r="U466" s="96"/>
      <c r="V466" s="92"/>
      <c r="W466" s="92"/>
      <c r="X466" s="92"/>
      <c r="Y466" s="97"/>
      <c r="Z466" s="88"/>
      <c r="AA466" s="96"/>
      <c r="AB466" s="88"/>
      <c r="AC466" s="119"/>
      <c r="AD466" s="88"/>
      <c r="AE466" s="88"/>
      <c r="AF466" s="94"/>
      <c r="AG466" s="98"/>
      <c r="AH466" s="94"/>
      <c r="AI466" s="99"/>
      <c r="AJ466" s="99"/>
      <c r="AK466" s="127"/>
      <c r="AU466" s="44"/>
    </row>
    <row r="467" spans="1:47" ht="12" customHeight="1">
      <c r="A467" s="124"/>
      <c r="B467" s="92"/>
      <c r="C467" s="88"/>
      <c r="D467" s="88"/>
      <c r="E467" s="91"/>
      <c r="F467" s="218"/>
      <c r="G467" s="91"/>
      <c r="H467" s="92"/>
      <c r="I467" s="91"/>
      <c r="J467" s="125"/>
      <c r="K467" s="88"/>
      <c r="L467" s="88"/>
      <c r="M467" s="88"/>
      <c r="N467" s="88"/>
      <c r="O467" s="90"/>
      <c r="P467" s="94"/>
      <c r="Q467" s="142"/>
      <c r="R467" s="95"/>
      <c r="S467" s="96"/>
      <c r="T467" s="96"/>
      <c r="U467" s="96"/>
      <c r="V467" s="92"/>
      <c r="W467" s="92"/>
      <c r="X467" s="92"/>
      <c r="Y467" s="97"/>
      <c r="Z467" s="88"/>
      <c r="AA467" s="96"/>
      <c r="AB467" s="88"/>
      <c r="AC467" s="119"/>
      <c r="AD467" s="88"/>
      <c r="AE467" s="88"/>
      <c r="AF467" s="94"/>
      <c r="AG467" s="98"/>
      <c r="AH467" s="94"/>
      <c r="AI467" s="99"/>
      <c r="AJ467" s="99"/>
      <c r="AK467" s="127"/>
      <c r="AU467" s="44"/>
    </row>
    <row r="468" spans="1:47" ht="12" customHeight="1">
      <c r="A468" s="124"/>
      <c r="B468" s="92"/>
      <c r="C468" s="88"/>
      <c r="D468" s="88"/>
      <c r="E468" s="91"/>
      <c r="F468" s="218"/>
      <c r="G468" s="91"/>
      <c r="H468" s="92"/>
      <c r="I468" s="91"/>
      <c r="J468" s="125"/>
      <c r="K468" s="88"/>
      <c r="L468" s="88"/>
      <c r="M468" s="88"/>
      <c r="N468" s="88"/>
      <c r="O468" s="90"/>
      <c r="P468" s="94"/>
      <c r="Q468" s="142"/>
      <c r="R468" s="95"/>
      <c r="S468" s="96"/>
      <c r="T468" s="96"/>
      <c r="U468" s="96"/>
      <c r="V468" s="92"/>
      <c r="W468" s="92"/>
      <c r="X468" s="92"/>
      <c r="Y468" s="97"/>
      <c r="Z468" s="88"/>
      <c r="AA468" s="96"/>
      <c r="AB468" s="88"/>
      <c r="AC468" s="119"/>
      <c r="AD468" s="88"/>
      <c r="AE468" s="88"/>
      <c r="AF468" s="94"/>
      <c r="AG468" s="94"/>
      <c r="AH468" s="126"/>
      <c r="AI468" s="99"/>
      <c r="AJ468" s="99"/>
      <c r="AK468" s="127"/>
      <c r="AU468" s="44"/>
    </row>
    <row r="469" spans="1:47" ht="12" customHeight="1">
      <c r="A469" s="124"/>
      <c r="B469" s="92"/>
      <c r="C469" s="88"/>
      <c r="D469" s="88"/>
      <c r="E469" s="91"/>
      <c r="F469" s="218"/>
      <c r="G469" s="91"/>
      <c r="H469" s="92"/>
      <c r="I469" s="91"/>
      <c r="J469" s="125"/>
      <c r="K469" s="88"/>
      <c r="L469" s="88"/>
      <c r="M469" s="88"/>
      <c r="N469" s="88"/>
      <c r="O469" s="90"/>
      <c r="P469" s="94"/>
      <c r="Q469" s="142"/>
      <c r="R469" s="95"/>
      <c r="S469" s="96"/>
      <c r="T469" s="96"/>
      <c r="U469" s="96"/>
      <c r="V469" s="92"/>
      <c r="W469" s="122"/>
      <c r="X469" s="88"/>
      <c r="Y469" s="97"/>
      <c r="Z469" s="88"/>
      <c r="AA469" s="96"/>
      <c r="AB469" s="88"/>
      <c r="AC469" s="119"/>
      <c r="AD469" s="88"/>
      <c r="AE469" s="88"/>
      <c r="AF469" s="94"/>
      <c r="AG469" s="94"/>
      <c r="AH469" s="94"/>
      <c r="AI469" s="99"/>
      <c r="AJ469" s="99"/>
      <c r="AK469" s="127"/>
      <c r="AU469" s="44"/>
    </row>
    <row r="470" spans="1:47" ht="12" customHeight="1">
      <c r="A470" s="124"/>
      <c r="B470" s="92"/>
      <c r="C470" s="88"/>
      <c r="D470" s="88"/>
      <c r="E470" s="91"/>
      <c r="F470" s="218"/>
      <c r="G470" s="91"/>
      <c r="H470" s="92"/>
      <c r="I470" s="91"/>
      <c r="J470" s="125"/>
      <c r="K470" s="88"/>
      <c r="L470" s="88"/>
      <c r="M470" s="88"/>
      <c r="N470" s="88"/>
      <c r="O470" s="90"/>
      <c r="P470" s="94"/>
      <c r="Q470" s="142"/>
      <c r="R470" s="95"/>
      <c r="S470" s="96"/>
      <c r="T470" s="96"/>
      <c r="U470" s="96"/>
      <c r="V470" s="92"/>
      <c r="W470" s="122"/>
      <c r="X470" s="88"/>
      <c r="Y470" s="97"/>
      <c r="Z470" s="88"/>
      <c r="AA470" s="96"/>
      <c r="AB470" s="88"/>
      <c r="AC470" s="119"/>
      <c r="AD470" s="88"/>
      <c r="AE470" s="88"/>
      <c r="AF470" s="94"/>
      <c r="AG470" s="94"/>
      <c r="AH470" s="94"/>
      <c r="AI470" s="99"/>
      <c r="AJ470" s="99"/>
      <c r="AK470" s="127"/>
      <c r="AU470" s="44"/>
    </row>
    <row r="471" spans="1:47" ht="12" customHeight="1">
      <c r="A471" s="124"/>
      <c r="B471" s="92"/>
      <c r="C471" s="88"/>
      <c r="D471" s="88"/>
      <c r="E471" s="91"/>
      <c r="F471" s="218"/>
      <c r="G471" s="91"/>
      <c r="H471" s="92"/>
      <c r="I471" s="91"/>
      <c r="J471" s="125"/>
      <c r="K471" s="88"/>
      <c r="L471" s="88"/>
      <c r="M471" s="88"/>
      <c r="N471" s="88"/>
      <c r="O471" s="90"/>
      <c r="P471" s="94"/>
      <c r="Q471" s="142"/>
      <c r="R471" s="95"/>
      <c r="S471" s="96"/>
      <c r="T471" s="96"/>
      <c r="U471" s="96"/>
      <c r="V471" s="92"/>
      <c r="W471" s="122"/>
      <c r="X471" s="88"/>
      <c r="Y471" s="97"/>
      <c r="Z471" s="88"/>
      <c r="AA471" s="96"/>
      <c r="AB471" s="88"/>
      <c r="AC471" s="119"/>
      <c r="AD471" s="88"/>
      <c r="AE471" s="88"/>
      <c r="AF471" s="94"/>
      <c r="AG471" s="94"/>
      <c r="AH471" s="94"/>
      <c r="AI471" s="99"/>
      <c r="AJ471" s="99"/>
      <c r="AK471" s="127"/>
      <c r="AU471" s="44"/>
    </row>
    <row r="472" spans="1:47" ht="12" customHeight="1">
      <c r="A472" s="124"/>
      <c r="B472" s="92"/>
      <c r="C472" s="88"/>
      <c r="D472" s="88"/>
      <c r="E472" s="91"/>
      <c r="F472" s="218"/>
      <c r="G472" s="91"/>
      <c r="H472" s="92"/>
      <c r="I472" s="91"/>
      <c r="J472" s="125"/>
      <c r="K472" s="88"/>
      <c r="L472" s="88"/>
      <c r="M472" s="88"/>
      <c r="N472" s="88"/>
      <c r="O472" s="90"/>
      <c r="P472" s="94"/>
      <c r="Q472" s="142"/>
      <c r="R472" s="95"/>
      <c r="S472" s="96"/>
      <c r="T472" s="96"/>
      <c r="U472" s="96"/>
      <c r="V472" s="92"/>
      <c r="W472" s="122"/>
      <c r="X472" s="88"/>
      <c r="Y472" s="97"/>
      <c r="Z472" s="88"/>
      <c r="AA472" s="96"/>
      <c r="AB472" s="88"/>
      <c r="AC472" s="119"/>
      <c r="AD472" s="88"/>
      <c r="AE472" s="88"/>
      <c r="AF472" s="94"/>
      <c r="AG472" s="94"/>
      <c r="AH472" s="94"/>
      <c r="AI472" s="99"/>
      <c r="AJ472" s="99"/>
      <c r="AK472" s="127"/>
      <c r="AU472" s="44"/>
    </row>
    <row r="473" spans="1:47" ht="12" customHeight="1">
      <c r="A473" s="124"/>
      <c r="B473" s="92"/>
      <c r="C473" s="88"/>
      <c r="D473" s="88"/>
      <c r="E473" s="91"/>
      <c r="F473" s="218"/>
      <c r="G473" s="91"/>
      <c r="H473" s="92"/>
      <c r="I473" s="91"/>
      <c r="J473" s="125"/>
      <c r="K473" s="88"/>
      <c r="L473" s="88"/>
      <c r="M473" s="88"/>
      <c r="N473" s="88"/>
      <c r="O473" s="90"/>
      <c r="P473" s="94"/>
      <c r="Q473" s="142"/>
      <c r="R473" s="95"/>
      <c r="S473" s="96"/>
      <c r="T473" s="96"/>
      <c r="U473" s="96"/>
      <c r="V473" s="92"/>
      <c r="W473" s="92"/>
      <c r="X473" s="92"/>
      <c r="Y473" s="97"/>
      <c r="Z473" s="88"/>
      <c r="AA473" s="96"/>
      <c r="AB473" s="88"/>
      <c r="AC473" s="119"/>
      <c r="AD473" s="88"/>
      <c r="AE473" s="88"/>
      <c r="AF473" s="94"/>
      <c r="AG473" s="98"/>
      <c r="AH473" s="94"/>
      <c r="AI473" s="99"/>
      <c r="AJ473" s="99"/>
      <c r="AK473" s="127"/>
      <c r="AU473" s="44"/>
    </row>
    <row r="474" spans="1:47" ht="12" customHeight="1">
      <c r="A474" s="124"/>
      <c r="B474" s="92"/>
      <c r="C474" s="88"/>
      <c r="D474" s="88"/>
      <c r="E474" s="91"/>
      <c r="F474" s="218"/>
      <c r="G474" s="91"/>
      <c r="H474" s="92"/>
      <c r="I474" s="91"/>
      <c r="J474" s="125"/>
      <c r="K474" s="88"/>
      <c r="L474" s="88"/>
      <c r="M474" s="88"/>
      <c r="N474" s="88"/>
      <c r="O474" s="90"/>
      <c r="P474" s="94"/>
      <c r="Q474" s="142"/>
      <c r="R474" s="95"/>
      <c r="S474" s="96"/>
      <c r="T474" s="96"/>
      <c r="U474" s="96"/>
      <c r="V474" s="92"/>
      <c r="W474" s="122"/>
      <c r="X474" s="88"/>
      <c r="Y474" s="97"/>
      <c r="Z474" s="88"/>
      <c r="AA474" s="96"/>
      <c r="AB474" s="88"/>
      <c r="AC474" s="119"/>
      <c r="AD474" s="88"/>
      <c r="AE474" s="88"/>
      <c r="AF474" s="94"/>
      <c r="AG474" s="94"/>
      <c r="AH474" s="94"/>
      <c r="AI474" s="99"/>
      <c r="AJ474" s="99"/>
      <c r="AK474" s="127"/>
      <c r="AU474" s="44"/>
    </row>
    <row r="475" spans="1:47" ht="12" customHeight="1">
      <c r="A475" s="124"/>
      <c r="B475" s="92"/>
      <c r="C475" s="88"/>
      <c r="D475" s="88"/>
      <c r="E475" s="91"/>
      <c r="F475" s="218"/>
      <c r="G475" s="91"/>
      <c r="H475" s="92"/>
      <c r="I475" s="91"/>
      <c r="J475" s="125"/>
      <c r="K475" s="88"/>
      <c r="L475" s="88"/>
      <c r="M475" s="88"/>
      <c r="N475" s="88"/>
      <c r="O475" s="90"/>
      <c r="P475" s="94"/>
      <c r="Q475" s="142"/>
      <c r="R475" s="95"/>
      <c r="S475" s="96"/>
      <c r="T475" s="96"/>
      <c r="U475" s="96"/>
      <c r="V475" s="92"/>
      <c r="W475" s="92"/>
      <c r="X475" s="92"/>
      <c r="Y475" s="97"/>
      <c r="Z475" s="88"/>
      <c r="AA475" s="96"/>
      <c r="AB475" s="88"/>
      <c r="AC475" s="119"/>
      <c r="AD475" s="88"/>
      <c r="AE475" s="88"/>
      <c r="AF475" s="94"/>
      <c r="AG475" s="98"/>
      <c r="AH475" s="94"/>
      <c r="AI475" s="99"/>
      <c r="AJ475" s="99"/>
      <c r="AK475" s="127"/>
      <c r="AU475" s="44"/>
    </row>
    <row r="476" spans="1:47" ht="12" customHeight="1">
      <c r="A476" s="124"/>
      <c r="B476" s="92"/>
      <c r="C476" s="88"/>
      <c r="D476" s="88"/>
      <c r="E476" s="91"/>
      <c r="F476" s="218"/>
      <c r="G476" s="91"/>
      <c r="H476" s="92"/>
      <c r="I476" s="91"/>
      <c r="J476" s="125"/>
      <c r="K476" s="88"/>
      <c r="L476" s="88"/>
      <c r="M476" s="88"/>
      <c r="N476" s="88"/>
      <c r="O476" s="90"/>
      <c r="P476" s="94"/>
      <c r="Q476" s="142"/>
      <c r="R476" s="95"/>
      <c r="S476" s="96"/>
      <c r="T476" s="96"/>
      <c r="U476" s="96"/>
      <c r="V476" s="92"/>
      <c r="W476" s="122"/>
      <c r="X476" s="88"/>
      <c r="Y476" s="97"/>
      <c r="Z476" s="88"/>
      <c r="AA476" s="96"/>
      <c r="AB476" s="88"/>
      <c r="AC476" s="119"/>
      <c r="AD476" s="88"/>
      <c r="AE476" s="88"/>
      <c r="AF476" s="94"/>
      <c r="AG476" s="94"/>
      <c r="AH476" s="94"/>
      <c r="AI476" s="99"/>
      <c r="AJ476" s="99"/>
      <c r="AK476" s="127"/>
      <c r="AU476" s="44"/>
    </row>
    <row r="477" spans="1:47" ht="12" customHeight="1">
      <c r="A477" s="124"/>
      <c r="B477" s="92"/>
      <c r="C477" s="88"/>
      <c r="D477" s="88"/>
      <c r="E477" s="91"/>
      <c r="F477" s="218"/>
      <c r="G477" s="91"/>
      <c r="H477" s="92"/>
      <c r="I477" s="91"/>
      <c r="J477" s="125"/>
      <c r="K477" s="88"/>
      <c r="L477" s="88"/>
      <c r="M477" s="88"/>
      <c r="N477" s="88"/>
      <c r="O477" s="90"/>
      <c r="P477" s="94"/>
      <c r="Q477" s="142"/>
      <c r="R477" s="95"/>
      <c r="S477" s="96"/>
      <c r="T477" s="96"/>
      <c r="U477" s="96"/>
      <c r="V477" s="92"/>
      <c r="W477" s="92"/>
      <c r="X477" s="92"/>
      <c r="Y477" s="97"/>
      <c r="Z477" s="88"/>
      <c r="AA477" s="96"/>
      <c r="AB477" s="88"/>
      <c r="AC477" s="119"/>
      <c r="AD477" s="88"/>
      <c r="AE477" s="88"/>
      <c r="AF477" s="94"/>
      <c r="AG477" s="98"/>
      <c r="AH477" s="94"/>
      <c r="AI477" s="99"/>
      <c r="AJ477" s="99"/>
      <c r="AK477" s="127"/>
      <c r="AU477" s="44"/>
    </row>
    <row r="478" spans="1:47" ht="12" customHeight="1">
      <c r="A478" s="124"/>
      <c r="B478" s="92"/>
      <c r="C478" s="88"/>
      <c r="D478" s="88"/>
      <c r="E478" s="91"/>
      <c r="F478" s="218"/>
      <c r="G478" s="91"/>
      <c r="H478" s="92"/>
      <c r="I478" s="91"/>
      <c r="J478" s="125"/>
      <c r="K478" s="88"/>
      <c r="L478" s="88"/>
      <c r="M478" s="88"/>
      <c r="N478" s="88"/>
      <c r="O478" s="90"/>
      <c r="P478" s="94"/>
      <c r="Q478" s="142"/>
      <c r="R478" s="95"/>
      <c r="S478" s="96"/>
      <c r="T478" s="96"/>
      <c r="U478" s="96"/>
      <c r="V478" s="92"/>
      <c r="W478" s="122"/>
      <c r="X478" s="88"/>
      <c r="Y478" s="97"/>
      <c r="Z478" s="88"/>
      <c r="AA478" s="96"/>
      <c r="AB478" s="88"/>
      <c r="AC478" s="119"/>
      <c r="AD478" s="88"/>
      <c r="AE478" s="88"/>
      <c r="AF478" s="94"/>
      <c r="AG478" s="94"/>
      <c r="AH478" s="94"/>
      <c r="AI478" s="99"/>
      <c r="AJ478" s="99"/>
      <c r="AK478" s="127"/>
      <c r="AU478" s="44"/>
    </row>
    <row r="479" spans="1:47" ht="12" customHeight="1">
      <c r="A479" s="124"/>
      <c r="B479" s="92"/>
      <c r="C479" s="88"/>
      <c r="D479" s="88"/>
      <c r="E479" s="91"/>
      <c r="F479" s="218"/>
      <c r="G479" s="91"/>
      <c r="H479" s="92"/>
      <c r="I479" s="91"/>
      <c r="J479" s="125"/>
      <c r="K479" s="88"/>
      <c r="L479" s="88"/>
      <c r="M479" s="88"/>
      <c r="N479" s="88"/>
      <c r="O479" s="90"/>
      <c r="P479" s="94"/>
      <c r="Q479" s="142"/>
      <c r="R479" s="95"/>
      <c r="S479" s="96"/>
      <c r="T479" s="96"/>
      <c r="U479" s="96"/>
      <c r="V479" s="92"/>
      <c r="W479" s="92"/>
      <c r="X479" s="92"/>
      <c r="Y479" s="97"/>
      <c r="Z479" s="88"/>
      <c r="AA479" s="96"/>
      <c r="AB479" s="88"/>
      <c r="AC479" s="119"/>
      <c r="AD479" s="88"/>
      <c r="AE479" s="88"/>
      <c r="AF479" s="94"/>
      <c r="AG479" s="98"/>
      <c r="AH479" s="94"/>
      <c r="AI479" s="99"/>
      <c r="AJ479" s="99"/>
      <c r="AK479" s="127"/>
      <c r="AU479" s="44"/>
    </row>
    <row r="480" spans="1:47" ht="12" customHeight="1">
      <c r="A480" s="124"/>
      <c r="B480" s="92"/>
      <c r="C480" s="88"/>
      <c r="D480" s="88"/>
      <c r="E480" s="91"/>
      <c r="F480" s="218"/>
      <c r="G480" s="91"/>
      <c r="H480" s="92"/>
      <c r="I480" s="91"/>
      <c r="J480" s="125"/>
      <c r="K480" s="88"/>
      <c r="L480" s="88"/>
      <c r="M480" s="88"/>
      <c r="N480" s="88"/>
      <c r="O480" s="90"/>
      <c r="P480" s="94"/>
      <c r="Q480" s="142"/>
      <c r="R480" s="95"/>
      <c r="S480" s="96"/>
      <c r="T480" s="96"/>
      <c r="U480" s="96"/>
      <c r="V480" s="92"/>
      <c r="W480" s="122"/>
      <c r="X480" s="88"/>
      <c r="Y480" s="97"/>
      <c r="Z480" s="88"/>
      <c r="AA480" s="96"/>
      <c r="AB480" s="88"/>
      <c r="AC480" s="119"/>
      <c r="AD480" s="88"/>
      <c r="AE480" s="88"/>
      <c r="AF480" s="94"/>
      <c r="AG480" s="94"/>
      <c r="AH480" s="94"/>
      <c r="AI480" s="99"/>
      <c r="AJ480" s="99"/>
      <c r="AK480" s="127"/>
      <c r="AU480" s="44"/>
    </row>
    <row r="481" spans="1:47" ht="12" customHeight="1">
      <c r="A481" s="128"/>
      <c r="B481" s="129"/>
      <c r="C481" s="130"/>
      <c r="D481" s="130"/>
      <c r="E481" s="132"/>
      <c r="F481" s="219"/>
      <c r="G481" s="132"/>
      <c r="H481" s="129"/>
      <c r="I481" s="132"/>
      <c r="J481" s="133"/>
      <c r="K481" s="130"/>
      <c r="L481" s="130"/>
      <c r="M481" s="130"/>
      <c r="N481" s="130"/>
      <c r="O481" s="131"/>
      <c r="P481" s="134"/>
      <c r="Q481" s="144"/>
      <c r="R481" s="135"/>
      <c r="S481" s="136"/>
      <c r="T481" s="136"/>
      <c r="U481" s="136"/>
      <c r="V481" s="129"/>
      <c r="W481" s="137"/>
      <c r="X481" s="130"/>
      <c r="Y481" s="138"/>
      <c r="Z481" s="130"/>
      <c r="AA481" s="136"/>
      <c r="AB481" s="130"/>
      <c r="AC481" s="188"/>
      <c r="AD481" s="130"/>
      <c r="AE481" s="130"/>
      <c r="AF481" s="134"/>
      <c r="AG481" s="134"/>
      <c r="AH481" s="134"/>
      <c r="AI481" s="139"/>
      <c r="AJ481" s="139"/>
      <c r="AK481" s="140"/>
      <c r="AU481" s="44"/>
    </row>
    <row r="482" spans="1:47" ht="12" customHeight="1">
      <c r="A482" s="128"/>
      <c r="B482" s="92"/>
      <c r="C482" s="130"/>
      <c r="D482" s="130"/>
      <c r="E482" s="91"/>
      <c r="F482" s="218"/>
      <c r="G482" s="91"/>
      <c r="H482" s="92"/>
      <c r="I482" s="91"/>
      <c r="J482" s="133"/>
      <c r="K482" s="88"/>
      <c r="L482" s="88"/>
      <c r="M482" s="88"/>
      <c r="N482" s="88"/>
      <c r="O482" s="90"/>
      <c r="P482" s="94"/>
      <c r="Q482" s="142"/>
      <c r="R482" s="95"/>
      <c r="S482" s="96"/>
      <c r="T482" s="96"/>
      <c r="U482" s="96"/>
      <c r="V482" s="92"/>
      <c r="W482" s="122"/>
      <c r="X482" s="88"/>
      <c r="Y482" s="97"/>
      <c r="Z482" s="88"/>
      <c r="AA482" s="96"/>
      <c r="AB482" s="88"/>
      <c r="AC482" s="119"/>
      <c r="AD482" s="88"/>
      <c r="AE482" s="88"/>
      <c r="AF482" s="94"/>
      <c r="AG482" s="94"/>
      <c r="AH482" s="94"/>
      <c r="AI482" s="99"/>
      <c r="AJ482" s="99"/>
      <c r="AK482" s="127"/>
      <c r="AU482" s="44"/>
    </row>
    <row r="483" spans="1:47" ht="12" customHeight="1">
      <c r="A483" s="128"/>
      <c r="B483" s="92"/>
      <c r="C483" s="130"/>
      <c r="D483" s="130"/>
      <c r="E483" s="91"/>
      <c r="F483" s="218"/>
      <c r="G483" s="91"/>
      <c r="H483" s="92"/>
      <c r="I483" s="91"/>
      <c r="J483" s="133"/>
      <c r="K483" s="88"/>
      <c r="L483" s="88"/>
      <c r="M483" s="88"/>
      <c r="N483" s="88"/>
      <c r="O483" s="90"/>
      <c r="P483" s="94"/>
      <c r="Q483" s="142"/>
      <c r="R483" s="95"/>
      <c r="S483" s="96"/>
      <c r="T483" s="96"/>
      <c r="U483" s="96"/>
      <c r="V483" s="92"/>
      <c r="W483" s="122"/>
      <c r="X483" s="88"/>
      <c r="Y483" s="97"/>
      <c r="Z483" s="88"/>
      <c r="AA483" s="96"/>
      <c r="AB483" s="88"/>
      <c r="AC483" s="119"/>
      <c r="AD483" s="88"/>
      <c r="AE483" s="88"/>
      <c r="AF483" s="94"/>
      <c r="AG483" s="94"/>
      <c r="AH483" s="94"/>
      <c r="AI483" s="99"/>
      <c r="AJ483" s="99"/>
      <c r="AK483" s="127"/>
      <c r="AU483" s="44"/>
    </row>
    <row r="484" spans="1:47" ht="12" customHeight="1">
      <c r="A484" s="128"/>
      <c r="B484" s="92"/>
      <c r="C484" s="130"/>
      <c r="D484" s="130"/>
      <c r="E484" s="91"/>
      <c r="F484" s="218"/>
      <c r="G484" s="91"/>
      <c r="H484" s="92"/>
      <c r="I484" s="91"/>
      <c r="J484" s="133"/>
      <c r="K484" s="88"/>
      <c r="L484" s="88"/>
      <c r="M484" s="88"/>
      <c r="N484" s="88"/>
      <c r="O484" s="90"/>
      <c r="P484" s="94"/>
      <c r="Q484" s="142"/>
      <c r="R484" s="95"/>
      <c r="S484" s="96"/>
      <c r="T484" s="96"/>
      <c r="U484" s="96"/>
      <c r="V484" s="92"/>
      <c r="W484" s="122"/>
      <c r="X484" s="88"/>
      <c r="Y484" s="97"/>
      <c r="Z484" s="88"/>
      <c r="AA484" s="96"/>
      <c r="AB484" s="88"/>
      <c r="AC484" s="119"/>
      <c r="AD484" s="88"/>
      <c r="AE484" s="88"/>
      <c r="AF484" s="94"/>
      <c r="AG484" s="94"/>
      <c r="AH484" s="94"/>
      <c r="AI484" s="99"/>
      <c r="AJ484" s="99"/>
      <c r="AK484" s="127"/>
      <c r="AU484" s="44"/>
    </row>
    <row r="485" spans="1:47" ht="12" customHeight="1">
      <c r="A485" s="128"/>
      <c r="B485" s="92"/>
      <c r="C485" s="130"/>
      <c r="D485" s="130"/>
      <c r="E485" s="91"/>
      <c r="F485" s="218"/>
      <c r="G485" s="91"/>
      <c r="H485" s="92"/>
      <c r="I485" s="91"/>
      <c r="J485" s="133"/>
      <c r="K485" s="88"/>
      <c r="L485" s="88"/>
      <c r="M485" s="88"/>
      <c r="N485" s="88"/>
      <c r="O485" s="90"/>
      <c r="P485" s="94"/>
      <c r="Q485" s="142"/>
      <c r="R485" s="95"/>
      <c r="S485" s="96"/>
      <c r="T485" s="96"/>
      <c r="U485" s="96"/>
      <c r="V485" s="92"/>
      <c r="W485" s="122"/>
      <c r="X485" s="88"/>
      <c r="Y485" s="97"/>
      <c r="Z485" s="88"/>
      <c r="AA485" s="96"/>
      <c r="AB485" s="88"/>
      <c r="AC485" s="119"/>
      <c r="AD485" s="88"/>
      <c r="AE485" s="88"/>
      <c r="AF485" s="94"/>
      <c r="AG485" s="94"/>
      <c r="AH485" s="94"/>
      <c r="AI485" s="99"/>
      <c r="AJ485" s="99"/>
      <c r="AK485" s="127"/>
      <c r="AU485" s="44"/>
    </row>
    <row r="486" spans="1:47" ht="12" customHeight="1">
      <c r="A486" s="128"/>
      <c r="B486" s="92"/>
      <c r="C486" s="130"/>
      <c r="D486" s="130"/>
      <c r="E486" s="91"/>
      <c r="F486" s="218"/>
      <c r="G486" s="91"/>
      <c r="H486" s="92"/>
      <c r="I486" s="91"/>
      <c r="J486" s="133"/>
      <c r="K486" s="88"/>
      <c r="L486" s="88"/>
      <c r="M486" s="88"/>
      <c r="N486" s="88"/>
      <c r="O486" s="90"/>
      <c r="P486" s="94"/>
      <c r="Q486" s="142"/>
      <c r="R486" s="95"/>
      <c r="S486" s="96"/>
      <c r="T486" s="96"/>
      <c r="U486" s="96"/>
      <c r="V486" s="92"/>
      <c r="W486" s="122"/>
      <c r="X486" s="88"/>
      <c r="Y486" s="97"/>
      <c r="Z486" s="88"/>
      <c r="AA486" s="96"/>
      <c r="AB486" s="88"/>
      <c r="AC486" s="119"/>
      <c r="AD486" s="88"/>
      <c r="AE486" s="88"/>
      <c r="AF486" s="94"/>
      <c r="AG486" s="94"/>
      <c r="AH486" s="94"/>
      <c r="AI486" s="99"/>
      <c r="AJ486" s="99"/>
      <c r="AK486" s="127"/>
      <c r="AU486" s="44"/>
    </row>
    <row r="487" spans="1:47" ht="12" customHeight="1">
      <c r="A487" s="128"/>
      <c r="B487" s="92"/>
      <c r="C487" s="130"/>
      <c r="D487" s="130"/>
      <c r="E487" s="91"/>
      <c r="F487" s="218"/>
      <c r="G487" s="91"/>
      <c r="H487" s="92"/>
      <c r="I487" s="91"/>
      <c r="J487" s="133"/>
      <c r="K487" s="88"/>
      <c r="L487" s="88"/>
      <c r="M487" s="88"/>
      <c r="N487" s="88"/>
      <c r="O487" s="90"/>
      <c r="P487" s="94"/>
      <c r="Q487" s="142"/>
      <c r="R487" s="95"/>
      <c r="S487" s="96"/>
      <c r="T487" s="96"/>
      <c r="U487" s="96"/>
      <c r="V487" s="92"/>
      <c r="W487" s="122"/>
      <c r="X487" s="88"/>
      <c r="Y487" s="97"/>
      <c r="Z487" s="88"/>
      <c r="AA487" s="96"/>
      <c r="AB487" s="88"/>
      <c r="AC487" s="119"/>
      <c r="AD487" s="88"/>
      <c r="AE487" s="88"/>
      <c r="AF487" s="94"/>
      <c r="AG487" s="94"/>
      <c r="AH487" s="94"/>
      <c r="AI487" s="99"/>
      <c r="AJ487" s="99"/>
      <c r="AK487" s="127"/>
      <c r="AU487" s="44"/>
    </row>
    <row r="488" spans="1:47" ht="12" customHeight="1">
      <c r="A488" s="128"/>
      <c r="B488" s="92"/>
      <c r="C488" s="130"/>
      <c r="D488" s="130"/>
      <c r="E488" s="91"/>
      <c r="F488" s="218"/>
      <c r="G488" s="91"/>
      <c r="H488" s="92"/>
      <c r="I488" s="91"/>
      <c r="J488" s="133"/>
      <c r="K488" s="88"/>
      <c r="L488" s="88"/>
      <c r="M488" s="88"/>
      <c r="N488" s="88"/>
      <c r="O488" s="90"/>
      <c r="P488" s="94"/>
      <c r="Q488" s="142"/>
      <c r="R488" s="95"/>
      <c r="S488" s="96"/>
      <c r="T488" s="96"/>
      <c r="U488" s="96"/>
      <c r="V488" s="92"/>
      <c r="W488" s="122"/>
      <c r="X488" s="88"/>
      <c r="Y488" s="97"/>
      <c r="Z488" s="88"/>
      <c r="AA488" s="96"/>
      <c r="AB488" s="88"/>
      <c r="AC488" s="119"/>
      <c r="AD488" s="88"/>
      <c r="AE488" s="88"/>
      <c r="AF488" s="94"/>
      <c r="AG488" s="94"/>
      <c r="AH488" s="94"/>
      <c r="AI488" s="99"/>
      <c r="AJ488" s="99"/>
      <c r="AK488" s="127"/>
      <c r="AU488" s="44"/>
    </row>
    <row r="489" spans="1:47" ht="12" customHeight="1">
      <c r="A489" s="128"/>
      <c r="B489" s="92"/>
      <c r="C489" s="130"/>
      <c r="D489" s="130"/>
      <c r="E489" s="91"/>
      <c r="F489" s="218"/>
      <c r="G489" s="91"/>
      <c r="H489" s="92"/>
      <c r="I489" s="91"/>
      <c r="J489" s="133"/>
      <c r="K489" s="88"/>
      <c r="L489" s="88"/>
      <c r="M489" s="88"/>
      <c r="N489" s="88"/>
      <c r="O489" s="90"/>
      <c r="P489" s="94"/>
      <c r="Q489" s="142"/>
      <c r="R489" s="95"/>
      <c r="S489" s="96"/>
      <c r="T489" s="96"/>
      <c r="U489" s="96"/>
      <c r="V489" s="92"/>
      <c r="W489" s="122"/>
      <c r="X489" s="88"/>
      <c r="Y489" s="97"/>
      <c r="Z489" s="88"/>
      <c r="AA489" s="96"/>
      <c r="AB489" s="88"/>
      <c r="AC489" s="119"/>
      <c r="AD489" s="88"/>
      <c r="AE489" s="88"/>
      <c r="AF489" s="94"/>
      <c r="AG489" s="94"/>
      <c r="AH489" s="94"/>
      <c r="AI489" s="99"/>
      <c r="AJ489" s="99"/>
      <c r="AK489" s="127"/>
      <c r="AU489" s="44"/>
    </row>
    <row r="490" spans="1:47" ht="12" customHeight="1">
      <c r="A490" s="128"/>
      <c r="B490" s="92"/>
      <c r="C490" s="130"/>
      <c r="D490" s="130"/>
      <c r="E490" s="91"/>
      <c r="F490" s="218"/>
      <c r="G490" s="91"/>
      <c r="H490" s="92"/>
      <c r="I490" s="91"/>
      <c r="J490" s="133"/>
      <c r="K490" s="88"/>
      <c r="L490" s="88"/>
      <c r="M490" s="88"/>
      <c r="N490" s="88"/>
      <c r="O490" s="90"/>
      <c r="P490" s="94"/>
      <c r="Q490" s="142"/>
      <c r="R490" s="95"/>
      <c r="S490" s="96"/>
      <c r="T490" s="96"/>
      <c r="U490" s="96"/>
      <c r="V490" s="92"/>
      <c r="W490" s="122"/>
      <c r="X490" s="88"/>
      <c r="Y490" s="97"/>
      <c r="Z490" s="88"/>
      <c r="AA490" s="96"/>
      <c r="AB490" s="88"/>
      <c r="AC490" s="119"/>
      <c r="AD490" s="88"/>
      <c r="AE490" s="88"/>
      <c r="AF490" s="94"/>
      <c r="AG490" s="94"/>
      <c r="AH490" s="94"/>
      <c r="AI490" s="99"/>
      <c r="AJ490" s="99"/>
      <c r="AK490" s="127"/>
      <c r="AU490" s="44"/>
    </row>
    <row r="491" spans="1:47" ht="12" customHeight="1">
      <c r="A491" s="128"/>
      <c r="B491" s="92"/>
      <c r="C491" s="130"/>
      <c r="D491" s="130"/>
      <c r="E491" s="91"/>
      <c r="F491" s="218"/>
      <c r="G491" s="91"/>
      <c r="H491" s="92"/>
      <c r="I491" s="91"/>
      <c r="J491" s="133"/>
      <c r="K491" s="88"/>
      <c r="L491" s="88"/>
      <c r="M491" s="88"/>
      <c r="N491" s="88"/>
      <c r="O491" s="90"/>
      <c r="P491" s="94"/>
      <c r="Q491" s="142"/>
      <c r="R491" s="95"/>
      <c r="S491" s="96"/>
      <c r="T491" s="96"/>
      <c r="U491" s="96"/>
      <c r="V491" s="92"/>
      <c r="W491" s="122"/>
      <c r="X491" s="88"/>
      <c r="Y491" s="97"/>
      <c r="Z491" s="88"/>
      <c r="AA491" s="96"/>
      <c r="AB491" s="88"/>
      <c r="AC491" s="119"/>
      <c r="AD491" s="88"/>
      <c r="AE491" s="88"/>
      <c r="AF491" s="94"/>
      <c r="AG491" s="94"/>
      <c r="AH491" s="94"/>
      <c r="AI491" s="99"/>
      <c r="AJ491" s="99"/>
      <c r="AK491" s="127"/>
      <c r="AU491" s="44"/>
    </row>
    <row r="492" spans="1:47" ht="12" customHeight="1">
      <c r="A492" s="128"/>
      <c r="B492" s="92"/>
      <c r="C492" s="130"/>
      <c r="D492" s="130"/>
      <c r="E492" s="91"/>
      <c r="F492" s="218"/>
      <c r="G492" s="91"/>
      <c r="H492" s="92"/>
      <c r="I492" s="91"/>
      <c r="J492" s="133"/>
      <c r="K492" s="88"/>
      <c r="L492" s="88"/>
      <c r="M492" s="88"/>
      <c r="N492" s="88"/>
      <c r="O492" s="90"/>
      <c r="P492" s="94"/>
      <c r="Q492" s="142"/>
      <c r="R492" s="95"/>
      <c r="S492" s="96"/>
      <c r="T492" s="96"/>
      <c r="U492" s="96"/>
      <c r="V492" s="92"/>
      <c r="W492" s="122"/>
      <c r="X492" s="88"/>
      <c r="Y492" s="97"/>
      <c r="Z492" s="88"/>
      <c r="AA492" s="96"/>
      <c r="AB492" s="88"/>
      <c r="AC492" s="119"/>
      <c r="AD492" s="88"/>
      <c r="AE492" s="88"/>
      <c r="AF492" s="94"/>
      <c r="AG492" s="94"/>
      <c r="AH492" s="94"/>
      <c r="AI492" s="99"/>
      <c r="AJ492" s="99"/>
      <c r="AK492" s="127"/>
      <c r="AU492" s="44"/>
    </row>
    <row r="493" spans="1:47" ht="12" customHeight="1">
      <c r="A493" s="128"/>
      <c r="B493" s="92"/>
      <c r="C493" s="130"/>
      <c r="D493" s="130"/>
      <c r="E493" s="91"/>
      <c r="F493" s="218"/>
      <c r="G493" s="91"/>
      <c r="H493" s="92"/>
      <c r="I493" s="91"/>
      <c r="J493" s="133"/>
      <c r="K493" s="88"/>
      <c r="L493" s="88"/>
      <c r="M493" s="88"/>
      <c r="N493" s="88"/>
      <c r="O493" s="90"/>
      <c r="P493" s="94"/>
      <c r="Q493" s="142"/>
      <c r="R493" s="95"/>
      <c r="S493" s="96"/>
      <c r="T493" s="96"/>
      <c r="U493" s="96"/>
      <c r="V493" s="92"/>
      <c r="W493" s="122"/>
      <c r="X493" s="88"/>
      <c r="Y493" s="97"/>
      <c r="Z493" s="88"/>
      <c r="AA493" s="96"/>
      <c r="AB493" s="88"/>
      <c r="AC493" s="119"/>
      <c r="AD493" s="88"/>
      <c r="AE493" s="88"/>
      <c r="AF493" s="94"/>
      <c r="AG493" s="94"/>
      <c r="AH493" s="94"/>
      <c r="AI493" s="99"/>
      <c r="AJ493" s="99"/>
      <c r="AK493" s="127"/>
      <c r="AU493" s="44"/>
    </row>
    <row r="494" spans="1:47" ht="12" customHeight="1">
      <c r="A494" s="128"/>
      <c r="B494" s="92"/>
      <c r="C494" s="130"/>
      <c r="D494" s="130"/>
      <c r="E494" s="132"/>
      <c r="F494" s="219"/>
      <c r="G494" s="132"/>
      <c r="H494" s="129"/>
      <c r="I494" s="132"/>
      <c r="J494" s="133"/>
      <c r="K494" s="130"/>
      <c r="L494" s="130"/>
      <c r="M494" s="130"/>
      <c r="N494" s="130"/>
      <c r="O494" s="131"/>
      <c r="P494" s="134"/>
      <c r="Q494" s="142"/>
      <c r="R494" s="135"/>
      <c r="S494" s="136"/>
      <c r="T494" s="96"/>
      <c r="U494" s="96"/>
      <c r="V494" s="129"/>
      <c r="W494" s="137"/>
      <c r="X494" s="130"/>
      <c r="Y494" s="138"/>
      <c r="Z494" s="130"/>
      <c r="AA494" s="136"/>
      <c r="AB494" s="130"/>
      <c r="AC494" s="188"/>
      <c r="AD494" s="130"/>
      <c r="AE494" s="130"/>
      <c r="AF494" s="134"/>
      <c r="AG494" s="134"/>
      <c r="AH494" s="134"/>
      <c r="AI494" s="139"/>
      <c r="AJ494" s="139"/>
      <c r="AK494" s="140"/>
      <c r="AU494" s="44"/>
    </row>
    <row r="495" spans="1:47" ht="12" customHeight="1">
      <c r="A495" s="86"/>
      <c r="B495" s="87"/>
      <c r="C495" s="90"/>
      <c r="D495" s="88"/>
      <c r="E495" s="91"/>
      <c r="F495" s="218"/>
      <c r="G495" s="91"/>
      <c r="H495" s="92"/>
      <c r="I495" s="91"/>
      <c r="J495" s="88"/>
      <c r="K495" s="88"/>
      <c r="L495" s="88"/>
      <c r="M495" s="88"/>
      <c r="N495" s="88"/>
      <c r="O495" s="93"/>
      <c r="P495" s="94"/>
      <c r="Q495" s="142"/>
      <c r="R495" s="95"/>
      <c r="S495" s="96"/>
      <c r="T495" s="96"/>
      <c r="U495" s="96"/>
      <c r="V495" s="92"/>
      <c r="W495" s="123"/>
      <c r="X495" s="88"/>
      <c r="Y495" s="97"/>
      <c r="Z495" s="88"/>
      <c r="AA495" s="96"/>
      <c r="AB495" s="90"/>
      <c r="AC495" s="119"/>
      <c r="AD495" s="88"/>
      <c r="AE495" s="88"/>
      <c r="AF495" s="98"/>
      <c r="AG495" s="98"/>
      <c r="AH495" s="98"/>
      <c r="AI495" s="99"/>
      <c r="AJ495" s="99"/>
      <c r="AK495" s="99"/>
      <c r="AU495" s="44"/>
    </row>
    <row r="496" spans="1:47" ht="12" customHeight="1">
      <c r="A496" s="86"/>
      <c r="B496" s="87"/>
      <c r="C496" s="90"/>
      <c r="D496" s="88"/>
      <c r="E496" s="91"/>
      <c r="F496" s="218"/>
      <c r="G496" s="91"/>
      <c r="H496" s="92"/>
      <c r="I496" s="91"/>
      <c r="J496" s="88"/>
      <c r="K496" s="88"/>
      <c r="L496" s="88"/>
      <c r="M496" s="88"/>
      <c r="N496" s="88"/>
      <c r="O496" s="93"/>
      <c r="P496" s="94"/>
      <c r="Q496" s="142"/>
      <c r="R496" s="95"/>
      <c r="S496" s="96"/>
      <c r="T496" s="96"/>
      <c r="U496" s="96"/>
      <c r="V496" s="92"/>
      <c r="W496" s="123"/>
      <c r="X496" s="92"/>
      <c r="Y496" s="97"/>
      <c r="Z496" s="88"/>
      <c r="AA496" s="96"/>
      <c r="AB496" s="90"/>
      <c r="AC496" s="119"/>
      <c r="AD496" s="88"/>
      <c r="AE496" s="88"/>
      <c r="AF496" s="98"/>
      <c r="AG496" s="98"/>
      <c r="AH496" s="98"/>
      <c r="AI496" s="99"/>
      <c r="AJ496" s="99"/>
      <c r="AK496" s="99"/>
      <c r="AU496" s="44"/>
    </row>
    <row r="497" spans="1:47" ht="12" customHeight="1">
      <c r="A497" s="86"/>
      <c r="B497" s="87"/>
      <c r="C497" s="90"/>
      <c r="D497" s="88"/>
      <c r="E497" s="91"/>
      <c r="F497" s="218"/>
      <c r="G497" s="91"/>
      <c r="H497" s="92"/>
      <c r="I497" s="91"/>
      <c r="J497" s="88"/>
      <c r="K497" s="88"/>
      <c r="L497" s="88"/>
      <c r="M497" s="88"/>
      <c r="N497" s="88"/>
      <c r="O497" s="93"/>
      <c r="P497" s="94"/>
      <c r="Q497" s="142"/>
      <c r="R497" s="95"/>
      <c r="S497" s="96"/>
      <c r="T497" s="96"/>
      <c r="U497" s="96"/>
      <c r="V497" s="92"/>
      <c r="W497" s="123"/>
      <c r="X497" s="88"/>
      <c r="Y497" s="97"/>
      <c r="Z497" s="88"/>
      <c r="AA497" s="96"/>
      <c r="AB497" s="90"/>
      <c r="AC497" s="119"/>
      <c r="AD497" s="88"/>
      <c r="AE497" s="88"/>
      <c r="AF497" s="98"/>
      <c r="AG497" s="98"/>
      <c r="AH497" s="98"/>
      <c r="AI497" s="99"/>
      <c r="AJ497" s="99"/>
      <c r="AK497" s="99"/>
      <c r="AU497" s="44"/>
    </row>
    <row r="498" spans="1:47" ht="12" customHeight="1">
      <c r="A498" s="86"/>
      <c r="B498" s="87"/>
      <c r="C498" s="90"/>
      <c r="D498" s="88"/>
      <c r="E498" s="91"/>
      <c r="F498" s="218"/>
      <c r="G498" s="91"/>
      <c r="H498" s="92"/>
      <c r="I498" s="91"/>
      <c r="J498" s="88"/>
      <c r="K498" s="88"/>
      <c r="L498" s="88"/>
      <c r="M498" s="88"/>
      <c r="N498" s="88"/>
      <c r="O498" s="93"/>
      <c r="P498" s="94"/>
      <c r="Q498" s="142"/>
      <c r="R498" s="95"/>
      <c r="S498" s="96"/>
      <c r="T498" s="96"/>
      <c r="U498" s="96"/>
      <c r="V498" s="92"/>
      <c r="W498" s="123"/>
      <c r="X498" s="88"/>
      <c r="Y498" s="97"/>
      <c r="Z498" s="88"/>
      <c r="AA498" s="96"/>
      <c r="AB498" s="90"/>
      <c r="AC498" s="119"/>
      <c r="AD498" s="88"/>
      <c r="AE498" s="88"/>
      <c r="AF498" s="98"/>
      <c r="AG498" s="98"/>
      <c r="AH498" s="98"/>
      <c r="AI498" s="99"/>
      <c r="AJ498" s="99"/>
      <c r="AK498" s="99"/>
      <c r="AU498" s="44"/>
    </row>
    <row r="499" spans="1:47" ht="12" customHeight="1">
      <c r="A499" s="86"/>
      <c r="B499" s="87"/>
      <c r="C499" s="90"/>
      <c r="D499" s="88"/>
      <c r="E499" s="91"/>
      <c r="F499" s="218"/>
      <c r="G499" s="91"/>
      <c r="H499" s="92"/>
      <c r="I499" s="91"/>
      <c r="J499" s="88"/>
      <c r="K499" s="88"/>
      <c r="L499" s="88"/>
      <c r="M499" s="88"/>
      <c r="N499" s="88"/>
      <c r="O499" s="93"/>
      <c r="P499" s="94"/>
      <c r="Q499" s="142"/>
      <c r="R499" s="95"/>
      <c r="S499" s="96"/>
      <c r="T499" s="96"/>
      <c r="U499" s="96"/>
      <c r="V499" s="92"/>
      <c r="W499" s="88"/>
      <c r="X499" s="88"/>
      <c r="Y499" s="88"/>
      <c r="Z499" s="88"/>
      <c r="AA499" s="96"/>
      <c r="AB499" s="90"/>
      <c r="AC499" s="119"/>
      <c r="AD499" s="88"/>
      <c r="AE499" s="88"/>
      <c r="AF499" s="98"/>
      <c r="AG499" s="94"/>
      <c r="AH499" s="98"/>
      <c r="AI499" s="99"/>
      <c r="AJ499" s="99"/>
      <c r="AK499" s="99"/>
      <c r="AU499" s="44"/>
    </row>
    <row r="500" spans="1:47" ht="12" customHeight="1">
      <c r="A500" s="86"/>
      <c r="B500" s="87"/>
      <c r="C500" s="90"/>
      <c r="D500" s="88"/>
      <c r="E500" s="91"/>
      <c r="F500" s="218"/>
      <c r="G500" s="91"/>
      <c r="H500" s="92"/>
      <c r="I500" s="91"/>
      <c r="J500" s="88"/>
      <c r="K500" s="88"/>
      <c r="L500" s="88"/>
      <c r="M500" s="88"/>
      <c r="N500" s="88"/>
      <c r="O500" s="93"/>
      <c r="P500" s="94"/>
      <c r="Q500" s="142"/>
      <c r="R500" s="95"/>
      <c r="S500" s="96"/>
      <c r="T500" s="96"/>
      <c r="U500" s="96"/>
      <c r="V500" s="92"/>
      <c r="W500" s="88"/>
      <c r="X500" s="88"/>
      <c r="Y500" s="88"/>
      <c r="Z500" s="88"/>
      <c r="AA500" s="96"/>
      <c r="AB500" s="90"/>
      <c r="AC500" s="119"/>
      <c r="AD500" s="88"/>
      <c r="AE500" s="88"/>
      <c r="AF500" s="98"/>
      <c r="AG500" s="94"/>
      <c r="AH500" s="98"/>
      <c r="AI500" s="99"/>
      <c r="AJ500" s="99"/>
      <c r="AK500" s="99"/>
      <c r="AU500" s="44"/>
    </row>
    <row r="501" spans="1:47" ht="12" customHeight="1">
      <c r="A501" s="86"/>
      <c r="B501" s="87"/>
      <c r="C501" s="90"/>
      <c r="D501" s="88"/>
      <c r="E501" s="91"/>
      <c r="F501" s="218"/>
      <c r="G501" s="91"/>
      <c r="H501" s="92"/>
      <c r="I501" s="91"/>
      <c r="J501" s="88"/>
      <c r="K501" s="88"/>
      <c r="L501" s="88"/>
      <c r="M501" s="88"/>
      <c r="N501" s="88"/>
      <c r="O501" s="93"/>
      <c r="P501" s="94"/>
      <c r="Q501" s="142"/>
      <c r="R501" s="95"/>
      <c r="S501" s="96"/>
      <c r="T501" s="96"/>
      <c r="U501" s="96"/>
      <c r="V501" s="92"/>
      <c r="W501" s="88"/>
      <c r="X501" s="88"/>
      <c r="Y501" s="88"/>
      <c r="Z501" s="88"/>
      <c r="AA501" s="96"/>
      <c r="AB501" s="90"/>
      <c r="AC501" s="119"/>
      <c r="AD501" s="88"/>
      <c r="AE501" s="88"/>
      <c r="AF501" s="98"/>
      <c r="AG501" s="94"/>
      <c r="AH501" s="98"/>
      <c r="AI501" s="99"/>
      <c r="AJ501" s="99"/>
      <c r="AK501" s="99"/>
      <c r="AU501" s="44"/>
    </row>
    <row r="502" spans="1:47" ht="12" customHeight="1">
      <c r="A502" s="86"/>
      <c r="B502" s="87"/>
      <c r="C502" s="90"/>
      <c r="D502" s="88"/>
      <c r="E502" s="91"/>
      <c r="F502" s="218"/>
      <c r="G502" s="91"/>
      <c r="H502" s="92"/>
      <c r="I502" s="91"/>
      <c r="J502" s="88"/>
      <c r="K502" s="88"/>
      <c r="L502" s="88"/>
      <c r="M502" s="88"/>
      <c r="N502" s="88"/>
      <c r="O502" s="93"/>
      <c r="P502" s="94"/>
      <c r="Q502" s="142"/>
      <c r="R502" s="95"/>
      <c r="S502" s="96"/>
      <c r="T502" s="96"/>
      <c r="U502" s="96"/>
      <c r="V502" s="92"/>
      <c r="W502" s="88"/>
      <c r="X502" s="88"/>
      <c r="Y502" s="88"/>
      <c r="Z502" s="88"/>
      <c r="AA502" s="96"/>
      <c r="AB502" s="90"/>
      <c r="AC502" s="119"/>
      <c r="AD502" s="88"/>
      <c r="AE502" s="88"/>
      <c r="AF502" s="98"/>
      <c r="AG502" s="94"/>
      <c r="AH502" s="98"/>
      <c r="AI502" s="99"/>
      <c r="AJ502" s="99"/>
      <c r="AK502" s="99"/>
      <c r="AU502" s="44"/>
    </row>
    <row r="503" spans="1:47" ht="12" customHeight="1">
      <c r="A503" s="86"/>
      <c r="B503" s="87"/>
      <c r="C503" s="90"/>
      <c r="D503" s="88"/>
      <c r="E503" s="91"/>
      <c r="F503" s="218"/>
      <c r="G503" s="91"/>
      <c r="H503" s="92"/>
      <c r="I503" s="91"/>
      <c r="J503" s="88"/>
      <c r="K503" s="88"/>
      <c r="L503" s="88"/>
      <c r="M503" s="88"/>
      <c r="N503" s="88"/>
      <c r="O503" s="93"/>
      <c r="P503" s="94"/>
      <c r="Q503" s="142"/>
      <c r="R503" s="95"/>
      <c r="S503" s="96"/>
      <c r="T503" s="96"/>
      <c r="U503" s="96"/>
      <c r="V503" s="92"/>
      <c r="W503" s="88"/>
      <c r="X503" s="88"/>
      <c r="Y503" s="97"/>
      <c r="Z503" s="88"/>
      <c r="AA503" s="96"/>
      <c r="AB503" s="90"/>
      <c r="AC503" s="119"/>
      <c r="AD503" s="88"/>
      <c r="AE503" s="88"/>
      <c r="AF503" s="98"/>
      <c r="AG503" s="94"/>
      <c r="AH503" s="98"/>
      <c r="AI503" s="99"/>
      <c r="AJ503" s="99"/>
      <c r="AK503" s="99"/>
      <c r="AU503" s="44"/>
    </row>
    <row r="504" spans="1:47" ht="12" customHeight="1">
      <c r="A504" s="86"/>
      <c r="B504" s="87"/>
      <c r="C504" s="90"/>
      <c r="D504" s="88"/>
      <c r="E504" s="91"/>
      <c r="F504" s="218"/>
      <c r="G504" s="91"/>
      <c r="H504" s="92"/>
      <c r="I504" s="91"/>
      <c r="J504" s="88"/>
      <c r="K504" s="88"/>
      <c r="L504" s="88"/>
      <c r="M504" s="88"/>
      <c r="N504" s="88"/>
      <c r="O504" s="93"/>
      <c r="P504" s="94"/>
      <c r="Q504" s="142"/>
      <c r="R504" s="95"/>
      <c r="S504" s="96"/>
      <c r="T504" s="96"/>
      <c r="U504" s="96"/>
      <c r="V504" s="92"/>
      <c r="W504" s="123"/>
      <c r="X504" s="92"/>
      <c r="Y504" s="97"/>
      <c r="Z504" s="88"/>
      <c r="AA504" s="96"/>
      <c r="AB504" s="90"/>
      <c r="AC504" s="119"/>
      <c r="AD504" s="88"/>
      <c r="AE504" s="88"/>
      <c r="AF504" s="98"/>
      <c r="AG504" s="98"/>
      <c r="AH504" s="98"/>
      <c r="AI504" s="99"/>
      <c r="AJ504" s="99"/>
      <c r="AK504" s="99"/>
      <c r="AU504" s="44"/>
    </row>
    <row r="505" spans="1:47" ht="12" customHeight="1">
      <c r="A505" s="86"/>
      <c r="B505" s="87"/>
      <c r="C505" s="90"/>
      <c r="D505" s="88"/>
      <c r="E505" s="91"/>
      <c r="F505" s="218"/>
      <c r="G505" s="91"/>
      <c r="H505" s="92"/>
      <c r="I505" s="91"/>
      <c r="J505" s="88"/>
      <c r="K505" s="88"/>
      <c r="L505" s="88"/>
      <c r="M505" s="88"/>
      <c r="N505" s="88"/>
      <c r="O505" s="93"/>
      <c r="P505" s="94"/>
      <c r="Q505" s="142"/>
      <c r="R505" s="95"/>
      <c r="S505" s="96"/>
      <c r="T505" s="96"/>
      <c r="U505" s="96"/>
      <c r="V505" s="92"/>
      <c r="W505" s="123"/>
      <c r="X505" s="122"/>
      <c r="Y505" s="97"/>
      <c r="Z505" s="88"/>
      <c r="AA505" s="96"/>
      <c r="AB505" s="90"/>
      <c r="AC505" s="119"/>
      <c r="AD505" s="88"/>
      <c r="AE505" s="88"/>
      <c r="AF505" s="98"/>
      <c r="AG505" s="94"/>
      <c r="AH505" s="98"/>
      <c r="AI505" s="99"/>
      <c r="AJ505" s="99"/>
      <c r="AK505" s="99"/>
      <c r="AU505" s="44"/>
    </row>
    <row r="506" spans="1:47" ht="12" customHeight="1">
      <c r="A506" s="86"/>
      <c r="B506" s="87"/>
      <c r="C506" s="90"/>
      <c r="D506" s="88"/>
      <c r="E506" s="91"/>
      <c r="F506" s="218"/>
      <c r="G506" s="91"/>
      <c r="H506" s="92"/>
      <c r="I506" s="91"/>
      <c r="J506" s="88"/>
      <c r="K506" s="88"/>
      <c r="L506" s="88"/>
      <c r="M506" s="88"/>
      <c r="N506" s="88"/>
      <c r="O506" s="93"/>
      <c r="P506" s="94"/>
      <c r="Q506" s="142"/>
      <c r="R506" s="95"/>
      <c r="S506" s="96"/>
      <c r="T506" s="96"/>
      <c r="U506" s="96"/>
      <c r="V506" s="92"/>
      <c r="W506" s="88"/>
      <c r="X506" s="88"/>
      <c r="Y506" s="88"/>
      <c r="Z506" s="88"/>
      <c r="AA506" s="96"/>
      <c r="AB506" s="90"/>
      <c r="AC506" s="119"/>
      <c r="AD506" s="88"/>
      <c r="AE506" s="88"/>
      <c r="AF506" s="98"/>
      <c r="AG506" s="94"/>
      <c r="AH506" s="98"/>
      <c r="AI506" s="99"/>
      <c r="AJ506" s="99"/>
      <c r="AK506" s="99"/>
      <c r="AU506" s="44"/>
    </row>
    <row r="507" spans="1:47" ht="12" customHeight="1">
      <c r="A507" s="86"/>
      <c r="B507" s="87"/>
      <c r="C507" s="90"/>
      <c r="D507" s="88"/>
      <c r="E507" s="91"/>
      <c r="F507" s="218"/>
      <c r="G507" s="91"/>
      <c r="H507" s="92"/>
      <c r="I507" s="91"/>
      <c r="J507" s="88"/>
      <c r="K507" s="88"/>
      <c r="L507" s="88"/>
      <c r="M507" s="88"/>
      <c r="N507" s="88"/>
      <c r="O507" s="93"/>
      <c r="P507" s="94"/>
      <c r="Q507" s="142"/>
      <c r="R507" s="95"/>
      <c r="S507" s="96"/>
      <c r="T507" s="96"/>
      <c r="U507" s="96"/>
      <c r="V507" s="92"/>
      <c r="W507" s="88"/>
      <c r="X507" s="88"/>
      <c r="Y507" s="88"/>
      <c r="Z507" s="88"/>
      <c r="AA507" s="96"/>
      <c r="AB507" s="90"/>
      <c r="AC507" s="119"/>
      <c r="AD507" s="88"/>
      <c r="AE507" s="88"/>
      <c r="AF507" s="98"/>
      <c r="AG507" s="94"/>
      <c r="AH507" s="98"/>
      <c r="AI507" s="99"/>
      <c r="AJ507" s="99"/>
      <c r="AK507" s="99"/>
      <c r="AU507" s="44"/>
    </row>
    <row r="508" spans="1:47" ht="12" customHeight="1">
      <c r="A508" s="86"/>
      <c r="B508" s="87"/>
      <c r="C508" s="90"/>
      <c r="D508" s="88"/>
      <c r="E508" s="91"/>
      <c r="F508" s="218"/>
      <c r="G508" s="91"/>
      <c r="H508" s="92"/>
      <c r="I508" s="91"/>
      <c r="J508" s="88"/>
      <c r="K508" s="88"/>
      <c r="L508" s="88"/>
      <c r="M508" s="88"/>
      <c r="N508" s="88"/>
      <c r="O508" s="93"/>
      <c r="P508" s="94"/>
      <c r="Q508" s="142"/>
      <c r="R508" s="95"/>
      <c r="S508" s="96"/>
      <c r="T508" s="96"/>
      <c r="U508" s="96"/>
      <c r="V508" s="92"/>
      <c r="W508" s="88"/>
      <c r="X508" s="88"/>
      <c r="Y508" s="88"/>
      <c r="Z508" s="88"/>
      <c r="AA508" s="96"/>
      <c r="AB508" s="90"/>
      <c r="AC508" s="119"/>
      <c r="AD508" s="88"/>
      <c r="AE508" s="88"/>
      <c r="AF508" s="98"/>
      <c r="AG508" s="94"/>
      <c r="AH508" s="98"/>
      <c r="AI508" s="99"/>
      <c r="AJ508" s="99"/>
      <c r="AK508" s="99"/>
      <c r="AU508" s="44"/>
    </row>
    <row r="509" spans="1:47" ht="12" customHeight="1">
      <c r="A509" s="86"/>
      <c r="B509" s="87"/>
      <c r="C509" s="90"/>
      <c r="D509" s="88"/>
      <c r="E509" s="91"/>
      <c r="F509" s="218"/>
      <c r="G509" s="91"/>
      <c r="H509" s="92"/>
      <c r="I509" s="91"/>
      <c r="J509" s="88"/>
      <c r="K509" s="88"/>
      <c r="L509" s="88"/>
      <c r="M509" s="88"/>
      <c r="N509" s="88"/>
      <c r="O509" s="93"/>
      <c r="P509" s="94"/>
      <c r="Q509" s="142"/>
      <c r="R509" s="95"/>
      <c r="S509" s="96"/>
      <c r="T509" s="96"/>
      <c r="U509" s="96"/>
      <c r="V509" s="92"/>
      <c r="W509" s="88"/>
      <c r="X509" s="88"/>
      <c r="Y509" s="97"/>
      <c r="Z509" s="88"/>
      <c r="AA509" s="96"/>
      <c r="AB509" s="90"/>
      <c r="AC509" s="119"/>
      <c r="AD509" s="88"/>
      <c r="AE509" s="88"/>
      <c r="AF509" s="98"/>
      <c r="AG509" s="94"/>
      <c r="AH509" s="98"/>
      <c r="AI509" s="99"/>
      <c r="AJ509" s="99"/>
      <c r="AK509" s="99"/>
      <c r="AU509" s="44"/>
    </row>
    <row r="510" spans="1:47" ht="12" customHeight="1">
      <c r="A510" s="86"/>
      <c r="B510" s="87"/>
      <c r="C510" s="90"/>
      <c r="D510" s="88"/>
      <c r="E510" s="91"/>
      <c r="F510" s="218"/>
      <c r="G510" s="91"/>
      <c r="H510" s="92"/>
      <c r="I510" s="91"/>
      <c r="J510" s="88"/>
      <c r="K510" s="88"/>
      <c r="L510" s="88"/>
      <c r="M510" s="88"/>
      <c r="N510" s="88"/>
      <c r="O510" s="93"/>
      <c r="P510" s="94"/>
      <c r="Q510" s="142"/>
      <c r="R510" s="95"/>
      <c r="S510" s="96"/>
      <c r="T510" s="96"/>
      <c r="U510" s="96"/>
      <c r="V510" s="92"/>
      <c r="W510" s="88"/>
      <c r="X510" s="88"/>
      <c r="Y510" s="97"/>
      <c r="Z510" s="88"/>
      <c r="AA510" s="96"/>
      <c r="AB510" s="90"/>
      <c r="AC510" s="119"/>
      <c r="AD510" s="88"/>
      <c r="AE510" s="88"/>
      <c r="AF510" s="98"/>
      <c r="AG510" s="94"/>
      <c r="AH510" s="98"/>
      <c r="AI510" s="99"/>
      <c r="AJ510" s="99"/>
      <c r="AK510" s="99"/>
      <c r="AU510" s="44"/>
    </row>
    <row r="511" spans="1:47" ht="12" customHeight="1">
      <c r="A511" s="86"/>
      <c r="B511" s="87"/>
      <c r="C511" s="90"/>
      <c r="D511" s="88"/>
      <c r="E511" s="91"/>
      <c r="F511" s="218"/>
      <c r="G511" s="91"/>
      <c r="H511" s="92"/>
      <c r="I511" s="91"/>
      <c r="J511" s="88"/>
      <c r="K511" s="88"/>
      <c r="L511" s="88"/>
      <c r="M511" s="88"/>
      <c r="N511" s="88"/>
      <c r="O511" s="93"/>
      <c r="P511" s="94"/>
      <c r="Q511" s="142"/>
      <c r="R511" s="95"/>
      <c r="S511" s="96"/>
      <c r="T511" s="96"/>
      <c r="U511" s="96"/>
      <c r="V511" s="92"/>
      <c r="W511" s="88"/>
      <c r="X511" s="88"/>
      <c r="Y511" s="97"/>
      <c r="Z511" s="88"/>
      <c r="AA511" s="96"/>
      <c r="AB511" s="90"/>
      <c r="AC511" s="119"/>
      <c r="AD511" s="88"/>
      <c r="AE511" s="88"/>
      <c r="AF511" s="98"/>
      <c r="AG511" s="94"/>
      <c r="AH511" s="98"/>
      <c r="AI511" s="99"/>
      <c r="AJ511" s="99"/>
      <c r="AK511" s="99"/>
      <c r="AU511" s="44"/>
    </row>
    <row r="512" spans="1:47" ht="12" customHeight="1">
      <c r="A512" s="86"/>
      <c r="B512" s="87"/>
      <c r="C512" s="90"/>
      <c r="D512" s="88"/>
      <c r="E512" s="91"/>
      <c r="F512" s="218"/>
      <c r="G512" s="91"/>
      <c r="H512" s="92"/>
      <c r="I512" s="91"/>
      <c r="J512" s="88"/>
      <c r="K512" s="88"/>
      <c r="L512" s="88"/>
      <c r="M512" s="88"/>
      <c r="N512" s="88"/>
      <c r="O512" s="93"/>
      <c r="P512" s="94"/>
      <c r="Q512" s="142"/>
      <c r="R512" s="95"/>
      <c r="S512" s="96"/>
      <c r="T512" s="96"/>
      <c r="U512" s="96"/>
      <c r="V512" s="92"/>
      <c r="W512" s="88"/>
      <c r="X512" s="88"/>
      <c r="Y512" s="97"/>
      <c r="Z512" s="88"/>
      <c r="AA512" s="96"/>
      <c r="AB512" s="90"/>
      <c r="AC512" s="119"/>
      <c r="AD512" s="88"/>
      <c r="AE512" s="88"/>
      <c r="AF512" s="98"/>
      <c r="AG512" s="94"/>
      <c r="AH512" s="98"/>
      <c r="AI512" s="99"/>
      <c r="AJ512" s="99"/>
      <c r="AK512" s="99"/>
      <c r="AU512" s="44"/>
    </row>
    <row r="513" spans="1:47" ht="12" customHeight="1">
      <c r="A513" s="86"/>
      <c r="B513" s="87"/>
      <c r="C513" s="90"/>
      <c r="D513" s="88"/>
      <c r="E513" s="91"/>
      <c r="F513" s="218"/>
      <c r="G513" s="91"/>
      <c r="H513" s="92"/>
      <c r="I513" s="91"/>
      <c r="J513" s="88"/>
      <c r="K513" s="88"/>
      <c r="L513" s="88"/>
      <c r="M513" s="88"/>
      <c r="N513" s="88"/>
      <c r="O513" s="93"/>
      <c r="P513" s="94"/>
      <c r="Q513" s="142"/>
      <c r="R513" s="95"/>
      <c r="S513" s="96"/>
      <c r="T513" s="96"/>
      <c r="U513" s="96"/>
      <c r="V513" s="92"/>
      <c r="W513" s="88"/>
      <c r="X513" s="88"/>
      <c r="Y513" s="97"/>
      <c r="Z513" s="88"/>
      <c r="AA513" s="96"/>
      <c r="AB513" s="90"/>
      <c r="AC513" s="119"/>
      <c r="AD513" s="88"/>
      <c r="AE513" s="88"/>
      <c r="AF513" s="98"/>
      <c r="AG513" s="94"/>
      <c r="AH513" s="98"/>
      <c r="AI513" s="99"/>
      <c r="AJ513" s="99"/>
      <c r="AK513" s="99"/>
      <c r="AU513" s="44"/>
    </row>
    <row r="514" spans="1:47" ht="12" customHeight="1">
      <c r="A514" s="86"/>
      <c r="B514" s="87"/>
      <c r="C514" s="90"/>
      <c r="D514" s="88"/>
      <c r="E514" s="91"/>
      <c r="F514" s="218"/>
      <c r="G514" s="91"/>
      <c r="H514" s="92"/>
      <c r="I514" s="91"/>
      <c r="J514" s="88"/>
      <c r="K514" s="88"/>
      <c r="L514" s="88"/>
      <c r="M514" s="88"/>
      <c r="N514" s="88"/>
      <c r="O514" s="93"/>
      <c r="P514" s="94"/>
      <c r="Q514" s="142"/>
      <c r="R514" s="95"/>
      <c r="S514" s="96"/>
      <c r="T514" s="96"/>
      <c r="U514" s="96"/>
      <c r="V514" s="92"/>
      <c r="W514" s="88"/>
      <c r="X514" s="88"/>
      <c r="Y514" s="97"/>
      <c r="Z514" s="88"/>
      <c r="AA514" s="96"/>
      <c r="AB514" s="90"/>
      <c r="AC514" s="119"/>
      <c r="AD514" s="88"/>
      <c r="AE514" s="88"/>
      <c r="AF514" s="98"/>
      <c r="AG514" s="94"/>
      <c r="AH514" s="98"/>
      <c r="AI514" s="99"/>
      <c r="AJ514" s="99"/>
      <c r="AK514" s="99"/>
      <c r="AU514" s="44"/>
    </row>
    <row r="515" spans="1:47" ht="12" customHeight="1">
      <c r="A515" s="86"/>
      <c r="B515" s="87"/>
      <c r="C515" s="90"/>
      <c r="D515" s="88"/>
      <c r="E515" s="91"/>
      <c r="F515" s="218"/>
      <c r="G515" s="91"/>
      <c r="H515" s="92"/>
      <c r="I515" s="91"/>
      <c r="J515" s="88"/>
      <c r="K515" s="88"/>
      <c r="L515" s="88"/>
      <c r="M515" s="88"/>
      <c r="N515" s="88"/>
      <c r="O515" s="93"/>
      <c r="P515" s="94"/>
      <c r="Q515" s="142"/>
      <c r="R515" s="95"/>
      <c r="S515" s="96"/>
      <c r="T515" s="96"/>
      <c r="U515" s="96"/>
      <c r="V515" s="92"/>
      <c r="W515" s="123"/>
      <c r="X515" s="122"/>
      <c r="Y515" s="97"/>
      <c r="Z515" s="88"/>
      <c r="AA515" s="96"/>
      <c r="AB515" s="90"/>
      <c r="AC515" s="119"/>
      <c r="AD515" s="88"/>
      <c r="AE515" s="88"/>
      <c r="AF515" s="98"/>
      <c r="AG515" s="94"/>
      <c r="AH515" s="98"/>
      <c r="AI515" s="99"/>
      <c r="AJ515" s="99"/>
      <c r="AK515" s="99"/>
      <c r="AU515" s="44"/>
    </row>
    <row r="516" spans="1:47" ht="12" customHeight="1">
      <c r="A516" s="86"/>
      <c r="B516" s="87"/>
      <c r="C516" s="90"/>
      <c r="D516" s="88"/>
      <c r="E516" s="91"/>
      <c r="F516" s="218"/>
      <c r="G516" s="91"/>
      <c r="H516" s="92"/>
      <c r="I516" s="91"/>
      <c r="J516" s="88"/>
      <c r="K516" s="88"/>
      <c r="L516" s="88"/>
      <c r="M516" s="88"/>
      <c r="N516" s="88"/>
      <c r="O516" s="93"/>
      <c r="P516" s="94"/>
      <c r="Q516" s="142"/>
      <c r="R516" s="95"/>
      <c r="S516" s="96"/>
      <c r="T516" s="96"/>
      <c r="U516" s="96"/>
      <c r="V516" s="87"/>
      <c r="W516" s="123"/>
      <c r="X516" s="122"/>
      <c r="Y516" s="97"/>
      <c r="Z516" s="88"/>
      <c r="AA516" s="96"/>
      <c r="AB516" s="90"/>
      <c r="AC516" s="119"/>
      <c r="AD516" s="88"/>
      <c r="AE516" s="88"/>
      <c r="AF516" s="98"/>
      <c r="AG516" s="94"/>
      <c r="AH516" s="98"/>
      <c r="AI516" s="99"/>
      <c r="AJ516" s="99"/>
      <c r="AK516" s="99"/>
      <c r="AU516" s="44"/>
    </row>
    <row r="517" spans="1:47" ht="12" customHeight="1">
      <c r="A517" s="86"/>
      <c r="B517" s="87"/>
      <c r="C517" s="90"/>
      <c r="D517" s="88"/>
      <c r="E517" s="91"/>
      <c r="F517" s="218"/>
      <c r="G517" s="91"/>
      <c r="H517" s="92"/>
      <c r="I517" s="91"/>
      <c r="J517" s="88"/>
      <c r="K517" s="88"/>
      <c r="L517" s="88"/>
      <c r="M517" s="88"/>
      <c r="N517" s="88"/>
      <c r="O517" s="93"/>
      <c r="P517" s="94"/>
      <c r="Q517" s="142"/>
      <c r="R517" s="95"/>
      <c r="S517" s="96"/>
      <c r="T517" s="96"/>
      <c r="U517" s="96"/>
      <c r="V517" s="87"/>
      <c r="W517" s="123"/>
      <c r="X517" s="122"/>
      <c r="Y517" s="97"/>
      <c r="Z517" s="88"/>
      <c r="AA517" s="96"/>
      <c r="AB517" s="90"/>
      <c r="AC517" s="119"/>
      <c r="AD517" s="88"/>
      <c r="AE517" s="88"/>
      <c r="AF517" s="98"/>
      <c r="AG517" s="94"/>
      <c r="AH517" s="98"/>
      <c r="AI517" s="99"/>
      <c r="AJ517" s="99"/>
      <c r="AK517" s="99"/>
      <c r="AU517" s="44"/>
    </row>
    <row r="518" spans="1:47" ht="12" customHeight="1">
      <c r="A518" s="86"/>
      <c r="B518" s="87"/>
      <c r="C518" s="90"/>
      <c r="D518" s="88"/>
      <c r="E518" s="91"/>
      <c r="F518" s="218"/>
      <c r="G518" s="91"/>
      <c r="H518" s="92"/>
      <c r="I518" s="91"/>
      <c r="J518" s="88"/>
      <c r="K518" s="88"/>
      <c r="L518" s="88"/>
      <c r="M518" s="88"/>
      <c r="N518" s="88"/>
      <c r="O518" s="93"/>
      <c r="P518" s="94"/>
      <c r="Q518" s="142"/>
      <c r="R518" s="95"/>
      <c r="S518" s="96"/>
      <c r="T518" s="96"/>
      <c r="U518" s="96"/>
      <c r="V518" s="87"/>
      <c r="W518" s="123"/>
      <c r="X518" s="122"/>
      <c r="Y518" s="97"/>
      <c r="Z518" s="88"/>
      <c r="AA518" s="96"/>
      <c r="AB518" s="90"/>
      <c r="AC518" s="119"/>
      <c r="AD518" s="88"/>
      <c r="AE518" s="88"/>
      <c r="AF518" s="98"/>
      <c r="AG518" s="94"/>
      <c r="AH518" s="98"/>
      <c r="AI518" s="99"/>
      <c r="AJ518" s="99"/>
      <c r="AK518" s="99"/>
      <c r="AU518" s="44"/>
    </row>
    <row r="519" spans="1:47" ht="12" customHeight="1">
      <c r="A519" s="86"/>
      <c r="B519" s="87"/>
      <c r="C519" s="90"/>
      <c r="D519" s="88"/>
      <c r="E519" s="91"/>
      <c r="F519" s="218"/>
      <c r="G519" s="91"/>
      <c r="H519" s="92"/>
      <c r="I519" s="91"/>
      <c r="J519" s="88"/>
      <c r="K519" s="88"/>
      <c r="L519" s="88"/>
      <c r="M519" s="88"/>
      <c r="N519" s="88"/>
      <c r="O519" s="93"/>
      <c r="P519" s="94"/>
      <c r="Q519" s="142"/>
      <c r="R519" s="95"/>
      <c r="S519" s="96"/>
      <c r="T519" s="96"/>
      <c r="U519" s="96"/>
      <c r="V519" s="92"/>
      <c r="W519" s="123"/>
      <c r="X519" s="92"/>
      <c r="Y519" s="97"/>
      <c r="Z519" s="88"/>
      <c r="AA519" s="96"/>
      <c r="AB519" s="90"/>
      <c r="AC519" s="119"/>
      <c r="AD519" s="88"/>
      <c r="AE519" s="88"/>
      <c r="AF519" s="98"/>
      <c r="AG519" s="94"/>
      <c r="AH519" s="98"/>
      <c r="AI519" s="99"/>
      <c r="AJ519" s="99"/>
      <c r="AK519" s="99"/>
      <c r="AU519" s="44"/>
    </row>
    <row r="520" spans="1:47" ht="12" customHeight="1">
      <c r="A520" s="86"/>
      <c r="B520" s="87"/>
      <c r="C520" s="90"/>
      <c r="D520" s="88"/>
      <c r="E520" s="91"/>
      <c r="F520" s="218"/>
      <c r="G520" s="91"/>
      <c r="H520" s="92"/>
      <c r="I520" s="91"/>
      <c r="J520" s="88"/>
      <c r="K520" s="88"/>
      <c r="L520" s="88"/>
      <c r="M520" s="88"/>
      <c r="N520" s="88"/>
      <c r="O520" s="93"/>
      <c r="P520" s="94"/>
      <c r="Q520" s="142"/>
      <c r="R520" s="95"/>
      <c r="S520" s="96"/>
      <c r="T520" s="96"/>
      <c r="U520" s="96"/>
      <c r="V520" s="92"/>
      <c r="W520" s="123"/>
      <c r="X520" s="92"/>
      <c r="Y520" s="97"/>
      <c r="Z520" s="88"/>
      <c r="AA520" s="96"/>
      <c r="AB520" s="90"/>
      <c r="AC520" s="119"/>
      <c r="AD520" s="88"/>
      <c r="AE520" s="88"/>
      <c r="AF520" s="98"/>
      <c r="AG520" s="98"/>
      <c r="AH520" s="98"/>
      <c r="AI520" s="99"/>
      <c r="AJ520" s="99"/>
      <c r="AK520" s="99"/>
      <c r="AU520" s="44"/>
    </row>
    <row r="521" spans="1:47" ht="12" customHeight="1">
      <c r="A521" s="86"/>
      <c r="B521" s="87"/>
      <c r="C521" s="90"/>
      <c r="D521" s="88"/>
      <c r="E521" s="91"/>
      <c r="F521" s="218"/>
      <c r="G521" s="91"/>
      <c r="H521" s="92"/>
      <c r="I521" s="91"/>
      <c r="J521" s="88"/>
      <c r="K521" s="88"/>
      <c r="L521" s="88"/>
      <c r="M521" s="88"/>
      <c r="N521" s="88"/>
      <c r="O521" s="93"/>
      <c r="P521" s="94"/>
      <c r="Q521" s="142"/>
      <c r="R521" s="95"/>
      <c r="S521" s="96"/>
      <c r="T521" s="96"/>
      <c r="U521" s="96"/>
      <c r="V521" s="92"/>
      <c r="W521" s="123"/>
      <c r="X521" s="92"/>
      <c r="Y521" s="97"/>
      <c r="Z521" s="88"/>
      <c r="AA521" s="96"/>
      <c r="AB521" s="90"/>
      <c r="AC521" s="119"/>
      <c r="AD521" s="88"/>
      <c r="AE521" s="88"/>
      <c r="AF521" s="98"/>
      <c r="AG521" s="98"/>
      <c r="AH521" s="98"/>
      <c r="AI521" s="99"/>
      <c r="AJ521" s="99"/>
      <c r="AK521" s="99"/>
      <c r="AU521" s="44"/>
    </row>
    <row r="522" spans="1:47" ht="12" customHeight="1">
      <c r="A522" s="86"/>
      <c r="B522" s="87"/>
      <c r="C522" s="90"/>
      <c r="D522" s="88"/>
      <c r="E522" s="91"/>
      <c r="F522" s="218"/>
      <c r="G522" s="91"/>
      <c r="H522" s="92"/>
      <c r="I522" s="91"/>
      <c r="J522" s="88"/>
      <c r="K522" s="88"/>
      <c r="L522" s="88"/>
      <c r="M522" s="88"/>
      <c r="N522" s="88"/>
      <c r="O522" s="93"/>
      <c r="P522" s="94"/>
      <c r="Q522" s="142"/>
      <c r="R522" s="95"/>
      <c r="S522" s="96"/>
      <c r="T522" s="96"/>
      <c r="U522" s="96"/>
      <c r="V522" s="87"/>
      <c r="W522" s="123"/>
      <c r="X522" s="92"/>
      <c r="Y522" s="97"/>
      <c r="Z522" s="88"/>
      <c r="AA522" s="96"/>
      <c r="AB522" s="90"/>
      <c r="AC522" s="119"/>
      <c r="AD522" s="88"/>
      <c r="AE522" s="88"/>
      <c r="AF522" s="98"/>
      <c r="AG522" s="98"/>
      <c r="AH522" s="98"/>
      <c r="AI522" s="99"/>
      <c r="AJ522" s="99"/>
      <c r="AK522" s="99"/>
      <c r="AU522" s="44"/>
    </row>
    <row r="523" spans="1:47" ht="12" customHeight="1">
      <c r="A523" s="86"/>
      <c r="B523" s="87"/>
      <c r="C523" s="90"/>
      <c r="D523" s="88"/>
      <c r="E523" s="91"/>
      <c r="F523" s="218"/>
      <c r="G523" s="91"/>
      <c r="H523" s="92"/>
      <c r="I523" s="91"/>
      <c r="J523" s="88"/>
      <c r="K523" s="88"/>
      <c r="L523" s="88"/>
      <c r="M523" s="88"/>
      <c r="N523" s="88"/>
      <c r="O523" s="93"/>
      <c r="P523" s="94"/>
      <c r="Q523" s="142"/>
      <c r="R523" s="95"/>
      <c r="S523" s="96"/>
      <c r="T523" s="96"/>
      <c r="U523" s="96"/>
      <c r="V523" s="87"/>
      <c r="W523" s="123"/>
      <c r="X523" s="92"/>
      <c r="Y523" s="97"/>
      <c r="Z523" s="88"/>
      <c r="AA523" s="96"/>
      <c r="AB523" s="90"/>
      <c r="AC523" s="119"/>
      <c r="AD523" s="88"/>
      <c r="AE523" s="88"/>
      <c r="AF523" s="98"/>
      <c r="AG523" s="98"/>
      <c r="AH523" s="98"/>
      <c r="AI523" s="99"/>
      <c r="AJ523" s="99"/>
      <c r="AK523" s="99"/>
      <c r="AU523" s="44"/>
    </row>
    <row r="524" spans="1:47" ht="12" customHeight="1">
      <c r="A524" s="86"/>
      <c r="B524" s="87"/>
      <c r="C524" s="90"/>
      <c r="D524" s="88"/>
      <c r="E524" s="91"/>
      <c r="F524" s="218"/>
      <c r="G524" s="91"/>
      <c r="H524" s="92"/>
      <c r="I524" s="91"/>
      <c r="J524" s="88"/>
      <c r="K524" s="88"/>
      <c r="L524" s="88"/>
      <c r="M524" s="88"/>
      <c r="N524" s="88"/>
      <c r="O524" s="93"/>
      <c r="P524" s="94"/>
      <c r="Q524" s="142"/>
      <c r="R524" s="95"/>
      <c r="S524" s="96"/>
      <c r="T524" s="96"/>
      <c r="U524" s="96"/>
      <c r="V524" s="87"/>
      <c r="W524" s="123"/>
      <c r="X524" s="92"/>
      <c r="Y524" s="97"/>
      <c r="Z524" s="88"/>
      <c r="AA524" s="96"/>
      <c r="AB524" s="90"/>
      <c r="AC524" s="119"/>
      <c r="AD524" s="88"/>
      <c r="AE524" s="88"/>
      <c r="AF524" s="98"/>
      <c r="AG524" s="98"/>
      <c r="AH524" s="98"/>
      <c r="AI524" s="99"/>
      <c r="AJ524" s="99"/>
      <c r="AK524" s="99"/>
      <c r="AU524" s="44"/>
    </row>
    <row r="525" spans="1:47" ht="12" customHeight="1">
      <c r="A525" s="86"/>
      <c r="B525" s="87"/>
      <c r="C525" s="90"/>
      <c r="D525" s="88"/>
      <c r="E525" s="91"/>
      <c r="F525" s="218"/>
      <c r="G525" s="91"/>
      <c r="H525" s="92"/>
      <c r="I525" s="91"/>
      <c r="J525" s="88"/>
      <c r="K525" s="113"/>
      <c r="L525" s="88"/>
      <c r="M525" s="88"/>
      <c r="N525" s="88"/>
      <c r="O525" s="93"/>
      <c r="P525" s="94"/>
      <c r="Q525" s="142"/>
      <c r="R525" s="95"/>
      <c r="S525" s="96"/>
      <c r="T525" s="96"/>
      <c r="U525" s="96"/>
      <c r="V525" s="87"/>
      <c r="W525" s="123"/>
      <c r="X525" s="92"/>
      <c r="Y525" s="97"/>
      <c r="Z525" s="88"/>
      <c r="AA525" s="96"/>
      <c r="AB525" s="90"/>
      <c r="AC525" s="119"/>
      <c r="AD525" s="88"/>
      <c r="AE525" s="88"/>
      <c r="AF525" s="98"/>
      <c r="AG525" s="98"/>
      <c r="AH525" s="98"/>
      <c r="AI525" s="99"/>
      <c r="AJ525" s="99"/>
      <c r="AK525" s="99"/>
      <c r="AU525" s="44"/>
    </row>
    <row r="526" spans="1:47" ht="12" customHeight="1">
      <c r="A526" s="86"/>
      <c r="B526" s="87"/>
      <c r="C526" s="90"/>
      <c r="D526" s="88"/>
      <c r="E526" s="91"/>
      <c r="F526" s="218"/>
      <c r="G526" s="91"/>
      <c r="H526" s="92"/>
      <c r="I526" s="91"/>
      <c r="J526" s="88"/>
      <c r="K526" s="113"/>
      <c r="L526" s="88"/>
      <c r="M526" s="88"/>
      <c r="N526" s="88"/>
      <c r="O526" s="93"/>
      <c r="P526" s="94"/>
      <c r="Q526" s="142"/>
      <c r="R526" s="95"/>
      <c r="S526" s="96"/>
      <c r="T526" s="96"/>
      <c r="U526" s="96"/>
      <c r="V526" s="87"/>
      <c r="W526" s="123"/>
      <c r="X526" s="92"/>
      <c r="Y526" s="97"/>
      <c r="Z526" s="88"/>
      <c r="AA526" s="96"/>
      <c r="AB526" s="90"/>
      <c r="AC526" s="119"/>
      <c r="AD526" s="88"/>
      <c r="AE526" s="88"/>
      <c r="AF526" s="98"/>
      <c r="AG526" s="98"/>
      <c r="AH526" s="98"/>
      <c r="AI526" s="99"/>
      <c r="AJ526" s="99"/>
      <c r="AK526" s="99"/>
      <c r="AU526" s="44"/>
    </row>
    <row r="527" spans="1:47" ht="12" customHeight="1">
      <c r="A527" s="86"/>
      <c r="B527" s="92"/>
      <c r="C527" s="90"/>
      <c r="D527" s="88"/>
      <c r="E527" s="91"/>
      <c r="F527" s="218"/>
      <c r="G527" s="91"/>
      <c r="H527" s="92"/>
      <c r="I527" s="91"/>
      <c r="J527" s="88"/>
      <c r="K527" s="88"/>
      <c r="L527" s="88"/>
      <c r="M527" s="88"/>
      <c r="N527" s="88"/>
      <c r="O527" s="90"/>
      <c r="P527" s="94"/>
      <c r="Q527" s="142"/>
      <c r="R527" s="96"/>
      <c r="S527" s="96"/>
      <c r="T527" s="96"/>
      <c r="U527" s="96"/>
      <c r="V527" s="92"/>
      <c r="W527" s="88"/>
      <c r="X527" s="88"/>
      <c r="Y527" s="97"/>
      <c r="Z527" s="88"/>
      <c r="AA527" s="96"/>
      <c r="AB527" s="90"/>
      <c r="AC527" s="119"/>
      <c r="AD527" s="88"/>
      <c r="AE527" s="88"/>
      <c r="AF527" s="98"/>
      <c r="AG527" s="94"/>
      <c r="AH527" s="98"/>
      <c r="AI527" s="99"/>
      <c r="AJ527" s="99"/>
      <c r="AK527" s="99"/>
      <c r="AU527" s="44"/>
    </row>
    <row r="528" spans="1:47" ht="12" customHeight="1">
      <c r="A528" s="86"/>
      <c r="B528" s="92"/>
      <c r="C528" s="90"/>
      <c r="D528" s="88"/>
      <c r="E528" s="91"/>
      <c r="F528" s="218"/>
      <c r="G528" s="91"/>
      <c r="H528" s="92"/>
      <c r="I528" s="91"/>
      <c r="J528" s="88"/>
      <c r="K528" s="88"/>
      <c r="L528" s="88"/>
      <c r="M528" s="88"/>
      <c r="N528" s="88"/>
      <c r="O528" s="90"/>
      <c r="P528" s="94"/>
      <c r="Q528" s="142"/>
      <c r="R528" s="96"/>
      <c r="S528" s="96"/>
      <c r="T528" s="96"/>
      <c r="U528" s="96"/>
      <c r="V528" s="92"/>
      <c r="W528" s="88"/>
      <c r="X528" s="88"/>
      <c r="Y528" s="97"/>
      <c r="Z528" s="88"/>
      <c r="AA528" s="96"/>
      <c r="AB528" s="90"/>
      <c r="AC528" s="119"/>
      <c r="AD528" s="88"/>
      <c r="AE528" s="88"/>
      <c r="AF528" s="98"/>
      <c r="AG528" s="98"/>
      <c r="AH528" s="98"/>
      <c r="AI528" s="99"/>
      <c r="AJ528" s="99"/>
      <c r="AK528" s="99"/>
      <c r="AU528" s="44"/>
    </row>
    <row r="529" spans="1:47" ht="12" customHeight="1">
      <c r="A529" s="86"/>
      <c r="B529" s="92"/>
      <c r="C529" s="90"/>
      <c r="D529" s="88"/>
      <c r="E529" s="91"/>
      <c r="F529" s="218"/>
      <c r="G529" s="91"/>
      <c r="H529" s="92"/>
      <c r="I529" s="91"/>
      <c r="J529" s="88"/>
      <c r="K529" s="88"/>
      <c r="L529" s="88"/>
      <c r="M529" s="88"/>
      <c r="N529" s="88"/>
      <c r="O529" s="90"/>
      <c r="P529" s="94"/>
      <c r="Q529" s="142"/>
      <c r="R529" s="96"/>
      <c r="S529" s="96"/>
      <c r="T529" s="96"/>
      <c r="U529" s="96"/>
      <c r="V529" s="92"/>
      <c r="W529" s="92"/>
      <c r="X529" s="92"/>
      <c r="Y529" s="97"/>
      <c r="Z529" s="88"/>
      <c r="AA529" s="96"/>
      <c r="AB529" s="90"/>
      <c r="AC529" s="119"/>
      <c r="AD529" s="88"/>
      <c r="AE529" s="88"/>
      <c r="AF529" s="98"/>
      <c r="AG529" s="98"/>
      <c r="AH529" s="98"/>
      <c r="AI529" s="99"/>
      <c r="AJ529" s="99"/>
      <c r="AK529" s="99"/>
      <c r="AU529" s="44"/>
    </row>
    <row r="530" spans="1:47" ht="12" customHeight="1">
      <c r="A530" s="86"/>
      <c r="B530" s="92"/>
      <c r="C530" s="90"/>
      <c r="D530" s="88"/>
      <c r="E530" s="91"/>
      <c r="F530" s="218"/>
      <c r="G530" s="91"/>
      <c r="H530" s="92"/>
      <c r="I530" s="91"/>
      <c r="J530" s="88"/>
      <c r="K530" s="88"/>
      <c r="L530" s="88"/>
      <c r="M530" s="88"/>
      <c r="N530" s="88"/>
      <c r="O530" s="90"/>
      <c r="P530" s="94"/>
      <c r="Q530" s="142"/>
      <c r="R530" s="95"/>
      <c r="S530" s="96"/>
      <c r="T530" s="96"/>
      <c r="U530" s="96"/>
      <c r="V530" s="92"/>
      <c r="W530" s="88"/>
      <c r="X530" s="88"/>
      <c r="Y530" s="97"/>
      <c r="Z530" s="88"/>
      <c r="AA530" s="96"/>
      <c r="AB530" s="90"/>
      <c r="AC530" s="119"/>
      <c r="AD530" s="88"/>
      <c r="AE530" s="88"/>
      <c r="AF530" s="98"/>
      <c r="AG530" s="94"/>
      <c r="AH530" s="98"/>
      <c r="AI530" s="99"/>
      <c r="AJ530" s="99"/>
      <c r="AK530" s="99"/>
      <c r="AU530" s="44"/>
    </row>
    <row r="531" spans="1:47" ht="12" customHeight="1">
      <c r="A531" s="86"/>
      <c r="B531" s="92"/>
      <c r="C531" s="90"/>
      <c r="D531" s="88"/>
      <c r="E531" s="91"/>
      <c r="F531" s="218"/>
      <c r="G531" s="91"/>
      <c r="H531" s="92"/>
      <c r="I531" s="91"/>
      <c r="J531" s="88"/>
      <c r="K531" s="88"/>
      <c r="L531" s="88"/>
      <c r="M531" s="88"/>
      <c r="N531" s="88"/>
      <c r="O531" s="90"/>
      <c r="P531" s="94"/>
      <c r="Q531" s="142"/>
      <c r="R531" s="95"/>
      <c r="S531" s="96"/>
      <c r="T531" s="96"/>
      <c r="U531" s="96"/>
      <c r="V531" s="92"/>
      <c r="W531" s="88"/>
      <c r="X531" s="88"/>
      <c r="Y531" s="97"/>
      <c r="Z531" s="88"/>
      <c r="AA531" s="96"/>
      <c r="AB531" s="90"/>
      <c r="AC531" s="119"/>
      <c r="AD531" s="88"/>
      <c r="AE531" s="88"/>
      <c r="AF531" s="98"/>
      <c r="AG531" s="94"/>
      <c r="AH531" s="98"/>
      <c r="AI531" s="99"/>
      <c r="AJ531" s="99"/>
      <c r="AK531" s="99"/>
      <c r="AU531" s="44"/>
    </row>
    <row r="532" spans="1:47" ht="12" customHeight="1">
      <c r="A532" s="86"/>
      <c r="B532" s="92"/>
      <c r="C532" s="90"/>
      <c r="D532" s="88"/>
      <c r="E532" s="91"/>
      <c r="F532" s="218"/>
      <c r="G532" s="91"/>
      <c r="H532" s="92"/>
      <c r="I532" s="91"/>
      <c r="J532" s="88"/>
      <c r="K532" s="88"/>
      <c r="L532" s="88"/>
      <c r="M532" s="88"/>
      <c r="N532" s="88"/>
      <c r="O532" s="90"/>
      <c r="P532" s="94"/>
      <c r="Q532" s="142"/>
      <c r="R532" s="95"/>
      <c r="S532" s="96"/>
      <c r="T532" s="96"/>
      <c r="U532" s="96"/>
      <c r="V532" s="92"/>
      <c r="W532" s="88"/>
      <c r="X532" s="88"/>
      <c r="Y532" s="97"/>
      <c r="Z532" s="88"/>
      <c r="AA532" s="96"/>
      <c r="AB532" s="90"/>
      <c r="AC532" s="119"/>
      <c r="AD532" s="88"/>
      <c r="AE532" s="88"/>
      <c r="AF532" s="98"/>
      <c r="AG532" s="94"/>
      <c r="AH532" s="98"/>
      <c r="AI532" s="99"/>
      <c r="AJ532" s="99"/>
      <c r="AK532" s="99"/>
      <c r="AU532" s="44"/>
    </row>
    <row r="533" spans="1:47" ht="12" customHeight="1">
      <c r="A533" s="86"/>
      <c r="B533" s="92"/>
      <c r="C533" s="90"/>
      <c r="D533" s="88"/>
      <c r="E533" s="91"/>
      <c r="F533" s="218"/>
      <c r="G533" s="91"/>
      <c r="H533" s="92"/>
      <c r="I533" s="91"/>
      <c r="J533" s="88"/>
      <c r="K533" s="88"/>
      <c r="L533" s="88"/>
      <c r="M533" s="88"/>
      <c r="N533" s="88"/>
      <c r="O533" s="90"/>
      <c r="P533" s="94"/>
      <c r="Q533" s="142"/>
      <c r="R533" s="96"/>
      <c r="S533" s="96"/>
      <c r="T533" s="96"/>
      <c r="U533" s="96"/>
      <c r="V533" s="92"/>
      <c r="W533" s="122"/>
      <c r="X533" s="88"/>
      <c r="Y533" s="97"/>
      <c r="Z533" s="88"/>
      <c r="AA533" s="96"/>
      <c r="AB533" s="90"/>
      <c r="AC533" s="119"/>
      <c r="AD533" s="88"/>
      <c r="AE533" s="88"/>
      <c r="AF533" s="98"/>
      <c r="AG533" s="94"/>
      <c r="AH533" s="98"/>
      <c r="AI533" s="99"/>
      <c r="AJ533" s="99"/>
      <c r="AK533" s="99"/>
      <c r="AU533" s="44"/>
    </row>
    <row r="534" spans="1:47" ht="12" customHeight="1">
      <c r="A534" s="86"/>
      <c r="B534" s="92"/>
      <c r="C534" s="90"/>
      <c r="D534" s="88"/>
      <c r="E534" s="91"/>
      <c r="F534" s="218"/>
      <c r="G534" s="91"/>
      <c r="H534" s="92"/>
      <c r="I534" s="91"/>
      <c r="J534" s="88"/>
      <c r="K534" s="88"/>
      <c r="L534" s="88"/>
      <c r="M534" s="88"/>
      <c r="N534" s="88"/>
      <c r="O534" s="90"/>
      <c r="P534" s="94"/>
      <c r="Q534" s="142"/>
      <c r="R534" s="96"/>
      <c r="S534" s="96"/>
      <c r="T534" s="96"/>
      <c r="U534" s="96"/>
      <c r="V534" s="92"/>
      <c r="W534" s="92"/>
      <c r="X534" s="92"/>
      <c r="Y534" s="97"/>
      <c r="Z534" s="88"/>
      <c r="AA534" s="96"/>
      <c r="AB534" s="90"/>
      <c r="AC534" s="119"/>
      <c r="AD534" s="88"/>
      <c r="AE534" s="88"/>
      <c r="AF534" s="98"/>
      <c r="AG534" s="98"/>
      <c r="AH534" s="98"/>
      <c r="AI534" s="99"/>
      <c r="AJ534" s="99"/>
      <c r="AK534" s="99"/>
      <c r="AU534" s="44"/>
    </row>
    <row r="535" spans="1:47" ht="12" customHeight="1">
      <c r="A535" s="86"/>
      <c r="B535" s="92"/>
      <c r="C535" s="90"/>
      <c r="D535" s="88"/>
      <c r="E535" s="91"/>
      <c r="F535" s="218"/>
      <c r="G535" s="91"/>
      <c r="H535" s="92"/>
      <c r="I535" s="91"/>
      <c r="J535" s="88"/>
      <c r="K535" s="88"/>
      <c r="L535" s="88"/>
      <c r="M535" s="88"/>
      <c r="N535" s="88"/>
      <c r="O535" s="90"/>
      <c r="P535" s="94"/>
      <c r="Q535" s="142"/>
      <c r="R535" s="96"/>
      <c r="S535" s="96"/>
      <c r="T535" s="96"/>
      <c r="U535" s="96"/>
      <c r="V535" s="92"/>
      <c r="W535" s="92"/>
      <c r="X535" s="92"/>
      <c r="Y535" s="97"/>
      <c r="Z535" s="88"/>
      <c r="AA535" s="96"/>
      <c r="AB535" s="90"/>
      <c r="AC535" s="119"/>
      <c r="AD535" s="88"/>
      <c r="AE535" s="88"/>
      <c r="AF535" s="98"/>
      <c r="AG535" s="98"/>
      <c r="AH535" s="98"/>
      <c r="AI535" s="99"/>
      <c r="AJ535" s="99"/>
      <c r="AK535" s="99"/>
      <c r="AU535" s="44"/>
    </row>
    <row r="536" spans="1:47" ht="12" customHeight="1">
      <c r="A536" s="86"/>
      <c r="B536" s="92"/>
      <c r="C536" s="90"/>
      <c r="D536" s="88"/>
      <c r="E536" s="91"/>
      <c r="F536" s="218"/>
      <c r="G536" s="91"/>
      <c r="H536" s="92"/>
      <c r="I536" s="91"/>
      <c r="J536" s="88"/>
      <c r="K536" s="88"/>
      <c r="L536" s="88"/>
      <c r="M536" s="88"/>
      <c r="N536" s="88"/>
      <c r="O536" s="90"/>
      <c r="P536" s="94"/>
      <c r="Q536" s="142"/>
      <c r="R536" s="96"/>
      <c r="S536" s="96"/>
      <c r="T536" s="96"/>
      <c r="U536" s="96"/>
      <c r="V536" s="92"/>
      <c r="W536" s="92"/>
      <c r="X536" s="92"/>
      <c r="Y536" s="97"/>
      <c r="Z536" s="88"/>
      <c r="AA536" s="96"/>
      <c r="AB536" s="90"/>
      <c r="AC536" s="119"/>
      <c r="AD536" s="88"/>
      <c r="AE536" s="88"/>
      <c r="AF536" s="98"/>
      <c r="AG536" s="98"/>
      <c r="AH536" s="98"/>
      <c r="AI536" s="99"/>
      <c r="AJ536" s="99"/>
      <c r="AK536" s="99"/>
      <c r="AU536" s="44"/>
    </row>
    <row r="537" spans="1:47" ht="12" customHeight="1">
      <c r="A537" s="86"/>
      <c r="B537" s="92"/>
      <c r="C537" s="90"/>
      <c r="D537" s="88"/>
      <c r="E537" s="91"/>
      <c r="F537" s="218"/>
      <c r="G537" s="91"/>
      <c r="H537" s="92"/>
      <c r="I537" s="91"/>
      <c r="J537" s="88"/>
      <c r="K537" s="88"/>
      <c r="L537" s="88"/>
      <c r="M537" s="88"/>
      <c r="N537" s="88"/>
      <c r="O537" s="90"/>
      <c r="P537" s="94"/>
      <c r="Q537" s="142"/>
      <c r="R537" s="96"/>
      <c r="S537" s="96"/>
      <c r="T537" s="96"/>
      <c r="U537" s="96"/>
      <c r="V537" s="92"/>
      <c r="W537" s="92"/>
      <c r="X537" s="92"/>
      <c r="Y537" s="97"/>
      <c r="Z537" s="88"/>
      <c r="AA537" s="96"/>
      <c r="AB537" s="90"/>
      <c r="AC537" s="119"/>
      <c r="AD537" s="88"/>
      <c r="AE537" s="88"/>
      <c r="AF537" s="98"/>
      <c r="AG537" s="98"/>
      <c r="AH537" s="98"/>
      <c r="AI537" s="99"/>
      <c r="AJ537" s="99"/>
      <c r="AK537" s="99"/>
      <c r="AU537" s="44"/>
    </row>
    <row r="538" spans="1:47" ht="12" customHeight="1">
      <c r="A538" s="86"/>
      <c r="B538" s="92"/>
      <c r="C538" s="90"/>
      <c r="D538" s="88"/>
      <c r="E538" s="91"/>
      <c r="F538" s="218"/>
      <c r="G538" s="91"/>
      <c r="H538" s="92"/>
      <c r="I538" s="91"/>
      <c r="J538" s="88"/>
      <c r="K538" s="88"/>
      <c r="L538" s="88"/>
      <c r="M538" s="88"/>
      <c r="N538" s="88"/>
      <c r="O538" s="90"/>
      <c r="P538" s="94"/>
      <c r="Q538" s="142"/>
      <c r="R538" s="96"/>
      <c r="S538" s="96"/>
      <c r="T538" s="96"/>
      <c r="U538" s="96"/>
      <c r="V538" s="92"/>
      <c r="W538" s="92"/>
      <c r="X538" s="92"/>
      <c r="Y538" s="97"/>
      <c r="Z538" s="88"/>
      <c r="AA538" s="96"/>
      <c r="AB538" s="90"/>
      <c r="AC538" s="119"/>
      <c r="AD538" s="88"/>
      <c r="AE538" s="88"/>
      <c r="AF538" s="98"/>
      <c r="AG538" s="98"/>
      <c r="AH538" s="98"/>
      <c r="AI538" s="99"/>
      <c r="AJ538" s="99"/>
      <c r="AK538" s="99"/>
      <c r="AU538" s="44"/>
    </row>
    <row r="539" spans="1:47" ht="12" customHeight="1">
      <c r="A539" s="86"/>
      <c r="B539" s="92"/>
      <c r="C539" s="90"/>
      <c r="D539" s="88"/>
      <c r="E539" s="91"/>
      <c r="F539" s="218"/>
      <c r="G539" s="91"/>
      <c r="H539" s="92"/>
      <c r="I539" s="91"/>
      <c r="J539" s="88"/>
      <c r="K539" s="88"/>
      <c r="L539" s="88"/>
      <c r="M539" s="88"/>
      <c r="N539" s="88"/>
      <c r="O539" s="90"/>
      <c r="P539" s="94"/>
      <c r="Q539" s="142"/>
      <c r="R539" s="96"/>
      <c r="S539" s="96"/>
      <c r="T539" s="96"/>
      <c r="U539" s="96"/>
      <c r="V539" s="92"/>
      <c r="W539" s="92"/>
      <c r="X539" s="92"/>
      <c r="Y539" s="97"/>
      <c r="Z539" s="88"/>
      <c r="AA539" s="96"/>
      <c r="AB539" s="90"/>
      <c r="AC539" s="119"/>
      <c r="AD539" s="88"/>
      <c r="AE539" s="88"/>
      <c r="AF539" s="98"/>
      <c r="AG539" s="98"/>
      <c r="AH539" s="98"/>
      <c r="AI539" s="99"/>
      <c r="AJ539" s="99"/>
      <c r="AK539" s="99"/>
      <c r="AU539" s="44"/>
    </row>
    <row r="540" spans="1:47" ht="12" customHeight="1">
      <c r="A540" s="86"/>
      <c r="B540" s="92"/>
      <c r="C540" s="90"/>
      <c r="D540" s="88"/>
      <c r="E540" s="91"/>
      <c r="F540" s="218"/>
      <c r="G540" s="91"/>
      <c r="H540" s="92"/>
      <c r="I540" s="91"/>
      <c r="J540" s="88"/>
      <c r="K540" s="88"/>
      <c r="L540" s="88"/>
      <c r="M540" s="88"/>
      <c r="N540" s="88"/>
      <c r="O540" s="90"/>
      <c r="P540" s="94"/>
      <c r="Q540" s="142"/>
      <c r="R540" s="96"/>
      <c r="S540" s="96"/>
      <c r="T540" s="96"/>
      <c r="U540" s="96"/>
      <c r="V540" s="92"/>
      <c r="W540" s="92"/>
      <c r="X540" s="88"/>
      <c r="Y540" s="97"/>
      <c r="Z540" s="88"/>
      <c r="AA540" s="96"/>
      <c r="AB540" s="90"/>
      <c r="AC540" s="119"/>
      <c r="AD540" s="88"/>
      <c r="AE540" s="88"/>
      <c r="AF540" s="94"/>
      <c r="AG540" s="94"/>
      <c r="AH540" s="94"/>
      <c r="AI540" s="99"/>
      <c r="AJ540" s="99"/>
      <c r="AK540" s="99"/>
      <c r="AU540" s="44"/>
    </row>
    <row r="541" spans="1:47" ht="12" customHeight="1">
      <c r="A541" s="86"/>
      <c r="B541" s="92"/>
      <c r="C541" s="90"/>
      <c r="D541" s="88"/>
      <c r="E541" s="91"/>
      <c r="F541" s="218"/>
      <c r="G541" s="91"/>
      <c r="H541" s="92"/>
      <c r="I541" s="91"/>
      <c r="J541" s="88"/>
      <c r="K541" s="88"/>
      <c r="L541" s="88"/>
      <c r="M541" s="88"/>
      <c r="N541" s="88"/>
      <c r="O541" s="90"/>
      <c r="P541" s="94"/>
      <c r="Q541" s="142"/>
      <c r="R541" s="96"/>
      <c r="S541" s="96"/>
      <c r="T541" s="96"/>
      <c r="U541" s="96"/>
      <c r="V541" s="92"/>
      <c r="W541" s="88"/>
      <c r="X541" s="88"/>
      <c r="Y541" s="97"/>
      <c r="Z541" s="88"/>
      <c r="AA541" s="96"/>
      <c r="AB541" s="90"/>
      <c r="AC541" s="119"/>
      <c r="AD541" s="88"/>
      <c r="AE541" s="88"/>
      <c r="AF541" s="94"/>
      <c r="AG541" s="94"/>
      <c r="AH541" s="94"/>
      <c r="AI541" s="99"/>
      <c r="AJ541" s="99"/>
      <c r="AK541" s="99"/>
      <c r="AU541" s="44"/>
    </row>
    <row r="542" spans="1:47" ht="12" customHeight="1">
      <c r="A542" s="86"/>
      <c r="B542" s="92"/>
      <c r="C542" s="90"/>
      <c r="D542" s="88"/>
      <c r="E542" s="91"/>
      <c r="F542" s="218"/>
      <c r="G542" s="91"/>
      <c r="H542" s="92"/>
      <c r="I542" s="91"/>
      <c r="J542" s="88"/>
      <c r="K542" s="88"/>
      <c r="L542" s="88"/>
      <c r="M542" s="88"/>
      <c r="N542" s="88"/>
      <c r="O542" s="90"/>
      <c r="P542" s="94"/>
      <c r="Q542" s="142"/>
      <c r="R542" s="96"/>
      <c r="S542" s="96"/>
      <c r="T542" s="96"/>
      <c r="U542" s="96"/>
      <c r="V542" s="92"/>
      <c r="W542" s="88"/>
      <c r="X542" s="88"/>
      <c r="Y542" s="97"/>
      <c r="Z542" s="88"/>
      <c r="AA542" s="96"/>
      <c r="AB542" s="90"/>
      <c r="AC542" s="119"/>
      <c r="AD542" s="88"/>
      <c r="AE542" s="88"/>
      <c r="AF542" s="94"/>
      <c r="AG542" s="94"/>
      <c r="AH542" s="94"/>
      <c r="AI542" s="99"/>
      <c r="AJ542" s="99"/>
      <c r="AK542" s="99"/>
      <c r="AU542" s="44"/>
    </row>
    <row r="543" spans="1:47" ht="12" customHeight="1">
      <c r="A543" s="86"/>
      <c r="B543" s="92"/>
      <c r="C543" s="90"/>
      <c r="D543" s="88"/>
      <c r="E543" s="91"/>
      <c r="F543" s="218"/>
      <c r="G543" s="91"/>
      <c r="H543" s="92"/>
      <c r="I543" s="91"/>
      <c r="J543" s="88"/>
      <c r="K543" s="88"/>
      <c r="L543" s="88"/>
      <c r="M543" s="88"/>
      <c r="N543" s="88"/>
      <c r="O543" s="90"/>
      <c r="P543" s="94"/>
      <c r="Q543" s="142"/>
      <c r="R543" s="96"/>
      <c r="S543" s="96"/>
      <c r="T543" s="96"/>
      <c r="U543" s="96"/>
      <c r="V543" s="92"/>
      <c r="W543" s="88"/>
      <c r="X543" s="88"/>
      <c r="Y543" s="97"/>
      <c r="Z543" s="88"/>
      <c r="AA543" s="96"/>
      <c r="AB543" s="90"/>
      <c r="AC543" s="119"/>
      <c r="AD543" s="88"/>
      <c r="AE543" s="88"/>
      <c r="AF543" s="94"/>
      <c r="AG543" s="94"/>
      <c r="AH543" s="94"/>
      <c r="AI543" s="99"/>
      <c r="AJ543" s="99"/>
      <c r="AK543" s="99"/>
      <c r="AU543" s="44"/>
    </row>
    <row r="544" spans="1:47" ht="12" customHeight="1">
      <c r="A544" s="86"/>
      <c r="B544" s="92"/>
      <c r="C544" s="90"/>
      <c r="D544" s="88"/>
      <c r="E544" s="91"/>
      <c r="F544" s="218"/>
      <c r="G544" s="91"/>
      <c r="H544" s="92"/>
      <c r="I544" s="91"/>
      <c r="J544" s="88"/>
      <c r="K544" s="88"/>
      <c r="L544" s="88"/>
      <c r="M544" s="88"/>
      <c r="N544" s="88"/>
      <c r="O544" s="90"/>
      <c r="P544" s="94"/>
      <c r="Q544" s="142"/>
      <c r="R544" s="96"/>
      <c r="S544" s="96"/>
      <c r="T544" s="96"/>
      <c r="U544" s="96"/>
      <c r="V544" s="92"/>
      <c r="W544" s="88"/>
      <c r="X544" s="88"/>
      <c r="Y544" s="97"/>
      <c r="Z544" s="88"/>
      <c r="AA544" s="96"/>
      <c r="AB544" s="90"/>
      <c r="AC544" s="119"/>
      <c r="AD544" s="88"/>
      <c r="AE544" s="88"/>
      <c r="AF544" s="94"/>
      <c r="AG544" s="98"/>
      <c r="AH544" s="94"/>
      <c r="AI544" s="99"/>
      <c r="AJ544" s="99"/>
      <c r="AK544" s="99"/>
      <c r="AU544" s="44"/>
    </row>
    <row r="545" spans="1:47" ht="12" customHeight="1">
      <c r="A545" s="86"/>
      <c r="B545" s="92"/>
      <c r="C545" s="90"/>
      <c r="D545" s="88"/>
      <c r="E545" s="91"/>
      <c r="F545" s="218"/>
      <c r="G545" s="91"/>
      <c r="H545" s="92"/>
      <c r="I545" s="91"/>
      <c r="J545" s="88"/>
      <c r="K545" s="88"/>
      <c r="L545" s="88"/>
      <c r="M545" s="88"/>
      <c r="N545" s="88"/>
      <c r="O545" s="90"/>
      <c r="P545" s="94"/>
      <c r="Q545" s="142"/>
      <c r="R545" s="96"/>
      <c r="S545" s="96"/>
      <c r="T545" s="96"/>
      <c r="U545" s="96"/>
      <c r="V545" s="92"/>
      <c r="W545" s="92"/>
      <c r="X545" s="122"/>
      <c r="Y545" s="97"/>
      <c r="Z545" s="88"/>
      <c r="AA545" s="96"/>
      <c r="AB545" s="90"/>
      <c r="AC545" s="119"/>
      <c r="AD545" s="88"/>
      <c r="AE545" s="88"/>
      <c r="AF545" s="94"/>
      <c r="AG545" s="94"/>
      <c r="AH545" s="94"/>
      <c r="AI545" s="99"/>
      <c r="AJ545" s="99"/>
      <c r="AK545" s="99"/>
      <c r="AU545" s="44"/>
    </row>
    <row r="546" spans="1:47" ht="12" customHeight="1">
      <c r="A546" s="86"/>
      <c r="B546" s="92"/>
      <c r="C546" s="90"/>
      <c r="D546" s="88"/>
      <c r="E546" s="91"/>
      <c r="F546" s="218"/>
      <c r="G546" s="91"/>
      <c r="H546" s="92"/>
      <c r="I546" s="91"/>
      <c r="J546" s="88"/>
      <c r="K546" s="88"/>
      <c r="L546" s="88"/>
      <c r="M546" s="88"/>
      <c r="N546" s="88"/>
      <c r="O546" s="90"/>
      <c r="P546" s="94"/>
      <c r="Q546" s="142"/>
      <c r="R546" s="96"/>
      <c r="S546" s="96"/>
      <c r="T546" s="96"/>
      <c r="U546" s="96"/>
      <c r="V546" s="92"/>
      <c r="W546" s="92"/>
      <c r="X546" s="122"/>
      <c r="Y546" s="97"/>
      <c r="Z546" s="88"/>
      <c r="AA546" s="96"/>
      <c r="AB546" s="90"/>
      <c r="AC546" s="119"/>
      <c r="AD546" s="88"/>
      <c r="AE546" s="88"/>
      <c r="AF546" s="94"/>
      <c r="AG546" s="94"/>
      <c r="AH546" s="94"/>
      <c r="AI546" s="99"/>
      <c r="AJ546" s="99"/>
      <c r="AK546" s="99"/>
      <c r="AU546" s="44"/>
    </row>
    <row r="547" spans="1:47" ht="12" customHeight="1">
      <c r="A547" s="86"/>
      <c r="B547" s="92"/>
      <c r="C547" s="90"/>
      <c r="D547" s="88"/>
      <c r="E547" s="91"/>
      <c r="F547" s="218"/>
      <c r="G547" s="91"/>
      <c r="H547" s="92"/>
      <c r="I547" s="91"/>
      <c r="J547" s="88"/>
      <c r="K547" s="88"/>
      <c r="L547" s="88"/>
      <c r="M547" s="88"/>
      <c r="N547" s="88"/>
      <c r="O547" s="90"/>
      <c r="P547" s="94"/>
      <c r="Q547" s="142"/>
      <c r="R547" s="95"/>
      <c r="S547" s="96"/>
      <c r="T547" s="96"/>
      <c r="U547" s="96"/>
      <c r="V547" s="92"/>
      <c r="W547" s="92"/>
      <c r="X547" s="88"/>
      <c r="Y547" s="97"/>
      <c r="Z547" s="88"/>
      <c r="AA547" s="96"/>
      <c r="AB547" s="90"/>
      <c r="AC547" s="119"/>
      <c r="AD547" s="88"/>
      <c r="AE547" s="88"/>
      <c r="AF547" s="94"/>
      <c r="AG547" s="94"/>
      <c r="AH547" s="94"/>
      <c r="AI547" s="99"/>
      <c r="AJ547" s="99"/>
      <c r="AK547" s="99"/>
      <c r="AU547" s="44"/>
    </row>
    <row r="548" spans="1:47" ht="12" customHeight="1">
      <c r="A548" s="86"/>
      <c r="B548" s="92"/>
      <c r="C548" s="90"/>
      <c r="D548" s="88"/>
      <c r="E548" s="91"/>
      <c r="F548" s="218"/>
      <c r="G548" s="91"/>
      <c r="H548" s="92"/>
      <c r="I548" s="91"/>
      <c r="J548" s="88"/>
      <c r="K548" s="88"/>
      <c r="L548" s="88"/>
      <c r="M548" s="88"/>
      <c r="N548" s="88"/>
      <c r="O548" s="90"/>
      <c r="P548" s="94"/>
      <c r="Q548" s="142"/>
      <c r="R548" s="95"/>
      <c r="S548" s="96"/>
      <c r="T548" s="96"/>
      <c r="U548" s="96"/>
      <c r="V548" s="92"/>
      <c r="W548" s="92"/>
      <c r="X548" s="88"/>
      <c r="Y548" s="97"/>
      <c r="Z548" s="88"/>
      <c r="AA548" s="96"/>
      <c r="AB548" s="90"/>
      <c r="AC548" s="119"/>
      <c r="AD548" s="88"/>
      <c r="AE548" s="88"/>
      <c r="AF548" s="94"/>
      <c r="AG548" s="94"/>
      <c r="AH548" s="94"/>
      <c r="AI548" s="99"/>
      <c r="AJ548" s="99"/>
      <c r="AK548" s="99"/>
      <c r="AU548" s="44"/>
    </row>
    <row r="549" spans="1:47" ht="12" customHeight="1">
      <c r="A549" s="86"/>
      <c r="B549" s="92"/>
      <c r="C549" s="90"/>
      <c r="D549" s="88"/>
      <c r="E549" s="91"/>
      <c r="F549" s="218"/>
      <c r="G549" s="91"/>
      <c r="H549" s="92"/>
      <c r="I549" s="91"/>
      <c r="J549" s="88"/>
      <c r="K549" s="88"/>
      <c r="L549" s="88"/>
      <c r="M549" s="88"/>
      <c r="N549" s="88"/>
      <c r="O549" s="90"/>
      <c r="P549" s="94"/>
      <c r="Q549" s="142"/>
      <c r="R549" s="96"/>
      <c r="S549" s="96"/>
      <c r="T549" s="96"/>
      <c r="U549" s="96"/>
      <c r="V549" s="92"/>
      <c r="W549" s="92"/>
      <c r="X549" s="92"/>
      <c r="Y549" s="97"/>
      <c r="Z549" s="88"/>
      <c r="AA549" s="96"/>
      <c r="AB549" s="90"/>
      <c r="AC549" s="119"/>
      <c r="AD549" s="88"/>
      <c r="AE549" s="88"/>
      <c r="AF549" s="94"/>
      <c r="AG549" s="94"/>
      <c r="AH549" s="98"/>
      <c r="AI549" s="99"/>
      <c r="AJ549" s="99"/>
      <c r="AK549" s="99"/>
      <c r="AU549" s="44"/>
    </row>
    <row r="550" spans="1:47" ht="12" customHeight="1">
      <c r="A550" s="86"/>
      <c r="B550" s="92"/>
      <c r="C550" s="90"/>
      <c r="D550" s="88"/>
      <c r="E550" s="91"/>
      <c r="F550" s="218"/>
      <c r="G550" s="91"/>
      <c r="H550" s="92"/>
      <c r="I550" s="91"/>
      <c r="J550" s="88"/>
      <c r="K550" s="88"/>
      <c r="L550" s="88"/>
      <c r="M550" s="88"/>
      <c r="N550" s="88"/>
      <c r="O550" s="90"/>
      <c r="P550" s="94"/>
      <c r="Q550" s="142"/>
      <c r="R550" s="96"/>
      <c r="S550" s="96"/>
      <c r="T550" s="96"/>
      <c r="U550" s="96"/>
      <c r="V550" s="92"/>
      <c r="W550" s="92"/>
      <c r="X550" s="92"/>
      <c r="Y550" s="97"/>
      <c r="Z550" s="88"/>
      <c r="AA550" s="96"/>
      <c r="AB550" s="90"/>
      <c r="AC550" s="119"/>
      <c r="AD550" s="88"/>
      <c r="AE550" s="88"/>
      <c r="AF550" s="94"/>
      <c r="AG550" s="94"/>
      <c r="AH550" s="98"/>
      <c r="AI550" s="99"/>
      <c r="AJ550" s="99"/>
      <c r="AK550" s="99"/>
      <c r="AU550" s="44"/>
    </row>
    <row r="551" spans="1:47" ht="12" customHeight="1">
      <c r="A551" s="86"/>
      <c r="B551" s="92"/>
      <c r="C551" s="90"/>
      <c r="D551" s="88"/>
      <c r="E551" s="91"/>
      <c r="F551" s="218"/>
      <c r="G551" s="91"/>
      <c r="H551" s="92"/>
      <c r="I551" s="91"/>
      <c r="J551" s="88"/>
      <c r="K551" s="88"/>
      <c r="L551" s="88"/>
      <c r="M551" s="88"/>
      <c r="N551" s="88"/>
      <c r="O551" s="90"/>
      <c r="P551" s="94"/>
      <c r="Q551" s="142"/>
      <c r="R551" s="96"/>
      <c r="S551" s="96"/>
      <c r="T551" s="96"/>
      <c r="U551" s="96"/>
      <c r="V551" s="92"/>
      <c r="W551" s="92"/>
      <c r="X551" s="92"/>
      <c r="Y551" s="97"/>
      <c r="Z551" s="88"/>
      <c r="AA551" s="96"/>
      <c r="AB551" s="90"/>
      <c r="AC551" s="119"/>
      <c r="AD551" s="88"/>
      <c r="AE551" s="88"/>
      <c r="AF551" s="94"/>
      <c r="AG551" s="94"/>
      <c r="AH551" s="98"/>
      <c r="AI551" s="99"/>
      <c r="AJ551" s="99"/>
      <c r="AK551" s="99"/>
      <c r="AU551" s="44"/>
    </row>
    <row r="552" spans="1:47" ht="12" customHeight="1">
      <c r="A552" s="86"/>
      <c r="B552" s="92"/>
      <c r="C552" s="90"/>
      <c r="D552" s="88"/>
      <c r="E552" s="91"/>
      <c r="F552" s="218"/>
      <c r="G552" s="91"/>
      <c r="H552" s="92"/>
      <c r="I552" s="91"/>
      <c r="J552" s="88"/>
      <c r="K552" s="88"/>
      <c r="L552" s="88"/>
      <c r="M552" s="88"/>
      <c r="N552" s="88"/>
      <c r="O552" s="90"/>
      <c r="P552" s="94"/>
      <c r="Q552" s="142"/>
      <c r="R552" s="96"/>
      <c r="S552" s="96"/>
      <c r="T552" s="96"/>
      <c r="U552" s="96"/>
      <c r="V552" s="92"/>
      <c r="W552" s="122"/>
      <c r="X552" s="88"/>
      <c r="Y552" s="97"/>
      <c r="Z552" s="88"/>
      <c r="AA552" s="96"/>
      <c r="AB552" s="90"/>
      <c r="AC552" s="119"/>
      <c r="AD552" s="88"/>
      <c r="AE552" s="88"/>
      <c r="AF552" s="94"/>
      <c r="AG552" s="94"/>
      <c r="AH552" s="94"/>
      <c r="AI552" s="99"/>
      <c r="AJ552" s="99"/>
      <c r="AK552" s="99"/>
      <c r="AU552" s="44"/>
    </row>
    <row r="553" spans="1:47" ht="12" customHeight="1">
      <c r="A553" s="86"/>
      <c r="B553" s="92"/>
      <c r="C553" s="90"/>
      <c r="D553" s="88"/>
      <c r="E553" s="91"/>
      <c r="F553" s="218"/>
      <c r="G553" s="91"/>
      <c r="H553" s="92"/>
      <c r="I553" s="91"/>
      <c r="J553" s="88"/>
      <c r="K553" s="88"/>
      <c r="L553" s="88"/>
      <c r="M553" s="88"/>
      <c r="N553" s="88"/>
      <c r="O553" s="90"/>
      <c r="P553" s="94"/>
      <c r="Q553" s="142"/>
      <c r="R553" s="96"/>
      <c r="S553" s="96"/>
      <c r="T553" s="96"/>
      <c r="U553" s="96"/>
      <c r="V553" s="92"/>
      <c r="W553" s="92"/>
      <c r="X553" s="88"/>
      <c r="Y553" s="97"/>
      <c r="Z553" s="88"/>
      <c r="AA553" s="96"/>
      <c r="AB553" s="90"/>
      <c r="AC553" s="119"/>
      <c r="AD553" s="88"/>
      <c r="AE553" s="88"/>
      <c r="AF553" s="94"/>
      <c r="AG553" s="94"/>
      <c r="AH553" s="94"/>
      <c r="AI553" s="99"/>
      <c r="AJ553" s="99"/>
      <c r="AK553" s="99"/>
      <c r="AU553" s="44"/>
    </row>
    <row r="554" spans="1:47" ht="12" customHeight="1">
      <c r="A554" s="86"/>
      <c r="B554" s="92"/>
      <c r="C554" s="90"/>
      <c r="D554" s="88"/>
      <c r="E554" s="91"/>
      <c r="F554" s="218"/>
      <c r="G554" s="91"/>
      <c r="H554" s="92"/>
      <c r="I554" s="91"/>
      <c r="J554" s="88"/>
      <c r="K554" s="88"/>
      <c r="L554" s="88"/>
      <c r="M554" s="88"/>
      <c r="N554" s="88"/>
      <c r="O554" s="90"/>
      <c r="P554" s="94"/>
      <c r="Q554" s="142"/>
      <c r="R554" s="96"/>
      <c r="S554" s="96"/>
      <c r="T554" s="96"/>
      <c r="U554" s="96"/>
      <c r="V554" s="92"/>
      <c r="W554" s="122"/>
      <c r="X554" s="88"/>
      <c r="Y554" s="97"/>
      <c r="Z554" s="88"/>
      <c r="AA554" s="96"/>
      <c r="AB554" s="90"/>
      <c r="AC554" s="119"/>
      <c r="AD554" s="88"/>
      <c r="AE554" s="88"/>
      <c r="AF554" s="94"/>
      <c r="AG554" s="94"/>
      <c r="AH554" s="94"/>
      <c r="AI554" s="99"/>
      <c r="AJ554" s="99"/>
      <c r="AK554" s="99"/>
      <c r="AU554" s="44"/>
    </row>
    <row r="555" spans="1:47" ht="12" customHeight="1">
      <c r="A555" s="86"/>
      <c r="B555" s="92"/>
      <c r="C555" s="90"/>
      <c r="D555" s="88"/>
      <c r="E555" s="91"/>
      <c r="F555" s="218"/>
      <c r="G555" s="91"/>
      <c r="H555" s="92"/>
      <c r="I555" s="91"/>
      <c r="J555" s="88"/>
      <c r="K555" s="88"/>
      <c r="L555" s="88"/>
      <c r="M555" s="88"/>
      <c r="N555" s="88"/>
      <c r="O555" s="90"/>
      <c r="P555" s="94"/>
      <c r="Q555" s="142"/>
      <c r="R555" s="95"/>
      <c r="S555" s="96"/>
      <c r="T555" s="96"/>
      <c r="U555" s="96"/>
      <c r="V555" s="92"/>
      <c r="W555" s="88"/>
      <c r="X555" s="88"/>
      <c r="Y555" s="97"/>
      <c r="Z555" s="88"/>
      <c r="AA555" s="96"/>
      <c r="AB555" s="90"/>
      <c r="AC555" s="119"/>
      <c r="AD555" s="88"/>
      <c r="AE555" s="88"/>
      <c r="AF555" s="94"/>
      <c r="AG555" s="94"/>
      <c r="AH555" s="94"/>
      <c r="AI555" s="99"/>
      <c r="AJ555" s="99"/>
      <c r="AK555" s="99"/>
      <c r="AU555" s="44"/>
    </row>
    <row r="556" spans="1:47" ht="12" customHeight="1">
      <c r="A556" s="86"/>
      <c r="B556" s="92"/>
      <c r="C556" s="90"/>
      <c r="D556" s="88"/>
      <c r="E556" s="91"/>
      <c r="F556" s="218"/>
      <c r="G556" s="91"/>
      <c r="H556" s="92"/>
      <c r="I556" s="91"/>
      <c r="J556" s="88"/>
      <c r="K556" s="88"/>
      <c r="L556" s="88"/>
      <c r="M556" s="88"/>
      <c r="N556" s="88"/>
      <c r="O556" s="90"/>
      <c r="P556" s="94"/>
      <c r="Q556" s="142"/>
      <c r="R556" s="95"/>
      <c r="S556" s="96"/>
      <c r="T556" s="96"/>
      <c r="U556" s="96"/>
      <c r="V556" s="92"/>
      <c r="W556" s="88"/>
      <c r="X556" s="88"/>
      <c r="Y556" s="97"/>
      <c r="Z556" s="88"/>
      <c r="AA556" s="96"/>
      <c r="AB556" s="90"/>
      <c r="AC556" s="119"/>
      <c r="AD556" s="88"/>
      <c r="AE556" s="88"/>
      <c r="AF556" s="94"/>
      <c r="AG556" s="94"/>
      <c r="AH556" s="94"/>
      <c r="AI556" s="99"/>
      <c r="AJ556" s="99"/>
      <c r="AK556" s="99"/>
      <c r="AU556" s="44"/>
    </row>
    <row r="557" spans="1:47" ht="12" customHeight="1">
      <c r="A557" s="86"/>
      <c r="B557" s="92"/>
      <c r="C557" s="90"/>
      <c r="D557" s="88"/>
      <c r="E557" s="91"/>
      <c r="F557" s="218"/>
      <c r="G557" s="91"/>
      <c r="H557" s="92"/>
      <c r="I557" s="91"/>
      <c r="J557" s="88"/>
      <c r="K557" s="88"/>
      <c r="L557" s="88"/>
      <c r="M557" s="88"/>
      <c r="N557" s="88"/>
      <c r="O557" s="90"/>
      <c r="P557" s="94"/>
      <c r="Q557" s="142"/>
      <c r="R557" s="96"/>
      <c r="S557" s="96"/>
      <c r="T557" s="96"/>
      <c r="U557" s="96"/>
      <c r="V557" s="92"/>
      <c r="W557" s="92"/>
      <c r="X557" s="88"/>
      <c r="Y557" s="97"/>
      <c r="Z557" s="88"/>
      <c r="AA557" s="96"/>
      <c r="AB557" s="90"/>
      <c r="AC557" s="119"/>
      <c r="AD557" s="88"/>
      <c r="AE557" s="88"/>
      <c r="AF557" s="94"/>
      <c r="AG557" s="94"/>
      <c r="AH557" s="94"/>
      <c r="AI557" s="99"/>
      <c r="AJ557" s="99"/>
      <c r="AK557" s="99"/>
      <c r="AU557" s="44"/>
    </row>
    <row r="558" spans="1:47" ht="12" customHeight="1">
      <c r="A558" s="86"/>
      <c r="B558" s="92"/>
      <c r="C558" s="90"/>
      <c r="D558" s="88"/>
      <c r="E558" s="91"/>
      <c r="F558" s="218"/>
      <c r="G558" s="91"/>
      <c r="H558" s="92"/>
      <c r="I558" s="91"/>
      <c r="J558" s="88"/>
      <c r="K558" s="88"/>
      <c r="L558" s="88"/>
      <c r="M558" s="88"/>
      <c r="N558" s="88"/>
      <c r="O558" s="90"/>
      <c r="P558" s="94"/>
      <c r="Q558" s="142"/>
      <c r="R558" s="96"/>
      <c r="S558" s="96"/>
      <c r="T558" s="96"/>
      <c r="U558" s="96"/>
      <c r="V558" s="92"/>
      <c r="W558" s="92"/>
      <c r="X558" s="88"/>
      <c r="Y558" s="97"/>
      <c r="Z558" s="88"/>
      <c r="AA558" s="96"/>
      <c r="AB558" s="90"/>
      <c r="AC558" s="119"/>
      <c r="AD558" s="88"/>
      <c r="AE558" s="88"/>
      <c r="AF558" s="94"/>
      <c r="AG558" s="94"/>
      <c r="AH558" s="94"/>
      <c r="AI558" s="99"/>
      <c r="AJ558" s="99"/>
      <c r="AK558" s="99"/>
      <c r="AU558" s="44"/>
    </row>
    <row r="559" spans="1:47" ht="12" customHeight="1">
      <c r="A559" s="86"/>
      <c r="B559" s="92"/>
      <c r="C559" s="90"/>
      <c r="D559" s="88"/>
      <c r="E559" s="91"/>
      <c r="F559" s="218"/>
      <c r="G559" s="91"/>
      <c r="H559" s="92"/>
      <c r="I559" s="91"/>
      <c r="J559" s="88"/>
      <c r="K559" s="88"/>
      <c r="L559" s="88"/>
      <c r="M559" s="88"/>
      <c r="N559" s="88"/>
      <c r="O559" s="90"/>
      <c r="P559" s="141"/>
      <c r="Q559" s="142"/>
      <c r="R559" s="96"/>
      <c r="S559" s="96"/>
      <c r="T559" s="96"/>
      <c r="U559" s="96"/>
      <c r="V559" s="92"/>
      <c r="W559" s="88"/>
      <c r="X559" s="88"/>
      <c r="Y559" s="97"/>
      <c r="Z559" s="88"/>
      <c r="AA559" s="96"/>
      <c r="AB559" s="90"/>
      <c r="AC559" s="119"/>
      <c r="AD559" s="88"/>
      <c r="AE559" s="88"/>
      <c r="AF559" s="94"/>
      <c r="AG559" s="94"/>
      <c r="AH559" s="94"/>
      <c r="AI559" s="99"/>
      <c r="AJ559" s="99"/>
      <c r="AK559" s="99"/>
      <c r="AU559" s="44"/>
    </row>
    <row r="560" spans="1:47" ht="12" customHeight="1">
      <c r="A560" s="86"/>
      <c r="B560" s="92"/>
      <c r="C560" s="90"/>
      <c r="D560" s="88"/>
      <c r="E560" s="91"/>
      <c r="F560" s="218"/>
      <c r="G560" s="91"/>
      <c r="H560" s="92"/>
      <c r="I560" s="91"/>
      <c r="J560" s="88"/>
      <c r="K560" s="88"/>
      <c r="L560" s="88"/>
      <c r="M560" s="88"/>
      <c r="N560" s="88"/>
      <c r="O560" s="90"/>
      <c r="P560" s="141"/>
      <c r="Q560" s="142"/>
      <c r="R560" s="96"/>
      <c r="S560" s="96"/>
      <c r="T560" s="96"/>
      <c r="U560" s="96"/>
      <c r="V560" s="92"/>
      <c r="W560" s="88"/>
      <c r="X560" s="88"/>
      <c r="Y560" s="97"/>
      <c r="Z560" s="88"/>
      <c r="AA560" s="96"/>
      <c r="AB560" s="90"/>
      <c r="AC560" s="119"/>
      <c r="AD560" s="88"/>
      <c r="AE560" s="88"/>
      <c r="AF560" s="94"/>
      <c r="AG560" s="94"/>
      <c r="AH560" s="94"/>
      <c r="AI560" s="99"/>
      <c r="AJ560" s="99"/>
      <c r="AK560" s="99"/>
      <c r="AU560" s="44"/>
    </row>
    <row r="561" spans="1:47" ht="12" customHeight="1">
      <c r="A561" s="86"/>
      <c r="B561" s="92"/>
      <c r="C561" s="90"/>
      <c r="D561" s="88"/>
      <c r="E561" s="91"/>
      <c r="F561" s="218"/>
      <c r="G561" s="91"/>
      <c r="H561" s="92"/>
      <c r="I561" s="91"/>
      <c r="J561" s="88"/>
      <c r="K561" s="88"/>
      <c r="L561" s="88"/>
      <c r="M561" s="88"/>
      <c r="N561" s="88"/>
      <c r="O561" s="90"/>
      <c r="P561" s="141"/>
      <c r="Q561" s="142"/>
      <c r="R561" s="96"/>
      <c r="S561" s="96"/>
      <c r="T561" s="96"/>
      <c r="U561" s="96"/>
      <c r="V561" s="92"/>
      <c r="W561" s="88"/>
      <c r="X561" s="88"/>
      <c r="Y561" s="97"/>
      <c r="Z561" s="88"/>
      <c r="AA561" s="96"/>
      <c r="AB561" s="90"/>
      <c r="AC561" s="119"/>
      <c r="AD561" s="88"/>
      <c r="AE561" s="88"/>
      <c r="AF561" s="94"/>
      <c r="AG561" s="94"/>
      <c r="AH561" s="94"/>
      <c r="AI561" s="99"/>
      <c r="AJ561" s="99"/>
      <c r="AK561" s="99"/>
      <c r="AU561" s="44"/>
    </row>
    <row r="562" spans="1:47" ht="12" customHeight="1">
      <c r="A562" s="86"/>
      <c r="B562" s="92"/>
      <c r="C562" s="90"/>
      <c r="D562" s="88"/>
      <c r="E562" s="91"/>
      <c r="F562" s="218"/>
      <c r="G562" s="91"/>
      <c r="H562" s="92"/>
      <c r="I562" s="91"/>
      <c r="J562" s="88"/>
      <c r="K562" s="88"/>
      <c r="L562" s="88"/>
      <c r="M562" s="88"/>
      <c r="N562" s="88"/>
      <c r="O562" s="90"/>
      <c r="P562" s="141"/>
      <c r="Q562" s="142"/>
      <c r="R562" s="96"/>
      <c r="S562" s="96"/>
      <c r="T562" s="96"/>
      <c r="U562" s="96"/>
      <c r="V562" s="92"/>
      <c r="W562" s="88"/>
      <c r="X562" s="88"/>
      <c r="Y562" s="97"/>
      <c r="Z562" s="88"/>
      <c r="AA562" s="96"/>
      <c r="AB562" s="90"/>
      <c r="AC562" s="119"/>
      <c r="AD562" s="88"/>
      <c r="AE562" s="88"/>
      <c r="AF562" s="94"/>
      <c r="AG562" s="94"/>
      <c r="AH562" s="94"/>
      <c r="AI562" s="99"/>
      <c r="AJ562" s="99"/>
      <c r="AK562" s="99"/>
      <c r="AU562" s="44"/>
    </row>
    <row r="563" spans="1:47" ht="12" customHeight="1">
      <c r="A563" s="86"/>
      <c r="B563" s="92"/>
      <c r="C563" s="90"/>
      <c r="D563" s="88"/>
      <c r="E563" s="91"/>
      <c r="F563" s="218"/>
      <c r="G563" s="91"/>
      <c r="H563" s="92"/>
      <c r="I563" s="91"/>
      <c r="J563" s="88"/>
      <c r="K563" s="88"/>
      <c r="L563" s="88"/>
      <c r="M563" s="88"/>
      <c r="N563" s="88"/>
      <c r="O563" s="90"/>
      <c r="P563" s="141"/>
      <c r="Q563" s="142"/>
      <c r="R563" s="96"/>
      <c r="S563" s="96"/>
      <c r="T563" s="96"/>
      <c r="U563" s="96"/>
      <c r="V563" s="92"/>
      <c r="W563" s="88"/>
      <c r="X563" s="88"/>
      <c r="Y563" s="97"/>
      <c r="Z563" s="88"/>
      <c r="AA563" s="96"/>
      <c r="AB563" s="90"/>
      <c r="AC563" s="119"/>
      <c r="AD563" s="88"/>
      <c r="AE563" s="88"/>
      <c r="AF563" s="94"/>
      <c r="AG563" s="94"/>
      <c r="AH563" s="94"/>
      <c r="AI563" s="99"/>
      <c r="AJ563" s="99"/>
      <c r="AK563" s="99"/>
      <c r="AU563" s="44"/>
    </row>
    <row r="564" spans="1:47" ht="12" customHeight="1">
      <c r="A564" s="86"/>
      <c r="B564" s="92"/>
      <c r="C564" s="90"/>
      <c r="D564" s="88"/>
      <c r="E564" s="91"/>
      <c r="F564" s="218"/>
      <c r="G564" s="91"/>
      <c r="H564" s="92"/>
      <c r="I564" s="91"/>
      <c r="J564" s="88"/>
      <c r="K564" s="88"/>
      <c r="L564" s="88"/>
      <c r="M564" s="88"/>
      <c r="N564" s="88"/>
      <c r="O564" s="90"/>
      <c r="P564" s="141"/>
      <c r="Q564" s="142"/>
      <c r="R564" s="96"/>
      <c r="S564" s="96"/>
      <c r="T564" s="96"/>
      <c r="U564" s="96"/>
      <c r="V564" s="92"/>
      <c r="W564" s="88"/>
      <c r="X564" s="88"/>
      <c r="Y564" s="97"/>
      <c r="Z564" s="88"/>
      <c r="AA564" s="96"/>
      <c r="AB564" s="90"/>
      <c r="AC564" s="119"/>
      <c r="AD564" s="88"/>
      <c r="AE564" s="88"/>
      <c r="AF564" s="94"/>
      <c r="AG564" s="94"/>
      <c r="AH564" s="94"/>
      <c r="AI564" s="99"/>
      <c r="AJ564" s="99"/>
      <c r="AK564" s="99"/>
      <c r="AU564" s="44"/>
    </row>
    <row r="565" spans="1:47" ht="12" customHeight="1">
      <c r="A565" s="86"/>
      <c r="B565" s="92"/>
      <c r="C565" s="90"/>
      <c r="D565" s="88"/>
      <c r="E565" s="91"/>
      <c r="F565" s="218"/>
      <c r="G565" s="91"/>
      <c r="H565" s="92"/>
      <c r="I565" s="91"/>
      <c r="J565" s="88"/>
      <c r="K565" s="88"/>
      <c r="L565" s="88"/>
      <c r="M565" s="88"/>
      <c r="N565" s="88"/>
      <c r="O565" s="90"/>
      <c r="P565" s="141"/>
      <c r="Q565" s="142"/>
      <c r="R565" s="96"/>
      <c r="S565" s="96"/>
      <c r="T565" s="96"/>
      <c r="U565" s="96"/>
      <c r="V565" s="92"/>
      <c r="W565" s="88"/>
      <c r="X565" s="88"/>
      <c r="Y565" s="97"/>
      <c r="Z565" s="88"/>
      <c r="AA565" s="96"/>
      <c r="AB565" s="90"/>
      <c r="AC565" s="119"/>
      <c r="AD565" s="88"/>
      <c r="AE565" s="88"/>
      <c r="AF565" s="94"/>
      <c r="AG565" s="94"/>
      <c r="AH565" s="94"/>
      <c r="AI565" s="99"/>
      <c r="AJ565" s="99"/>
      <c r="AK565" s="99"/>
      <c r="AU565" s="44"/>
    </row>
    <row r="566" spans="1:47" ht="12" customHeight="1">
      <c r="A566" s="86"/>
      <c r="B566" s="92"/>
      <c r="C566" s="90"/>
      <c r="D566" s="88"/>
      <c r="E566" s="91"/>
      <c r="F566" s="218"/>
      <c r="G566" s="91"/>
      <c r="H566" s="92"/>
      <c r="I566" s="91"/>
      <c r="J566" s="88"/>
      <c r="K566" s="88"/>
      <c r="L566" s="88"/>
      <c r="M566" s="88"/>
      <c r="N566" s="88"/>
      <c r="O566" s="90"/>
      <c r="P566" s="141"/>
      <c r="Q566" s="142"/>
      <c r="R566" s="96"/>
      <c r="S566" s="96"/>
      <c r="T566" s="96"/>
      <c r="U566" s="96"/>
      <c r="V566" s="92"/>
      <c r="W566" s="88"/>
      <c r="X566" s="88"/>
      <c r="Y566" s="97"/>
      <c r="Z566" s="88"/>
      <c r="AA566" s="96"/>
      <c r="AB566" s="90"/>
      <c r="AC566" s="119"/>
      <c r="AD566" s="88"/>
      <c r="AE566" s="88"/>
      <c r="AF566" s="94"/>
      <c r="AG566" s="94"/>
      <c r="AH566" s="94"/>
      <c r="AI566" s="99"/>
      <c r="AJ566" s="99"/>
      <c r="AK566" s="99"/>
      <c r="AU566" s="44"/>
    </row>
    <row r="567" spans="1:47" ht="12" customHeight="1">
      <c r="A567" s="86"/>
      <c r="B567" s="92"/>
      <c r="C567" s="90"/>
      <c r="D567" s="88"/>
      <c r="E567" s="91"/>
      <c r="F567" s="218"/>
      <c r="G567" s="91"/>
      <c r="H567" s="92"/>
      <c r="I567" s="91"/>
      <c r="J567" s="88"/>
      <c r="K567" s="88"/>
      <c r="L567" s="88"/>
      <c r="M567" s="88"/>
      <c r="N567" s="88"/>
      <c r="O567" s="90"/>
      <c r="P567" s="141"/>
      <c r="Q567" s="142"/>
      <c r="R567" s="96"/>
      <c r="S567" s="96"/>
      <c r="T567" s="96"/>
      <c r="U567" s="96"/>
      <c r="V567" s="92"/>
      <c r="W567" s="88"/>
      <c r="X567" s="88"/>
      <c r="Y567" s="97"/>
      <c r="Z567" s="88"/>
      <c r="AA567" s="96"/>
      <c r="AB567" s="90"/>
      <c r="AC567" s="119"/>
      <c r="AD567" s="88"/>
      <c r="AE567" s="88"/>
      <c r="AF567" s="94"/>
      <c r="AG567" s="94"/>
      <c r="AH567" s="94"/>
      <c r="AI567" s="99"/>
      <c r="AJ567" s="99"/>
      <c r="AK567" s="99"/>
      <c r="AU567" s="44"/>
    </row>
    <row r="568" spans="1:47" ht="12" customHeight="1">
      <c r="AU568" s="44"/>
    </row>
    <row r="569" spans="1:47" ht="12" customHeight="1">
      <c r="AU569" s="44"/>
    </row>
    <row r="570" spans="1:47" ht="12" customHeight="1">
      <c r="AU570" s="44"/>
    </row>
    <row r="571" spans="1:47" ht="12" customHeight="1">
      <c r="AU571" s="44"/>
    </row>
    <row r="572" spans="1:47" ht="12" customHeight="1">
      <c r="AU572" s="44"/>
    </row>
    <row r="573" spans="1:47" ht="12" customHeight="1">
      <c r="AU573" s="44"/>
    </row>
    <row r="574" spans="1:47" ht="12" customHeight="1">
      <c r="AU574" s="44"/>
    </row>
    <row r="575" spans="1:47" ht="12" customHeight="1">
      <c r="AU575" s="44"/>
    </row>
    <row r="576" spans="1:47" ht="12" customHeight="1">
      <c r="AU576" s="44"/>
    </row>
    <row r="577" spans="47:47" ht="12" customHeight="1">
      <c r="AU577" s="44"/>
    </row>
    <row r="578" spans="47:47" ht="12" customHeight="1">
      <c r="AU578" s="44"/>
    </row>
    <row r="579" spans="47:47" ht="12" customHeight="1">
      <c r="AU579" s="44"/>
    </row>
    <row r="580" spans="47:47" ht="12" customHeight="1">
      <c r="AU580" s="44"/>
    </row>
    <row r="581" spans="47:47" ht="12" customHeight="1">
      <c r="AU581" s="44"/>
    </row>
    <row r="582" spans="47:47" ht="12" customHeight="1">
      <c r="AU582" s="44"/>
    </row>
    <row r="583" spans="47:47" ht="12" customHeight="1">
      <c r="AU583" s="44"/>
    </row>
    <row r="584" spans="47:47" ht="12" customHeight="1">
      <c r="AU584" s="44"/>
    </row>
    <row r="585" spans="47:47" ht="12" customHeight="1">
      <c r="AU585" s="44"/>
    </row>
    <row r="586" spans="47:47" ht="12" customHeight="1">
      <c r="AU586" s="44"/>
    </row>
    <row r="587" spans="47:47" ht="12" customHeight="1">
      <c r="AU587" s="44"/>
    </row>
    <row r="588" spans="47:47" ht="12" customHeight="1">
      <c r="AU588" s="44"/>
    </row>
    <row r="589" spans="47:47" ht="12" customHeight="1">
      <c r="AU589" s="44"/>
    </row>
    <row r="590" spans="47:47" ht="12" customHeight="1">
      <c r="AU590" s="44"/>
    </row>
    <row r="591" spans="47:47" ht="12" customHeight="1">
      <c r="AU591" s="44"/>
    </row>
    <row r="592" spans="47:47" ht="12" customHeight="1">
      <c r="AU592" s="44"/>
    </row>
    <row r="593" spans="47:47" ht="12" customHeight="1">
      <c r="AU593" s="44"/>
    </row>
    <row r="594" spans="47:47" ht="12" customHeight="1">
      <c r="AU594" s="44"/>
    </row>
    <row r="595" spans="47:47" ht="12" customHeight="1">
      <c r="AU595" s="44"/>
    </row>
    <row r="596" spans="47:47" ht="12" customHeight="1">
      <c r="AU596" s="44"/>
    </row>
    <row r="597" spans="47:47" ht="12" customHeight="1">
      <c r="AU597" s="44"/>
    </row>
    <row r="598" spans="47:47" ht="12" customHeight="1">
      <c r="AU598" s="44"/>
    </row>
    <row r="599" spans="47:47" ht="12" customHeight="1">
      <c r="AU599" s="44"/>
    </row>
    <row r="600" spans="47:47" ht="12" customHeight="1">
      <c r="AU600" s="44"/>
    </row>
    <row r="601" spans="47:47" ht="12" customHeight="1">
      <c r="AU601" s="44"/>
    </row>
    <row r="602" spans="47:47" ht="12" customHeight="1">
      <c r="AU602" s="44"/>
    </row>
    <row r="603" spans="47:47" ht="12" customHeight="1">
      <c r="AU603" s="44"/>
    </row>
    <row r="604" spans="47:47" ht="12" customHeight="1">
      <c r="AU604" s="44"/>
    </row>
    <row r="605" spans="47:47" ht="12" customHeight="1">
      <c r="AU605" s="44"/>
    </row>
    <row r="606" spans="47:47" ht="12" customHeight="1">
      <c r="AU606" s="44"/>
    </row>
    <row r="607" spans="47:47" ht="12" customHeight="1">
      <c r="AU607" s="44"/>
    </row>
    <row r="608" spans="47:47" ht="12" customHeight="1">
      <c r="AU608" s="44"/>
    </row>
    <row r="609" spans="47:47" ht="12" customHeight="1">
      <c r="AU609" s="44"/>
    </row>
    <row r="610" spans="47:47" ht="12" customHeight="1">
      <c r="AU610" s="44"/>
    </row>
    <row r="611" spans="47:47" ht="12" customHeight="1">
      <c r="AU611" s="44"/>
    </row>
    <row r="612" spans="47:47" ht="12" customHeight="1">
      <c r="AU612" s="44"/>
    </row>
    <row r="613" spans="47:47" ht="12" customHeight="1">
      <c r="AU613" s="44"/>
    </row>
    <row r="614" spans="47:47" ht="12" customHeight="1">
      <c r="AU614" s="44"/>
    </row>
    <row r="615" spans="47:47" ht="12" customHeight="1">
      <c r="AU615" s="44"/>
    </row>
    <row r="616" spans="47:47" ht="12" customHeight="1">
      <c r="AU616" s="44"/>
    </row>
    <row r="617" spans="47:47" ht="12" customHeight="1">
      <c r="AU617" s="44"/>
    </row>
    <row r="618" spans="47:47" ht="12" customHeight="1">
      <c r="AU618" s="44"/>
    </row>
    <row r="619" spans="47:47" ht="12" customHeight="1">
      <c r="AU619" s="44"/>
    </row>
    <row r="620" spans="47:47" ht="12" customHeight="1">
      <c r="AU620" s="44"/>
    </row>
    <row r="621" spans="47:47" ht="12" customHeight="1">
      <c r="AU621" s="44"/>
    </row>
    <row r="622" spans="47:47" ht="12" customHeight="1">
      <c r="AU622" s="44"/>
    </row>
    <row r="623" spans="47:47" ht="12" customHeight="1">
      <c r="AU623" s="44"/>
    </row>
    <row r="624" spans="47:47" ht="12" customHeight="1">
      <c r="AU624" s="44"/>
    </row>
    <row r="625" spans="47:47" ht="12" customHeight="1">
      <c r="AU625" s="44"/>
    </row>
    <row r="626" spans="47:47" ht="12" customHeight="1">
      <c r="AU626" s="44"/>
    </row>
    <row r="627" spans="47:47" ht="12" customHeight="1">
      <c r="AU627" s="44"/>
    </row>
    <row r="628" spans="47:47" ht="12" customHeight="1">
      <c r="AU628" s="44"/>
    </row>
    <row r="629" spans="47:47" ht="12" customHeight="1">
      <c r="AU629" s="44"/>
    </row>
    <row r="630" spans="47:47" ht="12" customHeight="1">
      <c r="AU630" s="44"/>
    </row>
    <row r="631" spans="47:47" ht="12" customHeight="1">
      <c r="AU631" s="44"/>
    </row>
    <row r="632" spans="47:47" ht="12" customHeight="1">
      <c r="AU632" s="44"/>
    </row>
    <row r="633" spans="47:47" ht="12" customHeight="1">
      <c r="AU633" s="44"/>
    </row>
    <row r="634" spans="47:47" ht="12" customHeight="1">
      <c r="AU634" s="44"/>
    </row>
    <row r="635" spans="47:47" ht="12" customHeight="1">
      <c r="AU635" s="44"/>
    </row>
    <row r="636" spans="47:47" ht="12" customHeight="1">
      <c r="AU636" s="44"/>
    </row>
    <row r="637" spans="47:47" ht="12" customHeight="1">
      <c r="AU637" s="44"/>
    </row>
    <row r="638" spans="47:47" ht="12" customHeight="1">
      <c r="AU638" s="44"/>
    </row>
    <row r="639" spans="47:47" ht="12" customHeight="1">
      <c r="AU639" s="44"/>
    </row>
    <row r="640" spans="47:47" ht="12" customHeight="1">
      <c r="AU640" s="44"/>
    </row>
    <row r="641" spans="47:47" ht="12" customHeight="1">
      <c r="AU641" s="44"/>
    </row>
    <row r="642" spans="47:47" ht="12" customHeight="1">
      <c r="AU642" s="44"/>
    </row>
    <row r="643" spans="47:47" ht="12" customHeight="1">
      <c r="AU643" s="44"/>
    </row>
    <row r="644" spans="47:47" ht="12" customHeight="1">
      <c r="AU644" s="44"/>
    </row>
    <row r="645" spans="47:47" ht="12" customHeight="1">
      <c r="AU645" s="44"/>
    </row>
    <row r="646" spans="47:47" ht="12" customHeight="1">
      <c r="AU646" s="44"/>
    </row>
    <row r="647" spans="47:47" ht="12" customHeight="1">
      <c r="AU647" s="44"/>
    </row>
    <row r="648" spans="47:47" ht="12" customHeight="1">
      <c r="AU648" s="44"/>
    </row>
    <row r="649" spans="47:47" ht="12" customHeight="1">
      <c r="AU649" s="44"/>
    </row>
    <row r="650" spans="47:47" ht="12" customHeight="1">
      <c r="AU650" s="44"/>
    </row>
    <row r="651" spans="47:47" ht="12" customHeight="1">
      <c r="AU651" s="44"/>
    </row>
    <row r="652" spans="47:47" ht="12" customHeight="1">
      <c r="AU652" s="44"/>
    </row>
    <row r="653" spans="47:47" ht="12" customHeight="1">
      <c r="AU653" s="44"/>
    </row>
    <row r="654" spans="47:47" ht="12" customHeight="1">
      <c r="AU654" s="44"/>
    </row>
    <row r="655" spans="47:47" ht="12" customHeight="1">
      <c r="AU655" s="44"/>
    </row>
    <row r="656" spans="47:47" ht="12" customHeight="1">
      <c r="AU656" s="44"/>
    </row>
    <row r="657" spans="47:47" ht="12" customHeight="1">
      <c r="AU657" s="44"/>
    </row>
    <row r="658" spans="47:47" ht="12" customHeight="1">
      <c r="AU658" s="44"/>
    </row>
    <row r="659" spans="47:47" ht="12" customHeight="1">
      <c r="AU659" s="44"/>
    </row>
    <row r="660" spans="47:47" ht="12" customHeight="1">
      <c r="AU660" s="44"/>
    </row>
    <row r="661" spans="47:47" ht="12" customHeight="1">
      <c r="AU661" s="44"/>
    </row>
    <row r="662" spans="47:47" ht="12" customHeight="1">
      <c r="AU662" s="44"/>
    </row>
    <row r="663" spans="47:47" ht="12" customHeight="1">
      <c r="AU663" s="44"/>
    </row>
    <row r="664" spans="47:47" ht="12" customHeight="1">
      <c r="AU664" s="44"/>
    </row>
    <row r="665" spans="47:47" ht="12" customHeight="1">
      <c r="AU665" s="44"/>
    </row>
    <row r="666" spans="47:47" ht="12" customHeight="1">
      <c r="AU666" s="44"/>
    </row>
    <row r="667" spans="47:47" ht="12" customHeight="1">
      <c r="AU667" s="44"/>
    </row>
    <row r="668" spans="47:47" ht="12" customHeight="1">
      <c r="AU668" s="44"/>
    </row>
    <row r="669" spans="47:47" ht="12" customHeight="1">
      <c r="AU669" s="44"/>
    </row>
    <row r="670" spans="47:47" ht="12" customHeight="1">
      <c r="AU670" s="44"/>
    </row>
    <row r="671" spans="47:47" ht="12" customHeight="1">
      <c r="AU671" s="44"/>
    </row>
    <row r="672" spans="47:47" ht="12" customHeight="1">
      <c r="AU672" s="44"/>
    </row>
    <row r="673" spans="47:47" ht="12" customHeight="1">
      <c r="AU673" s="44"/>
    </row>
    <row r="674" spans="47:47" ht="12" customHeight="1">
      <c r="AU674" s="44"/>
    </row>
    <row r="675" spans="47:47" ht="12" customHeight="1">
      <c r="AU675" s="44"/>
    </row>
    <row r="676" spans="47:47" ht="12" customHeight="1">
      <c r="AU676" s="44"/>
    </row>
    <row r="677" spans="47:47" ht="12" customHeight="1">
      <c r="AU677" s="44"/>
    </row>
    <row r="678" spans="47:47" ht="12" customHeight="1">
      <c r="AU678" s="44"/>
    </row>
    <row r="679" spans="47:47" ht="12" customHeight="1">
      <c r="AU679" s="44"/>
    </row>
    <row r="680" spans="47:47" ht="12" customHeight="1">
      <c r="AU680" s="44"/>
    </row>
    <row r="681" spans="47:47" ht="12" customHeight="1">
      <c r="AU681" s="44"/>
    </row>
    <row r="682" spans="47:47" ht="12" customHeight="1">
      <c r="AU682" s="44"/>
    </row>
    <row r="683" spans="47:47" ht="12" customHeight="1">
      <c r="AU683" s="44"/>
    </row>
    <row r="684" spans="47:47" ht="12" customHeight="1">
      <c r="AU684" s="44"/>
    </row>
    <row r="685" spans="47:47" ht="12" customHeight="1">
      <c r="AU685" s="44"/>
    </row>
    <row r="686" spans="47:47" ht="12" customHeight="1">
      <c r="AU686" s="44"/>
    </row>
    <row r="687" spans="47:47" ht="12" customHeight="1">
      <c r="AU687" s="44"/>
    </row>
    <row r="688" spans="47:47" ht="12" customHeight="1">
      <c r="AU688" s="44"/>
    </row>
    <row r="689" spans="47:47" ht="12" customHeight="1">
      <c r="AU689" s="44"/>
    </row>
    <row r="690" spans="47:47" ht="12" customHeight="1">
      <c r="AU690" s="44"/>
    </row>
    <row r="691" spans="47:47" ht="12" customHeight="1">
      <c r="AU691" s="44"/>
    </row>
    <row r="692" spans="47:47" ht="12" customHeight="1">
      <c r="AU692" s="44"/>
    </row>
    <row r="693" spans="47:47" ht="12" customHeight="1">
      <c r="AU693" s="44"/>
    </row>
    <row r="694" spans="47:47" ht="12" customHeight="1">
      <c r="AU694" s="44"/>
    </row>
    <row r="695" spans="47:47" ht="12" customHeight="1">
      <c r="AU695" s="44"/>
    </row>
    <row r="696" spans="47:47" ht="12" customHeight="1">
      <c r="AU696" s="44"/>
    </row>
    <row r="697" spans="47:47" ht="12" customHeight="1">
      <c r="AU697" s="44"/>
    </row>
    <row r="698" spans="47:47" ht="12" customHeight="1">
      <c r="AU698" s="44"/>
    </row>
    <row r="699" spans="47:47" ht="12" customHeight="1">
      <c r="AU699" s="44"/>
    </row>
    <row r="700" spans="47:47" ht="12" customHeight="1">
      <c r="AU700" s="44"/>
    </row>
    <row r="701" spans="47:47" ht="12" customHeight="1">
      <c r="AU701" s="44"/>
    </row>
    <row r="702" spans="47:47" ht="12" customHeight="1">
      <c r="AU702" s="44"/>
    </row>
    <row r="703" spans="47:47" ht="12" customHeight="1">
      <c r="AU703" s="44"/>
    </row>
    <row r="704" spans="47:47" ht="12" customHeight="1">
      <c r="AU704" s="44"/>
    </row>
    <row r="705" spans="47:47" ht="12" customHeight="1">
      <c r="AU705" s="44"/>
    </row>
    <row r="706" spans="47:47" ht="12" customHeight="1">
      <c r="AU706" s="44"/>
    </row>
    <row r="707" spans="47:47" ht="12" customHeight="1">
      <c r="AU707" s="44"/>
    </row>
    <row r="708" spans="47:47" ht="12" customHeight="1">
      <c r="AU708" s="44"/>
    </row>
    <row r="709" spans="47:47" ht="12" customHeight="1">
      <c r="AU709" s="44"/>
    </row>
    <row r="710" spans="47:47" ht="12" customHeight="1">
      <c r="AU710" s="44"/>
    </row>
    <row r="711" spans="47:47" ht="12" customHeight="1">
      <c r="AU711" s="44"/>
    </row>
    <row r="712" spans="47:47" ht="12" customHeight="1">
      <c r="AU712" s="44"/>
    </row>
    <row r="713" spans="47:47" ht="12" customHeight="1">
      <c r="AU713" s="44"/>
    </row>
    <row r="714" spans="47:47" ht="12" customHeight="1">
      <c r="AU714" s="44"/>
    </row>
    <row r="715" spans="47:47" ht="12" customHeight="1">
      <c r="AU715" s="44"/>
    </row>
    <row r="716" spans="47:47" ht="12" customHeight="1">
      <c r="AU716" s="44"/>
    </row>
    <row r="717" spans="47:47" ht="12" customHeight="1">
      <c r="AU717" s="44"/>
    </row>
    <row r="718" spans="47:47" ht="12" customHeight="1">
      <c r="AU718" s="44"/>
    </row>
    <row r="719" spans="47:47" ht="12" customHeight="1">
      <c r="AU719" s="44"/>
    </row>
    <row r="720" spans="47:47" ht="12" customHeight="1">
      <c r="AU720" s="44"/>
    </row>
    <row r="721" spans="47:47" ht="12" customHeight="1">
      <c r="AU721" s="44"/>
    </row>
    <row r="722" spans="47:47" ht="12" customHeight="1">
      <c r="AU722" s="44"/>
    </row>
    <row r="723" spans="47:47" ht="12" customHeight="1">
      <c r="AU723" s="44"/>
    </row>
    <row r="724" spans="47:47" ht="12" customHeight="1">
      <c r="AU724" s="44"/>
    </row>
    <row r="725" spans="47:47" ht="12" customHeight="1">
      <c r="AU725" s="44"/>
    </row>
    <row r="726" spans="47:47" ht="12" customHeight="1">
      <c r="AU726" s="44"/>
    </row>
    <row r="727" spans="47:47" ht="12" customHeight="1">
      <c r="AU727" s="44"/>
    </row>
    <row r="728" spans="47:47" ht="12" customHeight="1">
      <c r="AU728" s="44"/>
    </row>
    <row r="729" spans="47:47" ht="12" customHeight="1">
      <c r="AU729" s="44"/>
    </row>
    <row r="730" spans="47:47" ht="12" customHeight="1">
      <c r="AU730" s="44"/>
    </row>
    <row r="731" spans="47:47" ht="12" customHeight="1">
      <c r="AU731" s="44"/>
    </row>
    <row r="732" spans="47:47" ht="12" customHeight="1">
      <c r="AU732" s="44"/>
    </row>
    <row r="733" spans="47:47" ht="12" customHeight="1">
      <c r="AU733" s="44"/>
    </row>
    <row r="734" spans="47:47" ht="12" customHeight="1">
      <c r="AU734" s="44"/>
    </row>
    <row r="735" spans="47:47" ht="12" customHeight="1">
      <c r="AU735" s="44"/>
    </row>
    <row r="736" spans="47:47" ht="12" customHeight="1">
      <c r="AU736" s="44"/>
    </row>
    <row r="737" spans="47:47" ht="12" customHeight="1">
      <c r="AU737" s="44"/>
    </row>
    <row r="738" spans="47:47" ht="12" customHeight="1">
      <c r="AU738" s="44"/>
    </row>
    <row r="739" spans="47:47" ht="12" customHeight="1">
      <c r="AU739" s="44"/>
    </row>
    <row r="740" spans="47:47" ht="12" customHeight="1">
      <c r="AU740" s="44"/>
    </row>
    <row r="741" spans="47:47" ht="12" customHeight="1">
      <c r="AU741" s="44"/>
    </row>
    <row r="742" spans="47:47" ht="12" customHeight="1">
      <c r="AU742" s="44"/>
    </row>
    <row r="743" spans="47:47" ht="12" customHeight="1">
      <c r="AU743" s="44"/>
    </row>
    <row r="744" spans="47:47" ht="12" customHeight="1">
      <c r="AU744" s="44"/>
    </row>
    <row r="745" spans="47:47" ht="12" customHeight="1">
      <c r="AU745" s="44"/>
    </row>
    <row r="746" spans="47:47" ht="12" customHeight="1">
      <c r="AU746" s="44"/>
    </row>
    <row r="747" spans="47:47" ht="12" customHeight="1">
      <c r="AU747" s="44"/>
    </row>
    <row r="748" spans="47:47" ht="12" customHeight="1">
      <c r="AU748" s="44"/>
    </row>
    <row r="749" spans="47:47" ht="12" customHeight="1">
      <c r="AU749" s="44"/>
    </row>
    <row r="750" spans="47:47" ht="12" customHeight="1">
      <c r="AU750" s="44"/>
    </row>
    <row r="751" spans="47:47" ht="12" customHeight="1">
      <c r="AU751" s="44"/>
    </row>
    <row r="752" spans="47:47" ht="12" customHeight="1">
      <c r="AU752" s="44"/>
    </row>
    <row r="753" spans="47:47" ht="12" customHeight="1">
      <c r="AU753" s="44"/>
    </row>
    <row r="754" spans="47:47" ht="12" customHeight="1">
      <c r="AU754" s="44"/>
    </row>
    <row r="755" spans="47:47" ht="12" customHeight="1">
      <c r="AU755" s="44"/>
    </row>
    <row r="756" spans="47:47" ht="12" customHeight="1">
      <c r="AU756" s="44"/>
    </row>
    <row r="757" spans="47:47" ht="12" customHeight="1">
      <c r="AU757" s="44"/>
    </row>
    <row r="758" spans="47:47" ht="12" customHeight="1">
      <c r="AU758" s="44"/>
    </row>
    <row r="759" spans="47:47" ht="12" customHeight="1">
      <c r="AU759" s="44"/>
    </row>
    <row r="760" spans="47:47" ht="12" customHeight="1">
      <c r="AU760" s="44"/>
    </row>
    <row r="761" spans="47:47" ht="12" customHeight="1">
      <c r="AU761" s="44"/>
    </row>
    <row r="762" spans="47:47" ht="12" customHeight="1">
      <c r="AU762" s="44"/>
    </row>
    <row r="763" spans="47:47" ht="12" customHeight="1">
      <c r="AU763" s="44"/>
    </row>
    <row r="764" spans="47:47" ht="12" customHeight="1">
      <c r="AU764" s="44"/>
    </row>
    <row r="765" spans="47:47" ht="12" customHeight="1">
      <c r="AU765" s="44"/>
    </row>
    <row r="766" spans="47:47" ht="12" customHeight="1">
      <c r="AU766" s="44"/>
    </row>
    <row r="767" spans="47:47" ht="12" customHeight="1">
      <c r="AU767" s="44"/>
    </row>
    <row r="768" spans="47:47" ht="12" customHeight="1">
      <c r="AU768" s="44"/>
    </row>
    <row r="769" spans="47:47" ht="12" customHeight="1">
      <c r="AU769" s="44"/>
    </row>
    <row r="770" spans="47:47" ht="12" customHeight="1">
      <c r="AU770" s="44"/>
    </row>
    <row r="771" spans="47:47" ht="12" customHeight="1">
      <c r="AU771" s="44"/>
    </row>
    <row r="772" spans="47:47" ht="12" customHeight="1">
      <c r="AU772" s="44"/>
    </row>
    <row r="773" spans="47:47" ht="12" customHeight="1">
      <c r="AU773" s="44"/>
    </row>
    <row r="774" spans="47:47" ht="12" customHeight="1">
      <c r="AU774" s="44"/>
    </row>
    <row r="775" spans="47:47" ht="12" customHeight="1">
      <c r="AU775" s="44"/>
    </row>
    <row r="776" spans="47:47" ht="12" customHeight="1">
      <c r="AU776" s="44"/>
    </row>
    <row r="777" spans="47:47" ht="12" customHeight="1">
      <c r="AU777" s="44"/>
    </row>
    <row r="778" spans="47:47" ht="12" customHeight="1">
      <c r="AU778" s="44"/>
    </row>
    <row r="779" spans="47:47" ht="12" customHeight="1">
      <c r="AU779" s="44"/>
    </row>
    <row r="780" spans="47:47" ht="12" customHeight="1">
      <c r="AU780" s="44"/>
    </row>
    <row r="781" spans="47:47" ht="12" customHeight="1">
      <c r="AU781" s="44"/>
    </row>
    <row r="782" spans="47:47" ht="12" customHeight="1">
      <c r="AU782" s="44"/>
    </row>
    <row r="783" spans="47:47" ht="12" customHeight="1">
      <c r="AU783" s="44"/>
    </row>
    <row r="784" spans="47:47" ht="12" customHeight="1">
      <c r="AU784" s="44"/>
    </row>
    <row r="785" spans="47:47" ht="12" customHeight="1">
      <c r="AU785" s="44"/>
    </row>
    <row r="786" spans="47:47" ht="12" customHeight="1">
      <c r="AU786" s="44"/>
    </row>
    <row r="787" spans="47:47" ht="12" customHeight="1">
      <c r="AU787" s="44"/>
    </row>
    <row r="788" spans="47:47" ht="12" customHeight="1">
      <c r="AU788" s="44"/>
    </row>
    <row r="789" spans="47:47" ht="12" customHeight="1">
      <c r="AU789" s="44"/>
    </row>
    <row r="790" spans="47:47" ht="12" customHeight="1">
      <c r="AU790" s="44"/>
    </row>
    <row r="791" spans="47:47" ht="12" customHeight="1">
      <c r="AU791" s="44"/>
    </row>
    <row r="792" spans="47:47" ht="12" customHeight="1">
      <c r="AU792" s="44"/>
    </row>
    <row r="793" spans="47:47" ht="12" customHeight="1">
      <c r="AU793" s="44"/>
    </row>
    <row r="794" spans="47:47" ht="12" customHeight="1">
      <c r="AU794" s="44"/>
    </row>
    <row r="795" spans="47:47" ht="12" customHeight="1">
      <c r="AU795" s="44"/>
    </row>
    <row r="796" spans="47:47" ht="12" customHeight="1">
      <c r="AU796" s="44"/>
    </row>
    <row r="797" spans="47:47" ht="12" customHeight="1">
      <c r="AU797" s="44"/>
    </row>
    <row r="798" spans="47:47" ht="12" customHeight="1">
      <c r="AU798" s="44"/>
    </row>
    <row r="799" spans="47:47" ht="12" customHeight="1">
      <c r="AU799" s="44"/>
    </row>
    <row r="800" spans="47:47" ht="12" customHeight="1">
      <c r="AU800" s="44"/>
    </row>
    <row r="801" spans="47:47" ht="12" customHeight="1">
      <c r="AU801" s="44"/>
    </row>
    <row r="802" spans="47:47" ht="12" customHeight="1">
      <c r="AU802" s="44"/>
    </row>
    <row r="803" spans="47:47" ht="12" customHeight="1">
      <c r="AU803" s="44"/>
    </row>
    <row r="804" spans="47:47" ht="12" customHeight="1">
      <c r="AU804" s="44"/>
    </row>
    <row r="805" spans="47:47" ht="12" customHeight="1">
      <c r="AU805" s="44"/>
    </row>
    <row r="806" spans="47:47" ht="12" customHeight="1">
      <c r="AU806" s="44"/>
    </row>
    <row r="807" spans="47:47" ht="12" customHeight="1">
      <c r="AU807" s="44"/>
    </row>
    <row r="808" spans="47:47" ht="12" customHeight="1">
      <c r="AU808" s="44"/>
    </row>
    <row r="809" spans="47:47" ht="12" customHeight="1">
      <c r="AU809" s="44"/>
    </row>
    <row r="810" spans="47:47" ht="12" customHeight="1">
      <c r="AU810" s="44"/>
    </row>
    <row r="811" spans="47:47" ht="12" customHeight="1">
      <c r="AU811" s="44"/>
    </row>
    <row r="812" spans="47:47" ht="12" customHeight="1">
      <c r="AU812" s="44"/>
    </row>
    <row r="813" spans="47:47" ht="12" customHeight="1">
      <c r="AU813" s="44"/>
    </row>
    <row r="814" spans="47:47" ht="12" customHeight="1">
      <c r="AU814" s="44"/>
    </row>
    <row r="815" spans="47:47" ht="12" customHeight="1">
      <c r="AU815" s="44"/>
    </row>
    <row r="816" spans="47:47" ht="12" customHeight="1">
      <c r="AU816" s="44"/>
    </row>
    <row r="817" spans="47:47" ht="12" customHeight="1">
      <c r="AU817" s="44"/>
    </row>
    <row r="818" spans="47:47" ht="12" customHeight="1">
      <c r="AU818" s="44"/>
    </row>
    <row r="819" spans="47:47" ht="12" customHeight="1">
      <c r="AU819" s="44"/>
    </row>
    <row r="820" spans="47:47" ht="12" customHeight="1">
      <c r="AU820" s="44"/>
    </row>
    <row r="821" spans="47:47" ht="12" customHeight="1">
      <c r="AU821" s="44"/>
    </row>
    <row r="822" spans="47:47" ht="12" customHeight="1">
      <c r="AU822" s="44"/>
    </row>
    <row r="823" spans="47:47" ht="12" customHeight="1">
      <c r="AU823" s="44"/>
    </row>
    <row r="824" spans="47:47" ht="12" customHeight="1">
      <c r="AU824" s="44"/>
    </row>
    <row r="825" spans="47:47" ht="12" customHeight="1">
      <c r="AU825" s="44"/>
    </row>
    <row r="826" spans="47:47" ht="12" customHeight="1">
      <c r="AU826" s="44"/>
    </row>
    <row r="827" spans="47:47" ht="12" customHeight="1">
      <c r="AU827" s="44"/>
    </row>
    <row r="828" spans="47:47" ht="12" customHeight="1">
      <c r="AU828" s="44"/>
    </row>
    <row r="829" spans="47:47" ht="12" customHeight="1">
      <c r="AU829" s="44"/>
    </row>
    <row r="830" spans="47:47" ht="12" customHeight="1">
      <c r="AU830" s="44"/>
    </row>
    <row r="831" spans="47:47" ht="12" customHeight="1">
      <c r="AU831" s="44"/>
    </row>
    <row r="832" spans="47:47" ht="12" customHeight="1">
      <c r="AU832" s="44"/>
    </row>
    <row r="833" spans="47:47" ht="12" customHeight="1">
      <c r="AU833" s="44"/>
    </row>
    <row r="834" spans="47:47" ht="12" customHeight="1">
      <c r="AU834" s="44"/>
    </row>
    <row r="835" spans="47:47" ht="12" customHeight="1">
      <c r="AU835" s="44"/>
    </row>
    <row r="836" spans="47:47" ht="12" customHeight="1">
      <c r="AU836" s="44"/>
    </row>
    <row r="837" spans="47:47" ht="12" customHeight="1">
      <c r="AU837" s="44"/>
    </row>
    <row r="838" spans="47:47" ht="12" customHeight="1">
      <c r="AU838" s="44"/>
    </row>
    <row r="839" spans="47:47" ht="12" customHeight="1">
      <c r="AU839" s="44"/>
    </row>
    <row r="840" spans="47:47" ht="12" customHeight="1">
      <c r="AU840" s="44"/>
    </row>
    <row r="841" spans="47:47" ht="12" customHeight="1">
      <c r="AU841" s="44"/>
    </row>
    <row r="842" spans="47:47" ht="12" customHeight="1">
      <c r="AU842" s="44"/>
    </row>
    <row r="843" spans="47:47" ht="12" customHeight="1">
      <c r="AU843" s="44"/>
    </row>
    <row r="844" spans="47:47" ht="12" customHeight="1">
      <c r="AU844" s="44"/>
    </row>
    <row r="845" spans="47:47" ht="12" customHeight="1">
      <c r="AU845" s="44"/>
    </row>
    <row r="846" spans="47:47" ht="12" customHeight="1">
      <c r="AU846" s="44"/>
    </row>
    <row r="847" spans="47:47" ht="12" customHeight="1">
      <c r="AU847" s="44"/>
    </row>
    <row r="848" spans="47:47" ht="12" customHeight="1">
      <c r="AU848" s="44"/>
    </row>
    <row r="849" spans="47:47" ht="12" customHeight="1">
      <c r="AU849" s="44"/>
    </row>
    <row r="850" spans="47:47" ht="12" customHeight="1">
      <c r="AU850" s="44"/>
    </row>
    <row r="851" spans="47:47" ht="12" customHeight="1">
      <c r="AU851" s="44"/>
    </row>
    <row r="852" spans="47:47" ht="12" customHeight="1">
      <c r="AU852" s="44"/>
    </row>
    <row r="853" spans="47:47" ht="12" customHeight="1">
      <c r="AU853" s="44"/>
    </row>
    <row r="854" spans="47:47" ht="12" customHeight="1">
      <c r="AU854" s="44"/>
    </row>
    <row r="855" spans="47:47" ht="12" customHeight="1">
      <c r="AU855" s="44"/>
    </row>
    <row r="856" spans="47:47" ht="12" customHeight="1">
      <c r="AU856" s="44"/>
    </row>
    <row r="857" spans="47:47" ht="12" customHeight="1">
      <c r="AU857" s="44"/>
    </row>
    <row r="858" spans="47:47" ht="12" customHeight="1">
      <c r="AU858" s="44"/>
    </row>
    <row r="859" spans="47:47" ht="12" customHeight="1">
      <c r="AU859" s="44"/>
    </row>
    <row r="860" spans="47:47" ht="12" customHeight="1">
      <c r="AU860" s="44"/>
    </row>
    <row r="861" spans="47:47" ht="12" customHeight="1">
      <c r="AU861" s="44"/>
    </row>
    <row r="862" spans="47:47" ht="12" customHeight="1">
      <c r="AU862" s="44"/>
    </row>
    <row r="863" spans="47:47" ht="12" customHeight="1">
      <c r="AU863" s="44"/>
    </row>
    <row r="864" spans="47:47" ht="12" customHeight="1">
      <c r="AU864" s="44"/>
    </row>
    <row r="865" spans="47:47" ht="12" customHeight="1">
      <c r="AU865" s="44"/>
    </row>
    <row r="866" spans="47:47" ht="12" customHeight="1">
      <c r="AU866" s="44"/>
    </row>
    <row r="867" spans="47:47" ht="12" customHeight="1">
      <c r="AU867" s="44"/>
    </row>
    <row r="868" spans="47:47" ht="12" customHeight="1">
      <c r="AU868" s="44"/>
    </row>
    <row r="869" spans="47:47" ht="12" customHeight="1">
      <c r="AU869" s="44"/>
    </row>
    <row r="870" spans="47:47" ht="12" customHeight="1">
      <c r="AU870" s="44"/>
    </row>
    <row r="871" spans="47:47" ht="12" customHeight="1">
      <c r="AU871" s="44"/>
    </row>
    <row r="872" spans="47:47" ht="12" customHeight="1">
      <c r="AU872" s="44"/>
    </row>
    <row r="873" spans="47:47" ht="12" customHeight="1">
      <c r="AU873" s="44"/>
    </row>
    <row r="874" spans="47:47" ht="12" customHeight="1">
      <c r="AU874" s="44"/>
    </row>
    <row r="875" spans="47:47" ht="12" customHeight="1">
      <c r="AU875" s="44"/>
    </row>
    <row r="876" spans="47:47" ht="12" customHeight="1">
      <c r="AU876" s="44"/>
    </row>
    <row r="877" spans="47:47" ht="12" customHeight="1">
      <c r="AU877" s="44"/>
    </row>
    <row r="878" spans="47:47" ht="12" customHeight="1">
      <c r="AU878" s="44"/>
    </row>
    <row r="879" spans="47:47" ht="12" customHeight="1">
      <c r="AU879" s="44"/>
    </row>
    <row r="880" spans="47:47" ht="12" customHeight="1">
      <c r="AU880" s="44"/>
    </row>
    <row r="881" spans="47:47" ht="12" customHeight="1">
      <c r="AU881" s="44"/>
    </row>
    <row r="882" spans="47:47" ht="12" customHeight="1">
      <c r="AU882" s="44"/>
    </row>
    <row r="883" spans="47:47" ht="12" customHeight="1">
      <c r="AU883" s="44"/>
    </row>
    <row r="884" spans="47:47" ht="12" customHeight="1">
      <c r="AU884" s="44"/>
    </row>
    <row r="885" spans="47:47" ht="12" customHeight="1">
      <c r="AU885" s="44"/>
    </row>
    <row r="886" spans="47:47" ht="12" customHeight="1">
      <c r="AU886" s="44"/>
    </row>
    <row r="887" spans="47:47" ht="12" customHeight="1">
      <c r="AU887" s="44"/>
    </row>
    <row r="888" spans="47:47" ht="12" customHeight="1">
      <c r="AU888" s="44"/>
    </row>
    <row r="889" spans="47:47" ht="12" customHeight="1">
      <c r="AU889" s="44"/>
    </row>
    <row r="890" spans="47:47" ht="12" customHeight="1">
      <c r="AU890" s="44"/>
    </row>
    <row r="891" spans="47:47" ht="12" customHeight="1">
      <c r="AU891" s="44"/>
    </row>
    <row r="892" spans="47:47" ht="12" customHeight="1">
      <c r="AU892" s="44"/>
    </row>
    <row r="893" spans="47:47" ht="12" customHeight="1">
      <c r="AU893" s="44"/>
    </row>
    <row r="894" spans="47:47" ht="12" customHeight="1">
      <c r="AU894" s="44"/>
    </row>
    <row r="895" spans="47:47" ht="12" customHeight="1">
      <c r="AU895" s="44"/>
    </row>
    <row r="896" spans="47:47" ht="12" customHeight="1">
      <c r="AU896" s="44"/>
    </row>
    <row r="897" spans="47:47" ht="12" customHeight="1">
      <c r="AU897" s="44"/>
    </row>
    <row r="898" spans="47:47" ht="12" customHeight="1">
      <c r="AU898" s="44"/>
    </row>
    <row r="899" spans="47:47" ht="12" customHeight="1">
      <c r="AU899" s="44"/>
    </row>
    <row r="900" spans="47:47" ht="12" customHeight="1">
      <c r="AU900" s="44"/>
    </row>
    <row r="901" spans="47:47" ht="12" customHeight="1">
      <c r="AU901" s="44"/>
    </row>
    <row r="902" spans="47:47" ht="12" customHeight="1">
      <c r="AU902" s="44"/>
    </row>
    <row r="903" spans="47:47" ht="12" customHeight="1">
      <c r="AU903" s="44"/>
    </row>
    <row r="904" spans="47:47" ht="12" customHeight="1">
      <c r="AU904" s="44"/>
    </row>
    <row r="905" spans="47:47" ht="12" customHeight="1">
      <c r="AU905" s="44"/>
    </row>
    <row r="906" spans="47:47" ht="12" customHeight="1">
      <c r="AU906" s="44"/>
    </row>
    <row r="907" spans="47:47" ht="12" customHeight="1">
      <c r="AU907" s="44"/>
    </row>
    <row r="908" spans="47:47" ht="12" customHeight="1">
      <c r="AU908" s="44"/>
    </row>
    <row r="909" spans="47:47" ht="12" customHeight="1">
      <c r="AU909" s="44"/>
    </row>
    <row r="910" spans="47:47" ht="12" customHeight="1">
      <c r="AU910" s="44"/>
    </row>
    <row r="911" spans="47:47" ht="12" customHeight="1">
      <c r="AU911" s="44"/>
    </row>
    <row r="912" spans="47:47" ht="12" customHeight="1">
      <c r="AU912" s="44"/>
    </row>
    <row r="913" spans="47:47" ht="12" customHeight="1">
      <c r="AU913" s="44"/>
    </row>
    <row r="914" spans="47:47" ht="12" customHeight="1">
      <c r="AU914" s="44"/>
    </row>
    <row r="915" spans="47:47" ht="12" customHeight="1">
      <c r="AU915" s="44"/>
    </row>
    <row r="916" spans="47:47" ht="12" customHeight="1">
      <c r="AU916" s="44"/>
    </row>
    <row r="917" spans="47:47" ht="12" customHeight="1">
      <c r="AU917" s="44"/>
    </row>
    <row r="918" spans="47:47" ht="12" customHeight="1">
      <c r="AU918" s="44"/>
    </row>
    <row r="919" spans="47:47" ht="12" customHeight="1">
      <c r="AU919" s="44"/>
    </row>
    <row r="920" spans="47:47" ht="12" customHeight="1">
      <c r="AU920" s="44"/>
    </row>
    <row r="921" spans="47:47" ht="12" customHeight="1">
      <c r="AU921" s="44"/>
    </row>
    <row r="922" spans="47:47" ht="12" customHeight="1">
      <c r="AU922" s="44"/>
    </row>
    <row r="923" spans="47:47" ht="12" customHeight="1">
      <c r="AU923" s="44"/>
    </row>
    <row r="924" spans="47:47" ht="12" customHeight="1">
      <c r="AU924" s="44"/>
    </row>
    <row r="925" spans="47:47" ht="12" customHeight="1">
      <c r="AU925" s="44"/>
    </row>
    <row r="926" spans="47:47" ht="12" customHeight="1">
      <c r="AU926" s="44"/>
    </row>
    <row r="927" spans="47:47" ht="12" customHeight="1">
      <c r="AU927" s="44"/>
    </row>
    <row r="928" spans="47:47" ht="12" customHeight="1">
      <c r="AU928" s="44"/>
    </row>
    <row r="929" spans="47:47" ht="12" customHeight="1">
      <c r="AU929" s="44"/>
    </row>
    <row r="930" spans="47:47" ht="12" customHeight="1">
      <c r="AU930" s="44"/>
    </row>
    <row r="931" spans="47:47" ht="12" customHeight="1">
      <c r="AU931" s="44"/>
    </row>
    <row r="932" spans="47:47" ht="12" customHeight="1">
      <c r="AU932" s="44"/>
    </row>
    <row r="933" spans="47:47" ht="12" customHeight="1">
      <c r="AU933" s="44"/>
    </row>
    <row r="934" spans="47:47" ht="12" customHeight="1">
      <c r="AU934" s="44"/>
    </row>
    <row r="935" spans="47:47" ht="12" customHeight="1">
      <c r="AU935" s="44"/>
    </row>
    <row r="936" spans="47:47" ht="12" customHeight="1">
      <c r="AU936" s="44"/>
    </row>
    <row r="937" spans="47:47" ht="12" customHeight="1">
      <c r="AU937" s="44"/>
    </row>
    <row r="938" spans="47:47" ht="12" customHeight="1">
      <c r="AU938" s="44"/>
    </row>
    <row r="939" spans="47:47" ht="12" customHeight="1">
      <c r="AU939" s="44"/>
    </row>
    <row r="940" spans="47:47" ht="12" customHeight="1">
      <c r="AU940" s="44"/>
    </row>
    <row r="941" spans="47:47" ht="12" customHeight="1">
      <c r="AU941" s="44"/>
    </row>
    <row r="942" spans="47:47" ht="12" customHeight="1">
      <c r="AU942" s="44"/>
    </row>
    <row r="943" spans="47:47" ht="12" customHeight="1">
      <c r="AU943" s="44"/>
    </row>
    <row r="944" spans="47:47" ht="12" customHeight="1">
      <c r="AU944" s="44"/>
    </row>
    <row r="945" spans="47:47" ht="12" customHeight="1">
      <c r="AU945" s="44"/>
    </row>
    <row r="946" spans="47:47" ht="12" customHeight="1">
      <c r="AU946" s="44"/>
    </row>
    <row r="947" spans="47:47" ht="12" customHeight="1">
      <c r="AU947" s="44"/>
    </row>
    <row r="948" spans="47:47" ht="12" customHeight="1">
      <c r="AU948" s="44"/>
    </row>
    <row r="949" spans="47:47" ht="12" customHeight="1">
      <c r="AU949" s="44"/>
    </row>
    <row r="950" spans="47:47" ht="12" customHeight="1">
      <c r="AU950" s="44"/>
    </row>
    <row r="951" spans="47:47" ht="12" customHeight="1">
      <c r="AU951" s="44"/>
    </row>
    <row r="952" spans="47:47" ht="12" customHeight="1">
      <c r="AU952" s="44"/>
    </row>
    <row r="953" spans="47:47" ht="12" customHeight="1">
      <c r="AU953" s="44"/>
    </row>
    <row r="954" spans="47:47" ht="12" customHeight="1">
      <c r="AU954" s="44"/>
    </row>
    <row r="955" spans="47:47" ht="12" customHeight="1">
      <c r="AU955" s="44"/>
    </row>
    <row r="956" spans="47:47" ht="12" customHeight="1">
      <c r="AU956" s="44"/>
    </row>
    <row r="957" spans="47:47" ht="12" customHeight="1">
      <c r="AU957" s="44"/>
    </row>
    <row r="958" spans="47:47" ht="12" customHeight="1">
      <c r="AU958" s="44"/>
    </row>
    <row r="959" spans="47:47" ht="12" customHeight="1">
      <c r="AU959" s="44"/>
    </row>
    <row r="960" spans="47:47" ht="12" customHeight="1">
      <c r="AU960" s="44"/>
    </row>
    <row r="961" spans="47:47" ht="12" customHeight="1">
      <c r="AU961" s="44"/>
    </row>
    <row r="962" spans="47:47" ht="12" customHeight="1">
      <c r="AU962" s="44"/>
    </row>
    <row r="963" spans="47:47" ht="12" customHeight="1">
      <c r="AU963" s="44"/>
    </row>
    <row r="964" spans="47:47" ht="12" customHeight="1">
      <c r="AU964" s="44"/>
    </row>
    <row r="965" spans="47:47" ht="12" customHeight="1">
      <c r="AU965" s="44"/>
    </row>
    <row r="966" spans="47:47" ht="12" customHeight="1">
      <c r="AU966" s="44"/>
    </row>
    <row r="967" spans="47:47" ht="12" customHeight="1">
      <c r="AU967" s="44"/>
    </row>
    <row r="968" spans="47:47" ht="12" customHeight="1">
      <c r="AU968" s="44"/>
    </row>
    <row r="969" spans="47:47" ht="12" customHeight="1">
      <c r="AU969" s="44"/>
    </row>
    <row r="970" spans="47:47" ht="12" customHeight="1">
      <c r="AU970" s="44"/>
    </row>
    <row r="971" spans="47:47" ht="12" customHeight="1">
      <c r="AU971" s="44"/>
    </row>
    <row r="972" spans="47:47" ht="12" customHeight="1">
      <c r="AU972" s="44"/>
    </row>
    <row r="973" spans="47:47" ht="12" customHeight="1">
      <c r="AU973" s="44"/>
    </row>
    <row r="974" spans="47:47" ht="12" customHeight="1">
      <c r="AU974" s="44"/>
    </row>
    <row r="975" spans="47:47" ht="12" customHeight="1">
      <c r="AU975" s="44"/>
    </row>
    <row r="976" spans="47:47" ht="12" customHeight="1">
      <c r="AU976" s="44"/>
    </row>
    <row r="977" spans="47:47" ht="12" customHeight="1">
      <c r="AU977" s="44"/>
    </row>
    <row r="978" spans="47:47" ht="12" customHeight="1">
      <c r="AU978" s="44"/>
    </row>
    <row r="979" spans="47:47" ht="12" customHeight="1">
      <c r="AU979" s="44"/>
    </row>
    <row r="980" spans="47:47" ht="12" customHeight="1">
      <c r="AU980" s="44"/>
    </row>
    <row r="981" spans="47:47" ht="12" customHeight="1">
      <c r="AU981" s="44"/>
    </row>
    <row r="982" spans="47:47" ht="12" customHeight="1">
      <c r="AU982" s="44"/>
    </row>
    <row r="983" spans="47:47" ht="12" customHeight="1">
      <c r="AU983" s="44"/>
    </row>
    <row r="984" spans="47:47" ht="12" customHeight="1">
      <c r="AU984" s="44"/>
    </row>
    <row r="985" spans="47:47" ht="12" customHeight="1">
      <c r="AU985" s="44"/>
    </row>
    <row r="986" spans="47:47" ht="12" customHeight="1">
      <c r="AU986" s="44"/>
    </row>
    <row r="987" spans="47:47" ht="12" customHeight="1">
      <c r="AU987" s="44"/>
    </row>
    <row r="988" spans="47:47" ht="12" customHeight="1">
      <c r="AU988" s="44"/>
    </row>
    <row r="989" spans="47:47" ht="12" customHeight="1">
      <c r="AU989" s="44"/>
    </row>
    <row r="990" spans="47:47" ht="12" customHeight="1">
      <c r="AU990" s="44"/>
    </row>
    <row r="991" spans="47:47" ht="12" customHeight="1">
      <c r="AU991" s="44"/>
    </row>
    <row r="992" spans="47:47" ht="12" customHeight="1">
      <c r="AU992" s="44"/>
    </row>
    <row r="993" spans="47:47" ht="12" customHeight="1">
      <c r="AU993" s="44"/>
    </row>
    <row r="994" spans="47:47" ht="12" customHeight="1">
      <c r="AU994" s="44"/>
    </row>
    <row r="995" spans="47:47" ht="12" customHeight="1">
      <c r="AU995" s="44"/>
    </row>
    <row r="996" spans="47:47" ht="12" customHeight="1">
      <c r="AU996" s="44"/>
    </row>
    <row r="997" spans="47:47" ht="12" customHeight="1">
      <c r="AU997" s="44"/>
    </row>
    <row r="998" spans="47:47" ht="12" customHeight="1">
      <c r="AU998" s="44"/>
    </row>
    <row r="999" spans="47:47" ht="12" customHeight="1">
      <c r="AU999" s="44"/>
    </row>
    <row r="1000" spans="47:47" ht="12" customHeight="1">
      <c r="AU1000" s="44"/>
    </row>
    <row r="1001" spans="47:47" ht="12" customHeight="1">
      <c r="AU1001" s="44"/>
    </row>
    <row r="1002" spans="47:47" ht="12" customHeight="1">
      <c r="AU1002" s="44"/>
    </row>
    <row r="1003" spans="47:47" ht="12" customHeight="1">
      <c r="AU1003" s="44"/>
    </row>
    <row r="1004" spans="47:47" ht="12" customHeight="1">
      <c r="AU1004" s="44"/>
    </row>
    <row r="1005" spans="47:47" ht="12" customHeight="1">
      <c r="AU1005" s="44"/>
    </row>
    <row r="1006" spans="47:47" ht="12" customHeight="1">
      <c r="AU1006" s="44"/>
    </row>
    <row r="1007" spans="47:47" ht="12" customHeight="1">
      <c r="AU1007" s="44"/>
    </row>
    <row r="1008" spans="47:47" ht="12" customHeight="1">
      <c r="AU1008" s="44"/>
    </row>
    <row r="1009" spans="47:47" ht="12" customHeight="1">
      <c r="AU1009" s="44"/>
    </row>
    <row r="1010" spans="47:47" ht="12" customHeight="1">
      <c r="AU1010" s="44"/>
    </row>
    <row r="1011" spans="47:47" ht="12" customHeight="1">
      <c r="AU1011" s="44"/>
    </row>
    <row r="1012" spans="47:47" ht="12" customHeight="1">
      <c r="AU1012" s="44"/>
    </row>
    <row r="1013" spans="47:47" ht="12" customHeight="1">
      <c r="AU1013" s="44"/>
    </row>
    <row r="1014" spans="47:47" ht="12" customHeight="1">
      <c r="AU1014" s="44"/>
    </row>
    <row r="1015" spans="47:47" ht="12" customHeight="1">
      <c r="AU1015" s="44"/>
    </row>
    <row r="1016" spans="47:47" ht="12" customHeight="1">
      <c r="AU1016" s="44"/>
    </row>
    <row r="1017" spans="47:47" ht="12" customHeight="1">
      <c r="AU1017" s="44"/>
    </row>
    <row r="1018" spans="47:47" ht="12" customHeight="1">
      <c r="AU1018" s="44"/>
    </row>
    <row r="1019" spans="47:47" ht="12" customHeight="1">
      <c r="AU1019" s="44"/>
    </row>
    <row r="1020" spans="47:47" ht="12" customHeight="1">
      <c r="AU1020" s="44"/>
    </row>
    <row r="1021" spans="47:47" ht="12" customHeight="1">
      <c r="AU1021" s="44"/>
    </row>
    <row r="1022" spans="47:47" ht="12" customHeight="1">
      <c r="AU1022" s="44"/>
    </row>
    <row r="1023" spans="47:47" ht="12" customHeight="1">
      <c r="AU1023" s="44"/>
    </row>
    <row r="1024" spans="47:47" ht="12" customHeight="1">
      <c r="AU1024" s="44"/>
    </row>
    <row r="1025" spans="47:47" ht="12" customHeight="1">
      <c r="AU1025" s="44"/>
    </row>
    <row r="1026" spans="47:47" ht="12" customHeight="1">
      <c r="AU1026" s="44"/>
    </row>
    <row r="1027" spans="47:47" ht="12" customHeight="1">
      <c r="AU1027" s="44"/>
    </row>
    <row r="1028" spans="47:47" ht="12" customHeight="1">
      <c r="AU1028" s="44"/>
    </row>
    <row r="1029" spans="47:47" ht="12" customHeight="1">
      <c r="AU1029" s="44"/>
    </row>
    <row r="1030" spans="47:47" ht="12" customHeight="1">
      <c r="AU1030" s="44"/>
    </row>
    <row r="1031" spans="47:47" ht="12" customHeight="1">
      <c r="AU1031" s="44"/>
    </row>
    <row r="1032" spans="47:47" ht="12" customHeight="1">
      <c r="AU1032" s="44"/>
    </row>
    <row r="1033" spans="47:47" ht="12" customHeight="1">
      <c r="AU1033" s="44"/>
    </row>
    <row r="1034" spans="47:47" ht="12" customHeight="1">
      <c r="AU1034" s="44"/>
    </row>
    <row r="1035" spans="47:47" ht="12" customHeight="1">
      <c r="AU1035" s="44"/>
    </row>
    <row r="1036" spans="47:47" ht="12" customHeight="1">
      <c r="AU1036" s="44"/>
    </row>
    <row r="1037" spans="47:47" ht="12" customHeight="1">
      <c r="AU1037" s="44"/>
    </row>
    <row r="1038" spans="47:47" ht="12" customHeight="1">
      <c r="AU1038" s="44"/>
    </row>
    <row r="1039" spans="47:47" ht="12" customHeight="1">
      <c r="AU1039" s="44"/>
    </row>
    <row r="1040" spans="47:47" ht="12" customHeight="1">
      <c r="AU1040" s="44"/>
    </row>
    <row r="1041" spans="47:47" ht="12" customHeight="1">
      <c r="AU1041" s="44"/>
    </row>
    <row r="1042" spans="47:47" ht="12" customHeight="1">
      <c r="AU1042" s="44"/>
    </row>
    <row r="1043" spans="47:47" ht="12" customHeight="1">
      <c r="AU1043" s="44"/>
    </row>
    <row r="1044" spans="47:47" ht="12" customHeight="1">
      <c r="AU1044" s="44"/>
    </row>
    <row r="1045" spans="47:47" ht="12" customHeight="1">
      <c r="AU1045" s="44"/>
    </row>
    <row r="1046" spans="47:47" ht="12" customHeight="1">
      <c r="AU1046" s="44"/>
    </row>
    <row r="1047" spans="47:47" ht="12" customHeight="1">
      <c r="AU1047" s="44"/>
    </row>
    <row r="1048" spans="47:47" ht="12" customHeight="1">
      <c r="AU1048" s="44"/>
    </row>
    <row r="1049" spans="47:47" ht="12" customHeight="1">
      <c r="AU1049" s="44"/>
    </row>
    <row r="1050" spans="47:47" ht="12" customHeight="1">
      <c r="AU1050" s="44"/>
    </row>
    <row r="1051" spans="47:47" ht="12" customHeight="1">
      <c r="AU1051" s="44"/>
    </row>
    <row r="1052" spans="47:47" ht="12" customHeight="1">
      <c r="AU1052" s="44"/>
    </row>
    <row r="1053" spans="47:47" ht="12" customHeight="1">
      <c r="AU1053" s="44"/>
    </row>
    <row r="1054" spans="47:47" ht="12" customHeight="1">
      <c r="AU1054" s="44"/>
    </row>
    <row r="1055" spans="47:47" ht="12" customHeight="1">
      <c r="AU1055" s="44"/>
    </row>
    <row r="1056" spans="47:47" ht="12" customHeight="1">
      <c r="AU1056" s="44"/>
    </row>
    <row r="1057" spans="47:47" ht="12" customHeight="1">
      <c r="AU1057" s="44"/>
    </row>
    <row r="1058" spans="47:47" ht="12" customHeight="1">
      <c r="AU1058" s="44"/>
    </row>
    <row r="1059" spans="47:47" ht="12" customHeight="1">
      <c r="AU1059" s="44"/>
    </row>
    <row r="1060" spans="47:47" ht="12" customHeight="1">
      <c r="AU1060" s="44"/>
    </row>
    <row r="1061" spans="47:47" ht="12" customHeight="1">
      <c r="AU1061" s="44"/>
    </row>
    <row r="1062" spans="47:47" ht="12" customHeight="1">
      <c r="AU1062" s="44"/>
    </row>
    <row r="1063" spans="47:47" ht="12" customHeight="1">
      <c r="AU1063" s="44"/>
    </row>
    <row r="1064" spans="47:47" ht="12" customHeight="1">
      <c r="AU1064" s="44"/>
    </row>
    <row r="1065" spans="47:47" ht="12" customHeight="1">
      <c r="AU1065" s="44"/>
    </row>
    <row r="1066" spans="47:47" ht="12" customHeight="1">
      <c r="AU1066" s="44"/>
    </row>
    <row r="1067" spans="47:47" ht="12" customHeight="1">
      <c r="AU1067" s="44"/>
    </row>
    <row r="1068" spans="47:47" ht="12" customHeight="1">
      <c r="AU1068" s="44"/>
    </row>
    <row r="1069" spans="47:47" ht="12" customHeight="1">
      <c r="AU1069" s="44"/>
    </row>
    <row r="1070" spans="47:47" ht="12" customHeight="1">
      <c r="AU1070" s="44"/>
    </row>
    <row r="1071" spans="47:47" ht="12" customHeight="1">
      <c r="AU1071" s="44"/>
    </row>
    <row r="1072" spans="47:47" ht="12" customHeight="1">
      <c r="AU1072" s="44"/>
    </row>
    <row r="1073" spans="47:47" ht="12" customHeight="1">
      <c r="AU1073" s="44"/>
    </row>
    <row r="1074" spans="47:47" ht="12" customHeight="1">
      <c r="AU1074" s="44"/>
    </row>
    <row r="1075" spans="47:47" ht="12" customHeight="1">
      <c r="AU1075" s="44"/>
    </row>
    <row r="1076" spans="47:47" ht="12" customHeight="1">
      <c r="AU1076" s="44"/>
    </row>
    <row r="1077" spans="47:47" ht="12" customHeight="1">
      <c r="AU1077" s="44"/>
    </row>
    <row r="1078" spans="47:47" ht="12" customHeight="1">
      <c r="AU1078" s="44"/>
    </row>
    <row r="1079" spans="47:47" ht="12" customHeight="1">
      <c r="AU1079" s="44"/>
    </row>
    <row r="1080" spans="47:47" ht="12" customHeight="1">
      <c r="AU1080" s="44"/>
    </row>
    <row r="1081" spans="47:47" ht="12" customHeight="1">
      <c r="AU1081" s="44"/>
    </row>
    <row r="1082" spans="47:47" ht="12" customHeight="1">
      <c r="AU1082" s="44"/>
    </row>
    <row r="1083" spans="47:47" ht="12" customHeight="1">
      <c r="AU1083" s="44"/>
    </row>
    <row r="1084" spans="47:47" ht="12" customHeight="1">
      <c r="AU1084" s="44"/>
    </row>
    <row r="1085" spans="47:47" ht="12" customHeight="1">
      <c r="AU1085" s="44"/>
    </row>
    <row r="1086" spans="47:47" ht="12" customHeight="1">
      <c r="AU1086" s="44"/>
    </row>
    <row r="1087" spans="47:47" ht="12" customHeight="1">
      <c r="AU1087" s="44"/>
    </row>
    <row r="1088" spans="47:47" ht="12" customHeight="1">
      <c r="AU1088" s="44"/>
    </row>
    <row r="1089" spans="47:47" ht="12" customHeight="1">
      <c r="AU1089" s="44"/>
    </row>
    <row r="1090" spans="47:47" ht="12" customHeight="1">
      <c r="AU1090" s="44"/>
    </row>
    <row r="1091" spans="47:47" ht="12" customHeight="1">
      <c r="AU1091" s="44"/>
    </row>
    <row r="1092" spans="47:47" ht="12" customHeight="1">
      <c r="AU1092" s="44"/>
    </row>
    <row r="1093" spans="47:47" ht="12" customHeight="1">
      <c r="AU1093" s="44"/>
    </row>
    <row r="1094" spans="47:47" ht="12" customHeight="1">
      <c r="AU1094" s="44"/>
    </row>
    <row r="1095" spans="47:47" ht="12" customHeight="1">
      <c r="AU1095" s="44"/>
    </row>
    <row r="1096" spans="47:47" ht="12" customHeight="1">
      <c r="AU1096" s="44"/>
    </row>
    <row r="1097" spans="47:47" ht="12" customHeight="1">
      <c r="AU1097" s="44"/>
    </row>
    <row r="1098" spans="47:47" ht="12" customHeight="1">
      <c r="AU1098" s="44"/>
    </row>
    <row r="1099" spans="47:47" ht="12" customHeight="1">
      <c r="AU1099" s="44"/>
    </row>
    <row r="1100" spans="47:47" ht="12" customHeight="1">
      <c r="AU1100" s="44"/>
    </row>
    <row r="1101" spans="47:47" ht="12" customHeight="1">
      <c r="AU1101" s="44"/>
    </row>
    <row r="1102" spans="47:47" ht="12" customHeight="1">
      <c r="AU1102" s="44"/>
    </row>
    <row r="1103" spans="47:47" ht="12" customHeight="1">
      <c r="AU1103" s="44"/>
    </row>
    <row r="1104" spans="47:47" ht="12" customHeight="1">
      <c r="AU1104" s="44"/>
    </row>
    <row r="1105" spans="47:47" ht="12" customHeight="1">
      <c r="AU1105" s="44"/>
    </row>
    <row r="1106" spans="47:47" ht="12" customHeight="1">
      <c r="AU1106" s="44"/>
    </row>
    <row r="1107" spans="47:47" ht="12" customHeight="1">
      <c r="AU1107" s="44"/>
    </row>
    <row r="1108" spans="47:47" ht="12" customHeight="1">
      <c r="AU1108" s="44"/>
    </row>
    <row r="1109" spans="47:47" ht="12" customHeight="1">
      <c r="AU1109" s="44"/>
    </row>
    <row r="1110" spans="47:47" ht="12" customHeight="1">
      <c r="AU1110" s="44"/>
    </row>
    <row r="1111" spans="47:47" ht="12" customHeight="1">
      <c r="AU1111" s="44"/>
    </row>
    <row r="1112" spans="47:47" ht="12" customHeight="1">
      <c r="AU1112" s="44"/>
    </row>
    <row r="1113" spans="47:47" ht="12" customHeight="1">
      <c r="AU1113" s="44"/>
    </row>
    <row r="1114" spans="47:47" ht="12" customHeight="1">
      <c r="AU1114" s="44"/>
    </row>
    <row r="1115" spans="47:47" ht="12" customHeight="1">
      <c r="AU1115" s="44"/>
    </row>
    <row r="1116" spans="47:47" ht="12" customHeight="1">
      <c r="AU1116" s="44"/>
    </row>
    <row r="1117" spans="47:47" ht="12" customHeight="1">
      <c r="AU1117" s="44"/>
    </row>
    <row r="1118" spans="47:47" ht="12" customHeight="1">
      <c r="AU1118" s="44"/>
    </row>
    <row r="1119" spans="47:47" ht="12" customHeight="1">
      <c r="AU1119" s="44"/>
    </row>
    <row r="1120" spans="47:47" ht="12" customHeight="1">
      <c r="AU1120" s="44"/>
    </row>
    <row r="1121" spans="47:47" ht="12" customHeight="1">
      <c r="AU1121" s="44"/>
    </row>
    <row r="1122" spans="47:47" ht="12" customHeight="1">
      <c r="AU1122" s="44"/>
    </row>
    <row r="1123" spans="47:47" ht="12" customHeight="1">
      <c r="AU1123" s="44"/>
    </row>
    <row r="1124" spans="47:47" ht="12" customHeight="1">
      <c r="AU1124" s="44"/>
    </row>
    <row r="1125" spans="47:47" ht="12" customHeight="1">
      <c r="AU1125" s="44"/>
    </row>
    <row r="1126" spans="47:47" ht="12" customHeight="1">
      <c r="AU1126" s="44"/>
    </row>
    <row r="1127" spans="47:47" ht="12" customHeight="1">
      <c r="AU1127" s="44"/>
    </row>
    <row r="1128" spans="47:47" ht="12" customHeight="1">
      <c r="AU1128" s="44"/>
    </row>
    <row r="1129" spans="47:47" ht="12" customHeight="1">
      <c r="AU1129" s="44"/>
    </row>
    <row r="1130" spans="47:47" ht="12" customHeight="1">
      <c r="AU1130" s="44"/>
    </row>
    <row r="1131" spans="47:47" ht="12" customHeight="1">
      <c r="AU1131" s="44"/>
    </row>
    <row r="1132" spans="47:47" ht="12" customHeight="1">
      <c r="AU1132" s="44"/>
    </row>
    <row r="1133" spans="47:47" ht="12" customHeight="1">
      <c r="AU1133" s="44"/>
    </row>
    <row r="1134" spans="47:47" ht="12" customHeight="1">
      <c r="AU1134" s="44"/>
    </row>
    <row r="1135" spans="47:47" ht="12" customHeight="1">
      <c r="AU1135" s="44"/>
    </row>
    <row r="1136" spans="47:47" ht="12" customHeight="1">
      <c r="AU1136" s="44"/>
    </row>
    <row r="1137" spans="47:47" ht="12" customHeight="1">
      <c r="AU1137" s="44"/>
    </row>
    <row r="1138" spans="47:47" ht="12" customHeight="1">
      <c r="AU1138" s="44"/>
    </row>
    <row r="1139" spans="47:47" ht="12" customHeight="1">
      <c r="AU1139" s="44"/>
    </row>
    <row r="1140" spans="47:47" ht="12" customHeight="1">
      <c r="AU1140" s="44"/>
    </row>
    <row r="1141" spans="47:47" ht="12" customHeight="1">
      <c r="AU1141" s="44"/>
    </row>
    <row r="1142" spans="47:47" ht="12" customHeight="1">
      <c r="AU1142" s="44"/>
    </row>
    <row r="1143" spans="47:47" ht="12" customHeight="1">
      <c r="AU1143" s="44"/>
    </row>
    <row r="1144" spans="47:47" ht="12" customHeight="1">
      <c r="AU1144" s="44"/>
    </row>
    <row r="1145" spans="47:47" ht="12" customHeight="1">
      <c r="AU1145" s="44"/>
    </row>
    <row r="1146" spans="47:47" ht="12" customHeight="1">
      <c r="AU1146" s="44"/>
    </row>
    <row r="1147" spans="47:47" ht="12" customHeight="1">
      <c r="AU1147" s="44"/>
    </row>
    <row r="1148" spans="47:47" ht="12" customHeight="1">
      <c r="AU1148" s="44"/>
    </row>
    <row r="1149" spans="47:47" ht="12" customHeight="1">
      <c r="AU1149" s="44"/>
    </row>
    <row r="1150" spans="47:47" ht="12" customHeight="1">
      <c r="AU1150" s="44"/>
    </row>
    <row r="1151" spans="47:47" ht="12" customHeight="1">
      <c r="AU1151" s="44"/>
    </row>
    <row r="1152" spans="47:47" ht="12" customHeight="1">
      <c r="AU1152" s="44"/>
    </row>
    <row r="1153" spans="47:47" ht="12" customHeight="1">
      <c r="AU1153" s="44"/>
    </row>
    <row r="1154" spans="47:47" ht="12" customHeight="1">
      <c r="AU1154" s="44"/>
    </row>
    <row r="1155" spans="47:47" ht="12" customHeight="1">
      <c r="AU1155" s="44"/>
    </row>
    <row r="1156" spans="47:47" ht="12" customHeight="1">
      <c r="AU1156" s="44"/>
    </row>
    <row r="1157" spans="47:47" ht="12" customHeight="1">
      <c r="AU1157" s="44"/>
    </row>
    <row r="1158" spans="47:47" ht="12" customHeight="1">
      <c r="AU1158" s="44"/>
    </row>
    <row r="1159" spans="47:47" ht="12" customHeight="1">
      <c r="AU1159" s="44"/>
    </row>
    <row r="1160" spans="47:47" ht="12" customHeight="1">
      <c r="AU1160" s="44"/>
    </row>
    <row r="1161" spans="47:47" ht="12" customHeight="1">
      <c r="AU1161" s="44"/>
    </row>
    <row r="1162" spans="47:47" ht="12" customHeight="1">
      <c r="AU1162" s="44"/>
    </row>
    <row r="1163" spans="47:47" ht="12" customHeight="1">
      <c r="AU1163" s="44"/>
    </row>
    <row r="1164" spans="47:47" ht="12" customHeight="1">
      <c r="AU1164" s="44"/>
    </row>
    <row r="1165" spans="47:47" ht="12" customHeight="1">
      <c r="AU1165" s="44"/>
    </row>
    <row r="1166" spans="47:47" ht="12" customHeight="1">
      <c r="AU1166" s="44"/>
    </row>
    <row r="1167" spans="47:47" ht="12" customHeight="1">
      <c r="AU1167" s="44"/>
    </row>
    <row r="1168" spans="47:47" ht="12" customHeight="1">
      <c r="AU1168" s="44"/>
    </row>
    <row r="1169" spans="47:47" ht="12" customHeight="1">
      <c r="AU1169" s="44"/>
    </row>
    <row r="1170" spans="47:47" ht="12" customHeight="1">
      <c r="AU1170" s="44"/>
    </row>
    <row r="1171" spans="47:47" ht="12" customHeight="1">
      <c r="AU1171" s="44"/>
    </row>
    <row r="1172" spans="47:47" ht="12" customHeight="1">
      <c r="AU1172" s="44"/>
    </row>
    <row r="1173" spans="47:47" ht="12" customHeight="1">
      <c r="AU1173" s="44"/>
    </row>
    <row r="1174" spans="47:47" ht="12" customHeight="1">
      <c r="AU1174" s="44"/>
    </row>
    <row r="1175" spans="47:47" ht="12" customHeight="1">
      <c r="AU1175" s="44"/>
    </row>
    <row r="1176" spans="47:47" ht="12" customHeight="1">
      <c r="AU1176" s="44"/>
    </row>
    <row r="1177" spans="47:47" ht="12" customHeight="1">
      <c r="AU1177" s="44"/>
    </row>
    <row r="1178" spans="47:47" ht="12" customHeight="1">
      <c r="AU1178" s="44"/>
    </row>
    <row r="1179" spans="47:47" ht="12" customHeight="1">
      <c r="AU1179" s="44"/>
    </row>
    <row r="1180" spans="47:47" ht="12" customHeight="1">
      <c r="AU1180" s="44"/>
    </row>
    <row r="1181" spans="47:47" ht="12" customHeight="1">
      <c r="AU1181" s="44"/>
    </row>
    <row r="1182" spans="47:47" ht="12" customHeight="1">
      <c r="AU1182" s="44"/>
    </row>
    <row r="1183" spans="47:47" ht="12" customHeight="1">
      <c r="AU1183" s="44"/>
    </row>
    <row r="1184" spans="47:47" ht="12" customHeight="1">
      <c r="AU1184" s="44"/>
    </row>
    <row r="1185" spans="47:47" ht="12" customHeight="1">
      <c r="AU1185" s="44"/>
    </row>
    <row r="1186" spans="47:47" ht="12" customHeight="1">
      <c r="AU1186" s="44"/>
    </row>
    <row r="1187" spans="47:47" ht="12" customHeight="1">
      <c r="AU1187" s="44"/>
    </row>
    <row r="1188" spans="47:47" ht="12" customHeight="1">
      <c r="AU1188" s="44"/>
    </row>
    <row r="1189" spans="47:47" ht="12" customHeight="1">
      <c r="AU1189" s="44"/>
    </row>
    <row r="1190" spans="47:47" ht="12" customHeight="1">
      <c r="AU1190" s="44"/>
    </row>
    <row r="1191" spans="47:47" ht="12" customHeight="1">
      <c r="AU1191" s="44"/>
    </row>
    <row r="1192" spans="47:47" ht="12" customHeight="1">
      <c r="AU1192" s="44"/>
    </row>
    <row r="1193" spans="47:47" ht="12" customHeight="1">
      <c r="AU1193" s="44"/>
    </row>
    <row r="1194" spans="47:47" ht="12" customHeight="1">
      <c r="AU1194" s="44"/>
    </row>
    <row r="1195" spans="47:47" ht="12" customHeight="1">
      <c r="AU1195" s="44"/>
    </row>
    <row r="1196" spans="47:47" ht="12" customHeight="1">
      <c r="AU1196" s="44"/>
    </row>
    <row r="1197" spans="47:47" ht="12" customHeight="1">
      <c r="AU1197" s="44"/>
    </row>
    <row r="1198" spans="47:47" ht="12" customHeight="1">
      <c r="AU1198" s="44"/>
    </row>
    <row r="1199" spans="47:47" ht="12" customHeight="1">
      <c r="AU1199" s="44"/>
    </row>
    <row r="1200" spans="47:47" ht="12" customHeight="1">
      <c r="AU1200" s="44"/>
    </row>
    <row r="1201" spans="47:47" ht="12" customHeight="1">
      <c r="AU1201" s="44"/>
    </row>
    <row r="1202" spans="47:47" ht="12" customHeight="1">
      <c r="AU1202" s="44"/>
    </row>
    <row r="1203" spans="47:47" ht="12" customHeight="1">
      <c r="AU1203" s="44"/>
    </row>
    <row r="1204" spans="47:47" ht="12" customHeight="1">
      <c r="AU1204" s="44"/>
    </row>
    <row r="1205" spans="47:47" ht="12" customHeight="1">
      <c r="AU1205" s="44"/>
    </row>
    <row r="1206" spans="47:47" ht="12" customHeight="1">
      <c r="AU1206" s="44"/>
    </row>
    <row r="1207" spans="47:47" ht="12" customHeight="1">
      <c r="AU1207" s="44"/>
    </row>
    <row r="1208" spans="47:47" ht="12" customHeight="1">
      <c r="AU1208" s="44"/>
    </row>
    <row r="1209" spans="47:47" ht="12" customHeight="1">
      <c r="AU1209" s="44"/>
    </row>
    <row r="1210" spans="47:47" ht="12" customHeight="1">
      <c r="AU1210" s="44"/>
    </row>
    <row r="1211" spans="47:47" ht="12" customHeight="1">
      <c r="AU1211" s="44"/>
    </row>
    <row r="1212" spans="47:47" ht="12" customHeight="1">
      <c r="AU1212" s="44"/>
    </row>
    <row r="1213" spans="47:47" ht="12" customHeight="1">
      <c r="AU1213" s="44"/>
    </row>
    <row r="1214" spans="47:47" ht="12" customHeight="1">
      <c r="AU1214" s="44"/>
    </row>
    <row r="1215" spans="47:47" ht="12" customHeight="1">
      <c r="AU1215" s="44"/>
    </row>
    <row r="1216" spans="47:47" ht="12" customHeight="1">
      <c r="AU1216" s="44"/>
    </row>
    <row r="1217" spans="47:47" ht="12" customHeight="1">
      <c r="AU1217" s="44"/>
    </row>
    <row r="1218" spans="47:47" ht="12" customHeight="1">
      <c r="AU1218" s="44"/>
    </row>
    <row r="1219" spans="47:47" ht="12" customHeight="1">
      <c r="AU1219" s="44"/>
    </row>
    <row r="1220" spans="47:47" ht="12" customHeight="1">
      <c r="AU1220" s="44"/>
    </row>
    <row r="1221" spans="47:47" ht="12" customHeight="1">
      <c r="AU1221" s="44"/>
    </row>
    <row r="1222" spans="47:47" ht="12" customHeight="1">
      <c r="AU1222" s="44"/>
    </row>
    <row r="1223" spans="47:47" ht="12" customHeight="1">
      <c r="AU1223" s="44"/>
    </row>
    <row r="1224" spans="47:47" ht="12" customHeight="1">
      <c r="AU1224" s="44"/>
    </row>
    <row r="1225" spans="47:47" ht="12" customHeight="1">
      <c r="AU1225" s="44"/>
    </row>
    <row r="1226" spans="47:47" ht="12" customHeight="1">
      <c r="AU1226" s="44"/>
    </row>
    <row r="1227" spans="47:47" ht="12" customHeight="1">
      <c r="AU1227" s="44"/>
    </row>
    <row r="1228" spans="47:47" ht="12" customHeight="1">
      <c r="AU1228" s="44"/>
    </row>
    <row r="1229" spans="47:47" ht="12" customHeight="1">
      <c r="AU1229" s="44"/>
    </row>
    <row r="1230" spans="47:47" ht="12" customHeight="1">
      <c r="AU1230" s="44"/>
    </row>
    <row r="1231" spans="47:47" ht="12" customHeight="1">
      <c r="AU1231" s="44"/>
    </row>
    <row r="1232" spans="47:47" ht="12" customHeight="1">
      <c r="AU1232" s="44"/>
    </row>
    <row r="1233" spans="47:47" ht="12" customHeight="1">
      <c r="AU1233" s="44"/>
    </row>
    <row r="1234" spans="47:47" ht="12" customHeight="1">
      <c r="AU1234" s="44"/>
    </row>
    <row r="1235" spans="47:47" ht="12" customHeight="1">
      <c r="AU1235" s="44"/>
    </row>
    <row r="1236" spans="47:47" ht="12" customHeight="1">
      <c r="AU1236" s="44"/>
    </row>
    <row r="1237" spans="47:47" ht="12" customHeight="1">
      <c r="AU1237" s="44"/>
    </row>
    <row r="1238" spans="47:47" ht="12" customHeight="1">
      <c r="AU1238" s="44"/>
    </row>
    <row r="1239" spans="47:47" ht="12" customHeight="1">
      <c r="AU1239" s="44"/>
    </row>
    <row r="1240" spans="47:47" ht="12" customHeight="1">
      <c r="AU1240" s="44"/>
    </row>
    <row r="1241" spans="47:47" ht="12" customHeight="1">
      <c r="AU1241" s="44"/>
    </row>
    <row r="1242" spans="47:47" ht="12" customHeight="1">
      <c r="AU1242" s="44"/>
    </row>
    <row r="1243" spans="47:47" ht="12" customHeight="1">
      <c r="AU1243" s="44"/>
    </row>
    <row r="1244" spans="47:47" ht="12" customHeight="1">
      <c r="AU1244" s="44"/>
    </row>
    <row r="1245" spans="47:47" ht="12" customHeight="1">
      <c r="AU1245" s="44"/>
    </row>
    <row r="1246" spans="47:47" ht="12" customHeight="1">
      <c r="AU1246" s="44"/>
    </row>
    <row r="1247" spans="47:47" ht="12" customHeight="1">
      <c r="AU1247" s="44"/>
    </row>
    <row r="1248" spans="47:47" ht="12" customHeight="1">
      <c r="AU1248" s="44"/>
    </row>
    <row r="1249" spans="47:47" ht="12" customHeight="1">
      <c r="AU1249" s="44"/>
    </row>
    <row r="1250" spans="47:47" ht="12" customHeight="1">
      <c r="AU1250" s="44"/>
    </row>
    <row r="1251" spans="47:47" ht="12" customHeight="1">
      <c r="AU1251" s="44"/>
    </row>
    <row r="1252" spans="47:47" ht="12" customHeight="1">
      <c r="AU1252" s="44"/>
    </row>
    <row r="1253" spans="47:47" ht="12" customHeight="1">
      <c r="AU1253" s="44"/>
    </row>
    <row r="1254" spans="47:47" ht="12" customHeight="1">
      <c r="AU1254" s="44"/>
    </row>
    <row r="1255" spans="47:47" ht="12" customHeight="1">
      <c r="AU1255" s="44"/>
    </row>
    <row r="1256" spans="47:47" ht="12" customHeight="1">
      <c r="AU1256" s="44"/>
    </row>
    <row r="1257" spans="47:47" ht="12" customHeight="1">
      <c r="AU1257" s="44"/>
    </row>
    <row r="1258" spans="47:47" ht="12" customHeight="1">
      <c r="AU1258" s="44"/>
    </row>
    <row r="1259" spans="47:47" ht="12" customHeight="1">
      <c r="AU1259" s="44"/>
    </row>
    <row r="1260" spans="47:47" ht="12" customHeight="1">
      <c r="AU1260" s="44"/>
    </row>
    <row r="1261" spans="47:47" ht="12" customHeight="1">
      <c r="AU1261" s="44"/>
    </row>
    <row r="1262" spans="47:47" ht="12" customHeight="1">
      <c r="AU1262" s="44"/>
    </row>
    <row r="1263" spans="47:47" ht="12" customHeight="1">
      <c r="AU1263" s="44"/>
    </row>
    <row r="1264" spans="47:47" ht="12" customHeight="1">
      <c r="AU1264" s="44"/>
    </row>
    <row r="1265" spans="47:47" ht="12" customHeight="1">
      <c r="AU1265" s="44"/>
    </row>
    <row r="1266" spans="47:47" ht="12" customHeight="1">
      <c r="AU1266" s="44"/>
    </row>
    <row r="1267" spans="47:47" ht="12" customHeight="1">
      <c r="AU1267" s="44"/>
    </row>
    <row r="1268" spans="47:47" ht="12" customHeight="1">
      <c r="AU1268" s="44"/>
    </row>
    <row r="1269" spans="47:47" ht="12" customHeight="1">
      <c r="AU1269" s="44"/>
    </row>
    <row r="1270" spans="47:47" ht="12" customHeight="1">
      <c r="AU1270" s="44"/>
    </row>
    <row r="1271" spans="47:47" ht="12" customHeight="1">
      <c r="AU1271" s="44"/>
    </row>
    <row r="1272" spans="47:47" ht="12" customHeight="1">
      <c r="AU1272" s="44"/>
    </row>
    <row r="1273" spans="47:47" ht="12" customHeight="1">
      <c r="AU1273" s="44"/>
    </row>
    <row r="1274" spans="47:47" ht="12" customHeight="1">
      <c r="AU1274" s="44"/>
    </row>
    <row r="1275" spans="47:47" ht="12" customHeight="1">
      <c r="AU1275" s="44"/>
    </row>
    <row r="1276" spans="47:47" ht="12" customHeight="1">
      <c r="AU1276" s="44"/>
    </row>
    <row r="1277" spans="47:47" ht="12" customHeight="1">
      <c r="AU1277" s="44"/>
    </row>
    <row r="1278" spans="47:47" ht="12" customHeight="1">
      <c r="AU1278" s="44"/>
    </row>
    <row r="1279" spans="47:47" ht="12" customHeight="1">
      <c r="AU1279" s="44"/>
    </row>
    <row r="1280" spans="47:47" ht="12" customHeight="1">
      <c r="AU1280" s="44"/>
    </row>
    <row r="1281" spans="47:47" ht="12" customHeight="1">
      <c r="AU1281" s="44"/>
    </row>
    <row r="1282" spans="47:47" ht="12" customHeight="1">
      <c r="AU1282" s="44"/>
    </row>
    <row r="1283" spans="47:47" ht="12" customHeight="1">
      <c r="AU1283" s="44"/>
    </row>
    <row r="1284" spans="47:47" ht="12" customHeight="1">
      <c r="AU1284" s="44"/>
    </row>
    <row r="1285" spans="47:47" ht="12" customHeight="1">
      <c r="AU1285" s="44"/>
    </row>
    <row r="1286" spans="47:47" ht="12" customHeight="1">
      <c r="AU1286" s="44"/>
    </row>
    <row r="1287" spans="47:47" ht="12" customHeight="1">
      <c r="AU1287" s="44"/>
    </row>
    <row r="1288" spans="47:47" ht="12" customHeight="1">
      <c r="AU1288" s="44"/>
    </row>
    <row r="1289" spans="47:47" ht="12" customHeight="1">
      <c r="AU1289" s="44"/>
    </row>
    <row r="1290" spans="47:47" ht="12" customHeight="1">
      <c r="AU1290" s="44"/>
    </row>
    <row r="1291" spans="47:47" ht="12" customHeight="1">
      <c r="AU1291" s="44"/>
    </row>
    <row r="1292" spans="47:47" ht="12" customHeight="1">
      <c r="AU1292" s="44"/>
    </row>
    <row r="1293" spans="47:47" ht="12" customHeight="1">
      <c r="AU1293" s="44"/>
    </row>
    <row r="1294" spans="47:47" ht="12" customHeight="1">
      <c r="AU1294" s="44"/>
    </row>
    <row r="1295" spans="47:47" ht="12" customHeight="1">
      <c r="AU1295" s="44"/>
    </row>
    <row r="1296" spans="47:47" ht="12" customHeight="1">
      <c r="AU1296" s="44"/>
    </row>
    <row r="1297" spans="47:47" ht="12" customHeight="1">
      <c r="AU1297" s="44"/>
    </row>
    <row r="1298" spans="47:47" ht="12" customHeight="1">
      <c r="AU1298" s="44"/>
    </row>
    <row r="1299" spans="47:47" ht="12" customHeight="1">
      <c r="AU1299" s="44"/>
    </row>
    <row r="1300" spans="47:47" ht="12" customHeight="1">
      <c r="AU1300" s="44"/>
    </row>
    <row r="1301" spans="47:47" ht="12" customHeight="1">
      <c r="AU1301" s="44"/>
    </row>
    <row r="1302" spans="47:47" ht="12" customHeight="1">
      <c r="AU1302" s="44"/>
    </row>
    <row r="1303" spans="47:47" ht="12" customHeight="1">
      <c r="AU1303" s="44"/>
    </row>
    <row r="1304" spans="47:47" ht="12" customHeight="1">
      <c r="AU1304" s="44"/>
    </row>
    <row r="1305" spans="47:47" ht="12" customHeight="1">
      <c r="AU1305" s="44"/>
    </row>
    <row r="1306" spans="47:47" ht="12" customHeight="1">
      <c r="AU1306" s="44"/>
    </row>
    <row r="1307" spans="47:47" ht="12" customHeight="1">
      <c r="AU1307" s="44"/>
    </row>
    <row r="1308" spans="47:47" ht="12" customHeight="1">
      <c r="AU1308" s="44"/>
    </row>
    <row r="1309" spans="47:47" ht="12" customHeight="1">
      <c r="AU1309" s="44"/>
    </row>
    <row r="1310" spans="47:47" ht="12" customHeight="1">
      <c r="AU1310" s="44"/>
    </row>
    <row r="1311" spans="47:47" ht="12" customHeight="1">
      <c r="AU1311" s="44"/>
    </row>
    <row r="1312" spans="47:47" ht="12" customHeight="1">
      <c r="AU1312" s="44"/>
    </row>
    <row r="1313" spans="47:47" ht="12" customHeight="1">
      <c r="AU1313" s="44"/>
    </row>
    <row r="1314" spans="47:47" ht="12" customHeight="1">
      <c r="AU1314" s="44"/>
    </row>
    <row r="1315" spans="47:47" ht="12" customHeight="1">
      <c r="AU1315" s="44"/>
    </row>
    <row r="1316" spans="47:47" ht="12" customHeight="1">
      <c r="AU1316" s="44"/>
    </row>
    <row r="1317" spans="47:47" ht="12" customHeight="1">
      <c r="AU1317" s="44"/>
    </row>
    <row r="1318" spans="47:47" ht="12" customHeight="1">
      <c r="AU1318" s="44"/>
    </row>
    <row r="1319" spans="47:47" ht="12" customHeight="1">
      <c r="AU1319" s="44"/>
    </row>
    <row r="1320" spans="47:47" ht="12" customHeight="1">
      <c r="AU1320" s="44"/>
    </row>
    <row r="1321" spans="47:47" ht="12" customHeight="1">
      <c r="AU1321" s="44"/>
    </row>
    <row r="1322" spans="47:47" ht="12" customHeight="1">
      <c r="AU1322" s="44"/>
    </row>
    <row r="1323" spans="47:47" ht="12" customHeight="1">
      <c r="AU1323" s="44"/>
    </row>
    <row r="1324" spans="47:47" ht="12" customHeight="1">
      <c r="AU1324" s="44"/>
    </row>
    <row r="1325" spans="47:47" ht="12" customHeight="1">
      <c r="AU1325" s="44"/>
    </row>
    <row r="1326" spans="47:47" ht="12" customHeight="1">
      <c r="AU1326" s="44"/>
    </row>
    <row r="1327" spans="47:47" ht="12" customHeight="1">
      <c r="AU1327" s="44"/>
    </row>
    <row r="1328" spans="47:47" ht="12" customHeight="1">
      <c r="AU1328" s="44"/>
    </row>
    <row r="1329" spans="47:47" ht="12" customHeight="1">
      <c r="AU1329" s="44"/>
    </row>
    <row r="1330" spans="47:47" ht="12" customHeight="1">
      <c r="AU1330" s="44"/>
    </row>
    <row r="1331" spans="47:47" ht="12" customHeight="1">
      <c r="AU1331" s="44"/>
    </row>
    <row r="1332" spans="47:47" ht="12" customHeight="1">
      <c r="AU1332" s="44"/>
    </row>
    <row r="1333" spans="47:47" ht="12" customHeight="1">
      <c r="AU1333" s="44"/>
    </row>
    <row r="1334" spans="47:47" ht="12" customHeight="1">
      <c r="AU1334" s="44"/>
    </row>
    <row r="1335" spans="47:47" ht="12" customHeight="1">
      <c r="AU1335" s="44"/>
    </row>
    <row r="1336" spans="47:47" ht="12" customHeight="1">
      <c r="AU1336" s="44"/>
    </row>
    <row r="1337" spans="47:47" ht="12" customHeight="1">
      <c r="AU1337" s="44"/>
    </row>
    <row r="1338" spans="47:47" ht="12" customHeight="1">
      <c r="AU1338" s="44"/>
    </row>
    <row r="1339" spans="47:47" ht="12" customHeight="1">
      <c r="AU1339" s="44"/>
    </row>
    <row r="1340" spans="47:47" ht="12" customHeight="1">
      <c r="AU1340" s="44"/>
    </row>
    <row r="1341" spans="47:47" ht="12" customHeight="1">
      <c r="AU1341" s="44"/>
    </row>
    <row r="1342" spans="47:47" ht="12" customHeight="1">
      <c r="AU1342" s="44"/>
    </row>
    <row r="1343" spans="47:47" ht="12" customHeight="1">
      <c r="AU1343" s="44"/>
    </row>
    <row r="1344" spans="47:47" ht="12" customHeight="1">
      <c r="AU1344" s="44"/>
    </row>
    <row r="1345" spans="47:47" ht="12" customHeight="1">
      <c r="AU1345" s="44"/>
    </row>
    <row r="1346" spans="47:47" ht="12" customHeight="1">
      <c r="AU1346" s="44"/>
    </row>
    <row r="1347" spans="47:47" ht="12" customHeight="1">
      <c r="AU1347" s="44"/>
    </row>
    <row r="1348" spans="47:47" ht="12" customHeight="1">
      <c r="AU1348" s="44"/>
    </row>
    <row r="1349" spans="47:47" ht="12" customHeight="1">
      <c r="AU1349" s="44"/>
    </row>
    <row r="1350" spans="47:47" ht="12" customHeight="1">
      <c r="AU1350" s="44"/>
    </row>
    <row r="1351" spans="47:47" ht="12" customHeight="1">
      <c r="AU1351" s="44"/>
    </row>
    <row r="1352" spans="47:47" ht="12" customHeight="1">
      <c r="AU1352" s="44"/>
    </row>
    <row r="1353" spans="47:47" ht="12" customHeight="1">
      <c r="AU1353" s="44"/>
    </row>
    <row r="1354" spans="47:47" ht="12" customHeight="1">
      <c r="AU1354" s="44"/>
    </row>
    <row r="1355" spans="47:47" ht="12" customHeight="1">
      <c r="AU1355" s="44"/>
    </row>
    <row r="1356" spans="47:47" ht="12" customHeight="1">
      <c r="AU1356" s="44"/>
    </row>
    <row r="1357" spans="47:47" ht="12" customHeight="1">
      <c r="AU1357" s="44"/>
    </row>
    <row r="1358" spans="47:47" ht="12" customHeight="1">
      <c r="AU1358" s="44"/>
    </row>
    <row r="1359" spans="47:47" ht="12" customHeight="1">
      <c r="AU1359" s="44"/>
    </row>
    <row r="1360" spans="47:47" ht="12" customHeight="1">
      <c r="AU1360" s="44"/>
    </row>
    <row r="1361" spans="47:47" ht="12" customHeight="1">
      <c r="AU1361" s="44"/>
    </row>
    <row r="1362" spans="47:47" ht="12" customHeight="1">
      <c r="AU1362" s="44"/>
    </row>
    <row r="1363" spans="47:47" ht="12" customHeight="1">
      <c r="AU1363" s="44"/>
    </row>
    <row r="1364" spans="47:47" ht="12" customHeight="1">
      <c r="AU1364" s="44"/>
    </row>
    <row r="1365" spans="47:47" ht="12" customHeight="1">
      <c r="AU1365" s="44"/>
    </row>
    <row r="1366" spans="47:47" ht="12" customHeight="1">
      <c r="AU1366" s="44"/>
    </row>
    <row r="1367" spans="47:47" ht="12" customHeight="1">
      <c r="AU1367" s="44"/>
    </row>
    <row r="1368" spans="47:47" ht="12" customHeight="1">
      <c r="AU1368" s="44"/>
    </row>
    <row r="1369" spans="47:47" ht="12" customHeight="1">
      <c r="AU1369" s="44"/>
    </row>
    <row r="1370" spans="47:47" ht="12" customHeight="1">
      <c r="AU1370" s="44"/>
    </row>
    <row r="1371" spans="47:47" ht="12" customHeight="1">
      <c r="AU1371" s="44"/>
    </row>
    <row r="1372" spans="47:47" ht="12" customHeight="1">
      <c r="AU1372" s="44"/>
    </row>
    <row r="1373" spans="47:47" ht="12" customHeight="1">
      <c r="AU1373" s="44"/>
    </row>
    <row r="1374" spans="47:47" ht="12" customHeight="1">
      <c r="AU1374" s="44"/>
    </row>
    <row r="1375" spans="47:47" ht="12" customHeight="1">
      <c r="AU1375" s="44"/>
    </row>
    <row r="1376" spans="47:47" ht="12" customHeight="1">
      <c r="AU1376" s="44"/>
    </row>
    <row r="1377" spans="47:47" ht="12" customHeight="1">
      <c r="AU1377" s="44"/>
    </row>
    <row r="1378" spans="47:47" ht="12" customHeight="1">
      <c r="AU1378" s="44"/>
    </row>
    <row r="1379" spans="47:47" ht="12" customHeight="1">
      <c r="AU1379" s="44"/>
    </row>
    <row r="1380" spans="47:47" ht="12" customHeight="1">
      <c r="AU1380" s="44"/>
    </row>
    <row r="1381" spans="47:47" ht="12" customHeight="1">
      <c r="AU1381" s="44"/>
    </row>
    <row r="1382" spans="47:47" ht="12" customHeight="1">
      <c r="AU1382" s="44"/>
    </row>
    <row r="1383" spans="47:47" ht="12" customHeight="1">
      <c r="AU1383" s="44"/>
    </row>
    <row r="1384" spans="47:47" ht="12" customHeight="1">
      <c r="AU1384" s="44"/>
    </row>
    <row r="1385" spans="47:47" ht="12" customHeight="1">
      <c r="AU1385" s="44"/>
    </row>
    <row r="1386" spans="47:47" ht="12" customHeight="1">
      <c r="AU1386" s="44"/>
    </row>
    <row r="1387" spans="47:47" ht="12" customHeight="1">
      <c r="AU1387" s="44"/>
    </row>
    <row r="1388" spans="47:47" ht="12" customHeight="1">
      <c r="AU1388" s="44"/>
    </row>
    <row r="1389" spans="47:47" ht="12" customHeight="1">
      <c r="AU1389" s="44"/>
    </row>
    <row r="1390" spans="47:47" ht="12" customHeight="1">
      <c r="AU1390" s="44"/>
    </row>
    <row r="1391" spans="47:47" ht="12" customHeight="1">
      <c r="AU1391" s="44"/>
    </row>
    <row r="1392" spans="47:47" ht="12" customHeight="1">
      <c r="AU1392" s="44"/>
    </row>
    <row r="1393" spans="47:47" ht="12" customHeight="1">
      <c r="AU1393" s="44"/>
    </row>
    <row r="1394" spans="47:47" ht="12" customHeight="1">
      <c r="AU1394" s="44"/>
    </row>
    <row r="1395" spans="47:47" ht="12" customHeight="1">
      <c r="AU1395" s="44"/>
    </row>
    <row r="1396" spans="47:47" ht="12" customHeight="1">
      <c r="AU1396" s="44"/>
    </row>
    <row r="1397" spans="47:47" ht="12" customHeight="1">
      <c r="AU1397" s="44"/>
    </row>
    <row r="1398" spans="47:47" ht="12" customHeight="1">
      <c r="AU1398" s="44"/>
    </row>
    <row r="1399" spans="47:47" ht="12" customHeight="1">
      <c r="AU1399" s="44"/>
    </row>
    <row r="1400" spans="47:47" ht="12" customHeight="1">
      <c r="AU1400" s="44"/>
    </row>
    <row r="1401" spans="47:47" ht="12" customHeight="1">
      <c r="AU1401" s="44"/>
    </row>
    <row r="1402" spans="47:47" ht="12" customHeight="1">
      <c r="AU1402" s="44"/>
    </row>
    <row r="1403" spans="47:47" ht="12" customHeight="1">
      <c r="AU1403" s="44"/>
    </row>
    <row r="1404" spans="47:47" ht="12" customHeight="1">
      <c r="AU1404" s="44"/>
    </row>
    <row r="1405" spans="47:47" ht="12" customHeight="1">
      <c r="AU1405" s="44"/>
    </row>
    <row r="1406" spans="47:47" ht="12" customHeight="1">
      <c r="AU1406" s="44"/>
    </row>
    <row r="1407" spans="47:47" ht="12" customHeight="1">
      <c r="AU1407" s="44"/>
    </row>
    <row r="1408" spans="47:47" ht="12" customHeight="1">
      <c r="AU1408" s="44"/>
    </row>
    <row r="1409" spans="47:47" ht="12" customHeight="1">
      <c r="AU1409" s="44"/>
    </row>
    <row r="1410" spans="47:47" ht="12" customHeight="1">
      <c r="AU1410" s="44"/>
    </row>
    <row r="1411" spans="47:47" ht="12" customHeight="1">
      <c r="AU1411" s="44"/>
    </row>
    <row r="1412" spans="47:47" ht="12" customHeight="1">
      <c r="AU1412" s="44"/>
    </row>
    <row r="1413" spans="47:47" ht="12" customHeight="1">
      <c r="AU1413" s="44"/>
    </row>
    <row r="1414" spans="47:47" ht="12" customHeight="1">
      <c r="AU1414" s="44"/>
    </row>
    <row r="1415" spans="47:47" ht="12" customHeight="1">
      <c r="AU1415" s="44"/>
    </row>
    <row r="1416" spans="47:47" ht="12" customHeight="1">
      <c r="AU1416" s="44"/>
    </row>
    <row r="1417" spans="47:47" ht="12" customHeight="1">
      <c r="AU1417" s="44"/>
    </row>
    <row r="1418" spans="47:47" ht="12" customHeight="1">
      <c r="AU1418" s="44"/>
    </row>
    <row r="1419" spans="47:47" ht="12" customHeight="1">
      <c r="AU1419" s="44"/>
    </row>
    <row r="1420" spans="47:47" ht="12" customHeight="1">
      <c r="AU1420" s="44"/>
    </row>
    <row r="1421" spans="47:47" ht="12" customHeight="1">
      <c r="AU1421" s="44"/>
    </row>
    <row r="1422" spans="47:47" ht="12" customHeight="1">
      <c r="AU1422" s="44"/>
    </row>
    <row r="1423" spans="47:47" ht="12" customHeight="1">
      <c r="AU1423" s="44"/>
    </row>
    <row r="1424" spans="47:47" ht="12" customHeight="1">
      <c r="AU1424" s="44"/>
    </row>
    <row r="1425" spans="47:47" ht="12" customHeight="1">
      <c r="AU1425" s="44"/>
    </row>
    <row r="1426" spans="47:47" ht="12" customHeight="1">
      <c r="AU1426" s="44"/>
    </row>
    <row r="1427" spans="47:47" ht="12" customHeight="1">
      <c r="AU1427" s="44"/>
    </row>
    <row r="1428" spans="47:47" ht="12" customHeight="1">
      <c r="AU1428" s="44"/>
    </row>
    <row r="1429" spans="47:47" ht="12" customHeight="1">
      <c r="AU1429" s="44"/>
    </row>
    <row r="1430" spans="47:47" ht="12" customHeight="1">
      <c r="AU1430" s="44"/>
    </row>
    <row r="1431" spans="47:47" ht="12" customHeight="1">
      <c r="AU1431" s="44"/>
    </row>
    <row r="1432" spans="47:47" ht="12" customHeight="1">
      <c r="AU1432" s="44"/>
    </row>
    <row r="1433" spans="47:47" ht="12" customHeight="1">
      <c r="AU1433" s="44"/>
    </row>
    <row r="1434" spans="47:47" ht="12" customHeight="1">
      <c r="AU1434" s="44"/>
    </row>
    <row r="1435" spans="47:47" ht="12" customHeight="1">
      <c r="AU1435" s="44"/>
    </row>
    <row r="1436" spans="47:47" ht="12" customHeight="1">
      <c r="AU1436" s="44"/>
    </row>
    <row r="1437" spans="47:47" ht="12" customHeight="1">
      <c r="AU1437" s="44"/>
    </row>
    <row r="1438" spans="47:47" ht="12" customHeight="1">
      <c r="AU1438" s="44"/>
    </row>
    <row r="1439" spans="47:47" ht="12" customHeight="1">
      <c r="AU1439" s="44"/>
    </row>
    <row r="1440" spans="47:47" ht="12" customHeight="1">
      <c r="AU1440" s="44"/>
    </row>
    <row r="1441" spans="47:47" ht="12" customHeight="1">
      <c r="AU1441" s="44"/>
    </row>
    <row r="1442" spans="47:47" ht="12" customHeight="1">
      <c r="AU1442" s="44"/>
    </row>
    <row r="1443" spans="47:47" ht="12" customHeight="1">
      <c r="AU1443" s="44"/>
    </row>
    <row r="1444" spans="47:47" ht="12" customHeight="1">
      <c r="AU1444" s="44"/>
    </row>
    <row r="1445" spans="47:47" ht="12" customHeight="1">
      <c r="AU1445" s="44"/>
    </row>
    <row r="1446" spans="47:47" ht="12" customHeight="1">
      <c r="AU1446" s="44"/>
    </row>
    <row r="1447" spans="47:47" ht="12" customHeight="1">
      <c r="AU1447" s="44"/>
    </row>
    <row r="1448" spans="47:47" ht="12" customHeight="1">
      <c r="AU1448" s="44"/>
    </row>
    <row r="1449" spans="47:47" ht="12" customHeight="1">
      <c r="AU1449" s="44"/>
    </row>
    <row r="1450" spans="47:47" ht="12" customHeight="1">
      <c r="AU1450" s="44"/>
    </row>
    <row r="1451" spans="47:47" ht="12" customHeight="1">
      <c r="AU1451" s="44"/>
    </row>
    <row r="1452" spans="47:47" ht="12" customHeight="1">
      <c r="AU1452" s="44"/>
    </row>
    <row r="1453" spans="47:47" ht="12" customHeight="1">
      <c r="AU1453" s="44"/>
    </row>
    <row r="1454" spans="47:47" ht="12" customHeight="1">
      <c r="AU1454" s="44"/>
    </row>
    <row r="1455" spans="47:47" ht="12" customHeight="1">
      <c r="AU1455" s="44"/>
    </row>
    <row r="1456" spans="47:47" ht="12" customHeight="1">
      <c r="AU1456" s="44"/>
    </row>
    <row r="1457" spans="47:47" ht="12" customHeight="1">
      <c r="AU1457" s="44"/>
    </row>
    <row r="1458" spans="47:47" ht="12" customHeight="1">
      <c r="AU1458" s="44"/>
    </row>
    <row r="1459" spans="47:47" ht="12" customHeight="1">
      <c r="AU1459" s="44"/>
    </row>
    <row r="1460" spans="47:47" ht="12" customHeight="1">
      <c r="AU1460" s="44"/>
    </row>
    <row r="1461" spans="47:47" ht="12" customHeight="1">
      <c r="AU1461" s="44"/>
    </row>
    <row r="1462" spans="47:47" ht="12" customHeight="1">
      <c r="AU1462" s="44"/>
    </row>
    <row r="1463" spans="47:47" ht="12" customHeight="1">
      <c r="AU1463" s="44"/>
    </row>
    <row r="1464" spans="47:47" ht="12" customHeight="1">
      <c r="AU1464" s="44"/>
    </row>
    <row r="1465" spans="47:47" ht="12" customHeight="1">
      <c r="AU1465" s="44"/>
    </row>
    <row r="1466" spans="47:47" ht="12" customHeight="1">
      <c r="AU1466" s="44"/>
    </row>
    <row r="1467" spans="47:47" ht="12" customHeight="1">
      <c r="AU1467" s="44"/>
    </row>
    <row r="1468" spans="47:47" ht="12" customHeight="1">
      <c r="AU1468" s="44"/>
    </row>
    <row r="1469" spans="47:47" ht="12" customHeight="1">
      <c r="AU1469" s="44"/>
    </row>
    <row r="1470" spans="47:47" ht="12" customHeight="1">
      <c r="AU1470" s="44"/>
    </row>
    <row r="1471" spans="47:47" ht="12" customHeight="1">
      <c r="AU1471" s="44"/>
    </row>
    <row r="1472" spans="47:47" ht="12" customHeight="1">
      <c r="AU1472" s="44"/>
    </row>
    <row r="1473" spans="47:47" ht="12" customHeight="1">
      <c r="AU1473" s="44"/>
    </row>
    <row r="1474" spans="47:47" ht="12" customHeight="1">
      <c r="AU1474" s="44"/>
    </row>
    <row r="1475" spans="47:47" ht="12" customHeight="1">
      <c r="AU1475" s="44"/>
    </row>
    <row r="1476" spans="47:47" ht="12" customHeight="1">
      <c r="AU1476" s="44"/>
    </row>
    <row r="1477" spans="47:47" ht="12" customHeight="1">
      <c r="AU1477" s="44"/>
    </row>
    <row r="1478" spans="47:47" ht="12" customHeight="1">
      <c r="AU1478" s="44"/>
    </row>
    <row r="1479" spans="47:47" ht="12" customHeight="1">
      <c r="AU1479" s="44"/>
    </row>
    <row r="1480" spans="47:47" ht="12" customHeight="1">
      <c r="AU1480" s="44"/>
    </row>
    <row r="1481" spans="47:47" ht="12" customHeight="1">
      <c r="AU1481" s="44"/>
    </row>
    <row r="1482" spans="47:47" ht="12" customHeight="1">
      <c r="AU1482" s="44"/>
    </row>
    <row r="1483" spans="47:47" ht="12" customHeight="1">
      <c r="AU1483" s="44"/>
    </row>
    <row r="1484" spans="47:47" ht="12" customHeight="1">
      <c r="AU1484" s="44"/>
    </row>
    <row r="1485" spans="47:47" ht="12" customHeight="1">
      <c r="AU1485" s="44"/>
    </row>
    <row r="1486" spans="47:47" ht="12" customHeight="1">
      <c r="AU1486" s="44"/>
    </row>
    <row r="1487" spans="47:47" ht="12" customHeight="1">
      <c r="AU1487" s="44"/>
    </row>
    <row r="1488" spans="47:47" ht="12" customHeight="1">
      <c r="AU1488" s="44"/>
    </row>
    <row r="1489" spans="47:47" ht="12" customHeight="1">
      <c r="AU1489" s="44"/>
    </row>
    <row r="1490" spans="47:47" ht="12" customHeight="1">
      <c r="AU1490" s="44"/>
    </row>
    <row r="1491" spans="47:47" ht="12" customHeight="1">
      <c r="AU1491" s="44"/>
    </row>
    <row r="1492" spans="47:47" ht="12" customHeight="1">
      <c r="AU1492" s="44"/>
    </row>
    <row r="1493" spans="47:47" ht="12" customHeight="1">
      <c r="AU1493" s="44"/>
    </row>
    <row r="1494" spans="47:47" ht="12" customHeight="1">
      <c r="AU1494" s="44"/>
    </row>
    <row r="1495" spans="47:47" ht="12" customHeight="1">
      <c r="AU1495" s="44"/>
    </row>
    <row r="1496" spans="47:47" ht="12" customHeight="1">
      <c r="AU1496" s="44"/>
    </row>
    <row r="1497" spans="47:47" ht="12" customHeight="1">
      <c r="AU1497" s="44"/>
    </row>
    <row r="1498" spans="47:47" ht="12" customHeight="1">
      <c r="AU1498" s="44"/>
    </row>
    <row r="1499" spans="47:47" ht="12" customHeight="1">
      <c r="AU1499" s="44"/>
    </row>
    <row r="1500" spans="47:47" ht="12" customHeight="1">
      <c r="AU1500" s="44"/>
    </row>
    <row r="1501" spans="47:47" ht="12" customHeight="1">
      <c r="AU1501" s="44"/>
    </row>
    <row r="1502" spans="47:47" ht="12" customHeight="1">
      <c r="AU1502" s="44"/>
    </row>
    <row r="1503" spans="47:47" ht="12" customHeight="1">
      <c r="AU1503" s="44"/>
    </row>
    <row r="1504" spans="47:47" ht="12" customHeight="1">
      <c r="AU1504" s="44"/>
    </row>
    <row r="1505" spans="47:47" ht="12" customHeight="1">
      <c r="AU1505" s="44"/>
    </row>
    <row r="1506" spans="47:47" ht="12" customHeight="1">
      <c r="AU1506" s="44"/>
    </row>
    <row r="1507" spans="47:47" ht="12" customHeight="1">
      <c r="AU1507" s="44"/>
    </row>
    <row r="1508" spans="47:47" ht="12" customHeight="1">
      <c r="AU1508" s="44"/>
    </row>
    <row r="1509" spans="47:47" ht="12" customHeight="1">
      <c r="AU1509" s="44"/>
    </row>
    <row r="1510" spans="47:47" ht="12" customHeight="1">
      <c r="AU1510" s="44"/>
    </row>
    <row r="1511" spans="47:47" ht="12" customHeight="1">
      <c r="AU1511" s="44"/>
    </row>
    <row r="1512" spans="47:47" ht="12" customHeight="1">
      <c r="AU1512" s="44"/>
    </row>
    <row r="1513" spans="47:47" ht="12" customHeight="1">
      <c r="AU1513" s="44"/>
    </row>
    <row r="1514" spans="47:47" ht="12" customHeight="1">
      <c r="AU1514" s="44"/>
    </row>
    <row r="1515" spans="47:47" ht="12" customHeight="1">
      <c r="AU1515" s="44"/>
    </row>
    <row r="1516" spans="47:47" ht="12" customHeight="1">
      <c r="AU1516" s="44"/>
    </row>
    <row r="1517" spans="47:47" ht="12" customHeight="1">
      <c r="AU1517" s="44"/>
    </row>
    <row r="1518" spans="47:47" ht="12" customHeight="1">
      <c r="AU1518" s="44"/>
    </row>
    <row r="1519" spans="47:47" ht="12" customHeight="1">
      <c r="AU1519" s="44"/>
    </row>
    <row r="1520" spans="47:47" ht="12" customHeight="1">
      <c r="AU1520" s="44"/>
    </row>
    <row r="1521" spans="47:47" ht="12" customHeight="1">
      <c r="AU1521" s="44"/>
    </row>
    <row r="1522" spans="47:47" ht="12" customHeight="1">
      <c r="AU1522" s="44"/>
    </row>
    <row r="1523" spans="47:47" ht="12" customHeight="1">
      <c r="AU1523" s="44"/>
    </row>
    <row r="1524" spans="47:47" ht="12" customHeight="1">
      <c r="AU1524" s="44"/>
    </row>
    <row r="1525" spans="47:47" ht="12" customHeight="1">
      <c r="AU1525" s="44"/>
    </row>
    <row r="1526" spans="47:47" ht="12" customHeight="1">
      <c r="AU1526" s="44"/>
    </row>
    <row r="1527" spans="47:47" ht="12" customHeight="1">
      <c r="AU1527" s="44"/>
    </row>
    <row r="1528" spans="47:47" ht="12" customHeight="1">
      <c r="AU1528" s="44"/>
    </row>
    <row r="1529" spans="47:47" ht="12" customHeight="1">
      <c r="AU1529" s="44"/>
    </row>
    <row r="1530" spans="47:47" ht="12" customHeight="1">
      <c r="AU1530" s="44"/>
    </row>
    <row r="1531" spans="47:47" ht="12" customHeight="1">
      <c r="AU1531" s="44"/>
    </row>
    <row r="1532" spans="47:47" ht="12" customHeight="1">
      <c r="AU1532" s="44"/>
    </row>
    <row r="1533" spans="47:47" ht="12" customHeight="1">
      <c r="AU1533" s="44"/>
    </row>
    <row r="1534" spans="47:47" ht="12" customHeight="1">
      <c r="AU1534" s="44"/>
    </row>
    <row r="1535" spans="47:47" ht="12" customHeight="1">
      <c r="AU1535" s="44"/>
    </row>
    <row r="1536" spans="47:47" ht="12" customHeight="1">
      <c r="AU1536" s="44"/>
    </row>
    <row r="1537" spans="47:47" ht="12" customHeight="1">
      <c r="AU1537" s="44"/>
    </row>
    <row r="1538" spans="47:47" ht="12" customHeight="1">
      <c r="AU1538" s="44"/>
    </row>
    <row r="1539" spans="47:47" ht="12" customHeight="1">
      <c r="AU1539" s="44"/>
    </row>
    <row r="1540" spans="47:47" ht="12" customHeight="1">
      <c r="AU1540" s="44"/>
    </row>
    <row r="1541" spans="47:47" ht="12" customHeight="1">
      <c r="AU1541" s="44"/>
    </row>
    <row r="1542" spans="47:47" ht="12" customHeight="1">
      <c r="AU1542" s="44"/>
    </row>
    <row r="1543" spans="47:47" ht="12" customHeight="1">
      <c r="AU1543" s="44"/>
    </row>
    <row r="1544" spans="47:47" ht="12" customHeight="1">
      <c r="AU1544" s="44"/>
    </row>
    <row r="1545" spans="47:47" ht="12" customHeight="1">
      <c r="AU1545" s="44"/>
    </row>
    <row r="1546" spans="47:47" ht="12" customHeight="1">
      <c r="AU1546" s="44"/>
    </row>
    <row r="1547" spans="47:47" ht="12" customHeight="1">
      <c r="AU1547" s="44"/>
    </row>
    <row r="1548" spans="47:47" ht="12" customHeight="1">
      <c r="AU1548" s="44"/>
    </row>
    <row r="1549" spans="47:47" ht="12" customHeight="1">
      <c r="AU1549" s="44"/>
    </row>
    <row r="1550" spans="47:47" ht="12" customHeight="1">
      <c r="AU1550" s="44"/>
    </row>
    <row r="1551" spans="47:47" ht="12" customHeight="1">
      <c r="AU1551" s="44"/>
    </row>
    <row r="1552" spans="47:47" ht="12" customHeight="1">
      <c r="AU1552" s="44"/>
    </row>
    <row r="1553" spans="47:47" ht="12" customHeight="1">
      <c r="AU1553" s="44"/>
    </row>
    <row r="1554" spans="47:47" ht="12" customHeight="1">
      <c r="AU1554" s="44"/>
    </row>
    <row r="1555" spans="47:47" ht="12" customHeight="1">
      <c r="AU1555" s="44"/>
    </row>
    <row r="1556" spans="47:47" ht="12" customHeight="1">
      <c r="AU1556" s="44"/>
    </row>
    <row r="1557" spans="47:47" ht="12" customHeight="1">
      <c r="AU1557" s="44"/>
    </row>
    <row r="1558" spans="47:47" ht="12" customHeight="1">
      <c r="AU1558" s="44"/>
    </row>
    <row r="1559" spans="47:47" ht="12" customHeight="1">
      <c r="AU1559" s="44"/>
    </row>
    <row r="1560" spans="47:47" ht="12" customHeight="1">
      <c r="AU1560" s="44"/>
    </row>
    <row r="1561" spans="47:47" ht="12" customHeight="1">
      <c r="AU1561" s="44"/>
    </row>
    <row r="1562" spans="47:47" ht="12" customHeight="1">
      <c r="AU1562" s="44"/>
    </row>
    <row r="1563" spans="47:47" ht="12" customHeight="1">
      <c r="AU1563" s="44"/>
    </row>
    <row r="1564" spans="47:47" ht="12" customHeight="1">
      <c r="AU1564" s="44"/>
    </row>
    <row r="1565" spans="47:47" ht="12" customHeight="1">
      <c r="AU1565" s="44"/>
    </row>
    <row r="1566" spans="47:47" ht="12" customHeight="1">
      <c r="AU1566" s="44"/>
    </row>
    <row r="1567" spans="47:47" ht="12" customHeight="1">
      <c r="AU1567" s="44"/>
    </row>
    <row r="1568" spans="47:47" ht="12" customHeight="1">
      <c r="AU1568" s="44"/>
    </row>
    <row r="1569" spans="47:47" ht="12" customHeight="1">
      <c r="AU1569" s="44"/>
    </row>
    <row r="1570" spans="47:47" ht="12" customHeight="1">
      <c r="AU1570" s="44"/>
    </row>
    <row r="1571" spans="47:47" ht="12" customHeight="1">
      <c r="AU1571" s="44"/>
    </row>
    <row r="1572" spans="47:47" ht="12" customHeight="1">
      <c r="AU1572" s="44"/>
    </row>
    <row r="1573" spans="47:47" ht="12" customHeight="1">
      <c r="AU1573" s="44"/>
    </row>
    <row r="1574" spans="47:47" ht="12" customHeight="1">
      <c r="AU1574" s="44"/>
    </row>
    <row r="1575" spans="47:47" ht="12" customHeight="1">
      <c r="AU1575" s="44"/>
    </row>
    <row r="1576" spans="47:47" ht="12" customHeight="1">
      <c r="AU1576" s="44"/>
    </row>
    <row r="1577" spans="47:47" ht="12" customHeight="1">
      <c r="AU1577" s="44"/>
    </row>
    <row r="1578" spans="47:47" ht="12" customHeight="1">
      <c r="AU1578" s="44"/>
    </row>
    <row r="1579" spans="47:47" ht="12" customHeight="1">
      <c r="AU1579" s="44"/>
    </row>
    <row r="1580" spans="47:47" ht="12" customHeight="1">
      <c r="AU1580" s="44"/>
    </row>
    <row r="1581" spans="47:47" ht="12" customHeight="1">
      <c r="AU1581" s="44"/>
    </row>
    <row r="1582" spans="47:47" ht="12" customHeight="1">
      <c r="AU1582" s="44"/>
    </row>
    <row r="1583" spans="47:47" ht="12" customHeight="1">
      <c r="AU1583" s="44"/>
    </row>
    <row r="1584" spans="47:47" ht="12" customHeight="1">
      <c r="AU1584" s="44"/>
    </row>
    <row r="1585" spans="47:47" ht="12" customHeight="1">
      <c r="AU1585" s="44"/>
    </row>
    <row r="1586" spans="47:47" ht="12" customHeight="1">
      <c r="AU1586" s="44"/>
    </row>
    <row r="1587" spans="47:47" ht="12" customHeight="1">
      <c r="AU1587" s="44"/>
    </row>
    <row r="1588" spans="47:47" ht="12" customHeight="1">
      <c r="AU1588" s="44"/>
    </row>
    <row r="1589" spans="47:47" ht="12" customHeight="1">
      <c r="AU1589" s="44"/>
    </row>
    <row r="1590" spans="47:47" ht="12" customHeight="1">
      <c r="AU1590" s="44"/>
    </row>
    <row r="1591" spans="47:47" ht="12" customHeight="1">
      <c r="AU1591" s="44"/>
    </row>
    <row r="1592" spans="47:47" ht="12" customHeight="1">
      <c r="AU1592" s="44"/>
    </row>
    <row r="1593" spans="47:47" ht="12" customHeight="1">
      <c r="AU1593" s="44"/>
    </row>
    <row r="1594" spans="47:47" ht="12" customHeight="1">
      <c r="AU1594" s="44"/>
    </row>
    <row r="1595" spans="47:47" ht="12" customHeight="1">
      <c r="AU1595" s="44"/>
    </row>
    <row r="1596" spans="47:47" ht="12" customHeight="1">
      <c r="AU1596" s="44"/>
    </row>
    <row r="1597" spans="47:47" ht="12" customHeight="1">
      <c r="AU1597" s="44"/>
    </row>
    <row r="1598" spans="47:47" ht="12" customHeight="1">
      <c r="AU1598" s="44"/>
    </row>
    <row r="1599" spans="47:47" ht="12" customHeight="1">
      <c r="AU1599" s="44"/>
    </row>
    <row r="1600" spans="47:47" ht="12" customHeight="1">
      <c r="AU1600" s="44"/>
    </row>
    <row r="1601" spans="47:47" ht="12" customHeight="1">
      <c r="AU1601" s="44"/>
    </row>
    <row r="1602" spans="47:47" ht="12" customHeight="1">
      <c r="AU1602" s="44"/>
    </row>
    <row r="1603" spans="47:47" ht="12" customHeight="1">
      <c r="AU1603" s="44"/>
    </row>
    <row r="1604" spans="47:47" ht="12" customHeight="1">
      <c r="AU1604" s="44"/>
    </row>
    <row r="1605" spans="47:47" ht="12" customHeight="1">
      <c r="AU1605" s="44"/>
    </row>
    <row r="1606" spans="47:47" ht="12" customHeight="1">
      <c r="AU1606" s="44"/>
    </row>
    <row r="1607" spans="47:47" ht="12" customHeight="1">
      <c r="AU1607" s="44"/>
    </row>
    <row r="1608" spans="47:47" ht="12" customHeight="1">
      <c r="AU1608" s="44"/>
    </row>
    <row r="1609" spans="47:47" ht="12" customHeight="1">
      <c r="AU1609" s="44"/>
    </row>
    <row r="1610" spans="47:47" ht="12" customHeight="1">
      <c r="AU1610" s="44"/>
    </row>
    <row r="1611" spans="47:47" ht="12" customHeight="1">
      <c r="AU1611" s="44"/>
    </row>
    <row r="1612" spans="47:47" ht="12" customHeight="1">
      <c r="AU1612" s="44"/>
    </row>
    <row r="1613" spans="47:47" ht="12" customHeight="1">
      <c r="AU1613" s="44"/>
    </row>
    <row r="1614" spans="47:47" ht="12" customHeight="1">
      <c r="AU1614" s="44"/>
    </row>
    <row r="1615" spans="47:47" ht="12" customHeight="1">
      <c r="AU1615" s="44"/>
    </row>
    <row r="1616" spans="47:47" ht="12" customHeight="1">
      <c r="AU1616" s="44"/>
    </row>
    <row r="1617" spans="47:47" ht="12" customHeight="1">
      <c r="AU1617" s="44"/>
    </row>
    <row r="1618" spans="47:47" ht="12" customHeight="1">
      <c r="AU1618" s="44"/>
    </row>
    <row r="1619" spans="47:47" ht="12" customHeight="1">
      <c r="AU1619" s="44"/>
    </row>
    <row r="1620" spans="47:47" ht="12" customHeight="1">
      <c r="AU1620" s="44"/>
    </row>
    <row r="1621" spans="47:47" ht="12" customHeight="1">
      <c r="AU1621" s="44"/>
    </row>
    <row r="1622" spans="47:47" ht="12" customHeight="1">
      <c r="AU1622" s="44"/>
    </row>
    <row r="1623" spans="47:47" ht="12" customHeight="1">
      <c r="AU1623" s="44"/>
    </row>
    <row r="1624" spans="47:47" ht="12" customHeight="1">
      <c r="AU1624" s="44"/>
    </row>
    <row r="1625" spans="47:47" ht="12" customHeight="1">
      <c r="AU1625" s="44"/>
    </row>
    <row r="1626" spans="47:47" ht="12" customHeight="1">
      <c r="AU1626" s="44"/>
    </row>
    <row r="1627" spans="47:47" ht="12" customHeight="1">
      <c r="AU1627" s="44"/>
    </row>
    <row r="1628" spans="47:47" ht="12" customHeight="1">
      <c r="AU1628" s="44"/>
    </row>
    <row r="1629" spans="47:47" ht="12" customHeight="1">
      <c r="AU1629" s="44"/>
    </row>
    <row r="1630" spans="47:47" ht="12" customHeight="1">
      <c r="AU1630" s="44"/>
    </row>
    <row r="1631" spans="47:47" ht="12" customHeight="1">
      <c r="AU1631" s="44"/>
    </row>
    <row r="1632" spans="47:47" ht="12" customHeight="1">
      <c r="AU1632" s="44"/>
    </row>
    <row r="1633" spans="47:47" ht="12" customHeight="1">
      <c r="AU1633" s="44"/>
    </row>
    <row r="1634" spans="47:47" ht="12" customHeight="1">
      <c r="AU1634" s="44"/>
    </row>
    <row r="1635" spans="47:47" ht="12" customHeight="1">
      <c r="AU1635" s="44"/>
    </row>
    <row r="1636" spans="47:47" ht="12" customHeight="1">
      <c r="AU1636" s="44"/>
    </row>
    <row r="1637" spans="47:47" ht="12" customHeight="1">
      <c r="AU1637" s="44"/>
    </row>
    <row r="1638" spans="47:47" ht="12" customHeight="1">
      <c r="AU1638" s="44"/>
    </row>
    <row r="1639" spans="47:47" ht="12" customHeight="1">
      <c r="AU1639" s="44"/>
    </row>
    <row r="1640" spans="47:47" ht="12" customHeight="1">
      <c r="AU1640" s="44"/>
    </row>
    <row r="1641" spans="47:47" ht="12" customHeight="1">
      <c r="AU1641" s="44"/>
    </row>
    <row r="1642" spans="47:47" ht="12" customHeight="1">
      <c r="AU1642" s="44"/>
    </row>
    <row r="1643" spans="47:47" ht="12" customHeight="1">
      <c r="AU1643" s="44"/>
    </row>
    <row r="1644" spans="47:47" ht="12" customHeight="1">
      <c r="AU1644" s="44"/>
    </row>
    <row r="1645" spans="47:47" ht="12" customHeight="1">
      <c r="AU1645" s="44"/>
    </row>
    <row r="1646" spans="47:47" ht="12" customHeight="1">
      <c r="AU1646" s="44"/>
    </row>
    <row r="1647" spans="47:47" ht="12" customHeight="1">
      <c r="AU1647" s="44"/>
    </row>
    <row r="1648" spans="47:47" ht="12" customHeight="1">
      <c r="AU1648" s="44"/>
    </row>
    <row r="1649" spans="47:47" ht="12" customHeight="1">
      <c r="AU1649" s="44"/>
    </row>
    <row r="1650" spans="47:47" ht="12" customHeight="1">
      <c r="AU1650" s="44"/>
    </row>
    <row r="1651" spans="47:47" ht="12" customHeight="1">
      <c r="AU1651" s="44"/>
    </row>
    <row r="1652" spans="47:47" ht="12" customHeight="1">
      <c r="AU1652" s="44"/>
    </row>
    <row r="1653" spans="47:47" ht="12" customHeight="1">
      <c r="AU1653" s="44"/>
    </row>
    <row r="1654" spans="47:47" ht="12" customHeight="1">
      <c r="AU1654" s="44"/>
    </row>
    <row r="1655" spans="47:47" ht="12" customHeight="1">
      <c r="AU1655" s="44"/>
    </row>
    <row r="1656" spans="47:47" ht="12" customHeight="1">
      <c r="AU1656" s="44"/>
    </row>
    <row r="1657" spans="47:47" ht="12" customHeight="1">
      <c r="AU1657" s="44"/>
    </row>
    <row r="1658" spans="47:47" ht="12" customHeight="1">
      <c r="AU1658" s="44"/>
    </row>
    <row r="1659" spans="47:47" ht="12" customHeight="1">
      <c r="AU1659" s="44"/>
    </row>
    <row r="1660" spans="47:47" ht="12" customHeight="1">
      <c r="AU1660" s="44"/>
    </row>
    <row r="1661" spans="47:47" ht="12" customHeight="1">
      <c r="AU1661" s="44"/>
    </row>
    <row r="1662" spans="47:47" ht="12" customHeight="1">
      <c r="AU1662" s="44"/>
    </row>
    <row r="1663" spans="47:47" ht="12" customHeight="1">
      <c r="AU1663" s="44"/>
    </row>
    <row r="1664" spans="47:47" ht="12" customHeight="1">
      <c r="AU1664" s="44"/>
    </row>
    <row r="1665" spans="47:47" ht="12" customHeight="1">
      <c r="AU1665" s="44"/>
    </row>
    <row r="1666" spans="47:47" ht="12" customHeight="1">
      <c r="AU1666" s="44"/>
    </row>
    <row r="1667" spans="47:47" ht="12" customHeight="1">
      <c r="AU1667" s="44"/>
    </row>
    <row r="1668" spans="47:47" ht="12" customHeight="1">
      <c r="AU1668" s="44"/>
    </row>
    <row r="1669" spans="47:47" ht="12" customHeight="1">
      <c r="AU1669" s="44"/>
    </row>
    <row r="1670" spans="47:47" ht="12" customHeight="1">
      <c r="AU1670" s="44"/>
    </row>
    <row r="1671" spans="47:47" ht="12" customHeight="1">
      <c r="AU1671" s="44"/>
    </row>
    <row r="1672" spans="47:47" ht="12" customHeight="1">
      <c r="AU1672" s="44"/>
    </row>
    <row r="1673" spans="47:47" ht="12" customHeight="1">
      <c r="AU1673" s="44"/>
    </row>
    <row r="1674" spans="47:47" ht="12" customHeight="1">
      <c r="AU1674" s="44"/>
    </row>
    <row r="1675" spans="47:47" ht="12" customHeight="1">
      <c r="AU1675" s="44"/>
    </row>
    <row r="1676" spans="47:47" ht="12" customHeight="1">
      <c r="AU1676" s="44"/>
    </row>
    <row r="1677" spans="47:47" ht="12" customHeight="1">
      <c r="AU1677" s="44"/>
    </row>
    <row r="1678" spans="47:47" ht="12" customHeight="1">
      <c r="AU1678" s="44"/>
    </row>
    <row r="1679" spans="47:47" ht="12" customHeight="1">
      <c r="AU1679" s="44"/>
    </row>
    <row r="1680" spans="47:47" ht="12" customHeight="1">
      <c r="AU1680" s="44"/>
    </row>
    <row r="1681" spans="47:47" ht="12" customHeight="1">
      <c r="AU1681" s="44"/>
    </row>
    <row r="1682" spans="47:47" ht="12" customHeight="1">
      <c r="AU1682" s="44"/>
    </row>
    <row r="1683" spans="47:47" ht="12" customHeight="1">
      <c r="AU1683" s="44"/>
    </row>
    <row r="1684" spans="47:47" ht="12" customHeight="1">
      <c r="AU1684" s="44"/>
    </row>
    <row r="1685" spans="47:47" ht="12" customHeight="1">
      <c r="AU1685" s="44"/>
    </row>
    <row r="1686" spans="47:47" ht="12" customHeight="1">
      <c r="AU1686" s="44"/>
    </row>
    <row r="1687" spans="47:47" ht="12" customHeight="1">
      <c r="AU1687" s="44"/>
    </row>
    <row r="1688" spans="47:47" ht="12" customHeight="1">
      <c r="AU1688" s="44"/>
    </row>
    <row r="1689" spans="47:47" ht="12" customHeight="1">
      <c r="AU1689" s="44"/>
    </row>
    <row r="1690" spans="47:47" ht="12" customHeight="1">
      <c r="AU1690" s="44"/>
    </row>
    <row r="1691" spans="47:47" ht="12" customHeight="1">
      <c r="AU1691" s="44"/>
    </row>
    <row r="1692" spans="47:47" ht="12" customHeight="1">
      <c r="AU1692" s="44"/>
    </row>
    <row r="1693" spans="47:47" ht="12" customHeight="1">
      <c r="AU1693" s="44"/>
    </row>
    <row r="1694" spans="47:47" ht="12" customHeight="1">
      <c r="AU1694" s="44"/>
    </row>
    <row r="1695" spans="47:47" ht="12" customHeight="1">
      <c r="AU1695" s="44"/>
    </row>
    <row r="1696" spans="47:47" ht="12" customHeight="1">
      <c r="AU1696" s="44"/>
    </row>
    <row r="1697" spans="47:47" ht="12" customHeight="1">
      <c r="AU1697" s="44"/>
    </row>
    <row r="1698" spans="47:47" ht="12" customHeight="1">
      <c r="AU1698" s="44"/>
    </row>
    <row r="1699" spans="47:47" ht="12" customHeight="1">
      <c r="AU1699" s="44"/>
    </row>
    <row r="1700" spans="47:47" ht="12" customHeight="1">
      <c r="AU1700" s="44"/>
    </row>
    <row r="1701" spans="47:47" ht="12" customHeight="1">
      <c r="AU1701" s="44"/>
    </row>
    <row r="1702" spans="47:47" ht="12" customHeight="1">
      <c r="AU1702" s="44"/>
    </row>
    <row r="1703" spans="47:47" ht="12" customHeight="1">
      <c r="AU1703" s="44"/>
    </row>
    <row r="1704" spans="47:47" ht="12" customHeight="1">
      <c r="AU1704" s="44"/>
    </row>
    <row r="1705" spans="47:47" ht="12" customHeight="1">
      <c r="AU1705" s="44"/>
    </row>
    <row r="1706" spans="47:47" ht="12" customHeight="1">
      <c r="AU1706" s="44"/>
    </row>
    <row r="1707" spans="47:47" ht="12" customHeight="1">
      <c r="AU1707" s="44"/>
    </row>
    <row r="1708" spans="47:47" ht="12" customHeight="1">
      <c r="AU1708" s="44"/>
    </row>
    <row r="1709" spans="47:47" ht="12" customHeight="1">
      <c r="AU1709" s="44"/>
    </row>
    <row r="1710" spans="47:47" ht="12" customHeight="1">
      <c r="AU1710" s="44"/>
    </row>
    <row r="1711" spans="47:47" ht="12" customHeight="1">
      <c r="AU1711" s="44"/>
    </row>
    <row r="1712" spans="47:47" ht="12" customHeight="1">
      <c r="AU1712" s="44"/>
    </row>
    <row r="1713" spans="47:47" ht="12" customHeight="1">
      <c r="AU1713" s="44"/>
    </row>
    <row r="1714" spans="47:47" ht="12" customHeight="1">
      <c r="AU1714" s="44"/>
    </row>
    <row r="1715" spans="47:47" ht="12" customHeight="1">
      <c r="AU1715" s="44"/>
    </row>
    <row r="1716" spans="47:47" ht="12" customHeight="1">
      <c r="AU1716" s="44"/>
    </row>
    <row r="1717" spans="47:47" ht="12" customHeight="1">
      <c r="AU1717" s="44"/>
    </row>
    <row r="1718" spans="47:47" ht="12" customHeight="1">
      <c r="AU1718" s="44"/>
    </row>
    <row r="1719" spans="47:47" ht="12" customHeight="1">
      <c r="AU1719" s="44"/>
    </row>
    <row r="1720" spans="47:47" ht="12" customHeight="1">
      <c r="AU1720" s="44"/>
    </row>
    <row r="1721" spans="47:47" ht="12" customHeight="1">
      <c r="AU1721" s="44"/>
    </row>
    <row r="1722" spans="47:47" ht="12" customHeight="1">
      <c r="AU1722" s="44"/>
    </row>
    <row r="1723" spans="47:47" ht="12" customHeight="1">
      <c r="AU1723" s="44"/>
    </row>
    <row r="1724" spans="47:47" ht="12" customHeight="1">
      <c r="AU1724" s="44"/>
    </row>
    <row r="1725" spans="47:47" ht="12" customHeight="1">
      <c r="AU1725" s="44"/>
    </row>
    <row r="1726" spans="47:47" ht="12" customHeight="1">
      <c r="AU1726" s="44"/>
    </row>
    <row r="1727" spans="47:47" ht="12" customHeight="1">
      <c r="AU1727" s="44"/>
    </row>
    <row r="1728" spans="47:47" ht="12" customHeight="1">
      <c r="AU1728" s="44"/>
    </row>
    <row r="1729" spans="47:47" ht="12" customHeight="1">
      <c r="AU1729" s="44"/>
    </row>
    <row r="1730" spans="47:47" ht="12" customHeight="1">
      <c r="AU1730" s="44"/>
    </row>
    <row r="1731" spans="47:47" ht="12" customHeight="1">
      <c r="AU1731" s="44"/>
    </row>
    <row r="1732" spans="47:47" ht="12" customHeight="1">
      <c r="AU1732" s="44"/>
    </row>
    <row r="1733" spans="47:47" ht="12" customHeight="1">
      <c r="AU1733" s="44"/>
    </row>
    <row r="1734" spans="47:47" ht="12" customHeight="1">
      <c r="AU1734" s="44"/>
    </row>
    <row r="1735" spans="47:47" ht="12" customHeight="1">
      <c r="AU1735" s="44"/>
    </row>
    <row r="1736" spans="47:47" ht="12" customHeight="1">
      <c r="AU1736" s="44"/>
    </row>
    <row r="1737" spans="47:47" ht="12" customHeight="1">
      <c r="AU1737" s="44"/>
    </row>
    <row r="1738" spans="47:47" ht="12" customHeight="1">
      <c r="AU1738" s="44"/>
    </row>
    <row r="1739" spans="47:47" ht="12" customHeight="1">
      <c r="AU1739" s="44"/>
    </row>
    <row r="1740" spans="47:47" ht="12" customHeight="1">
      <c r="AU1740" s="44"/>
    </row>
    <row r="1741" spans="47:47" ht="12" customHeight="1">
      <c r="AU1741" s="44"/>
    </row>
    <row r="1742" spans="47:47" ht="12" customHeight="1">
      <c r="AU1742" s="44"/>
    </row>
    <row r="1743" spans="47:47" ht="12" customHeight="1">
      <c r="AU1743" s="44"/>
    </row>
    <row r="1744" spans="47:47" ht="12" customHeight="1">
      <c r="AU1744" s="44"/>
    </row>
    <row r="1745" spans="47:47" ht="12" customHeight="1">
      <c r="AU1745" s="44"/>
    </row>
    <row r="1746" spans="47:47" ht="12" customHeight="1">
      <c r="AU1746" s="44"/>
    </row>
    <row r="1747" spans="47:47" ht="12" customHeight="1">
      <c r="AU1747" s="44"/>
    </row>
    <row r="1748" spans="47:47" ht="12" customHeight="1">
      <c r="AU1748" s="44"/>
    </row>
    <row r="1749" spans="47:47" ht="12" customHeight="1">
      <c r="AU1749" s="44"/>
    </row>
    <row r="1750" spans="47:47" ht="12" customHeight="1">
      <c r="AU1750" s="44"/>
    </row>
    <row r="1751" spans="47:47" ht="12" customHeight="1">
      <c r="AU1751" s="44"/>
    </row>
    <row r="1752" spans="47:47" ht="12" customHeight="1">
      <c r="AU1752" s="44"/>
    </row>
    <row r="1753" spans="47:47" ht="12" customHeight="1">
      <c r="AU1753" s="44"/>
    </row>
    <row r="1754" spans="47:47" ht="12" customHeight="1">
      <c r="AU1754" s="44"/>
    </row>
    <row r="1755" spans="47:47" ht="12" customHeight="1">
      <c r="AU1755" s="44"/>
    </row>
    <row r="1756" spans="47:47" ht="12" customHeight="1">
      <c r="AU1756" s="44"/>
    </row>
    <row r="1757" spans="47:47" ht="12" customHeight="1">
      <c r="AU1757" s="44"/>
    </row>
    <row r="1758" spans="47:47" ht="12" customHeight="1">
      <c r="AU1758" s="44"/>
    </row>
    <row r="1759" spans="47:47" ht="12" customHeight="1">
      <c r="AU1759" s="44"/>
    </row>
    <row r="1760" spans="47:47" ht="12" customHeight="1">
      <c r="AU1760" s="44"/>
    </row>
    <row r="1761" spans="47:47" ht="12" customHeight="1">
      <c r="AU1761" s="44"/>
    </row>
    <row r="1762" spans="47:47" ht="12" customHeight="1">
      <c r="AU1762" s="44"/>
    </row>
    <row r="1763" spans="47:47" ht="12" customHeight="1">
      <c r="AU1763" s="44"/>
    </row>
    <row r="1764" spans="47:47" ht="12" customHeight="1">
      <c r="AU1764" s="44"/>
    </row>
    <row r="1765" spans="47:47" ht="12" customHeight="1">
      <c r="AU1765" s="44"/>
    </row>
    <row r="1766" spans="47:47" ht="12" customHeight="1">
      <c r="AU1766" s="44"/>
    </row>
    <row r="1767" spans="47:47" ht="12" customHeight="1">
      <c r="AU1767" s="44"/>
    </row>
    <row r="1768" spans="47:47" ht="12" customHeight="1">
      <c r="AU1768" s="44"/>
    </row>
    <row r="1769" spans="47:47" ht="12" customHeight="1">
      <c r="AU1769" s="44"/>
    </row>
    <row r="1770" spans="47:47" ht="12" customHeight="1">
      <c r="AU1770" s="44"/>
    </row>
    <row r="1771" spans="47:47" ht="12" customHeight="1">
      <c r="AU1771" s="44"/>
    </row>
    <row r="1772" spans="47:47" ht="12" customHeight="1">
      <c r="AU1772" s="44"/>
    </row>
    <row r="1773" spans="47:47" ht="12" customHeight="1">
      <c r="AU1773" s="44"/>
    </row>
    <row r="1774" spans="47:47" ht="12" customHeight="1">
      <c r="AU1774" s="44"/>
    </row>
    <row r="1775" spans="47:47" ht="12" customHeight="1">
      <c r="AU1775" s="44"/>
    </row>
    <row r="1776" spans="47:47" ht="12" customHeight="1">
      <c r="AU1776" s="44"/>
    </row>
    <row r="1777" spans="47:47" ht="12" customHeight="1">
      <c r="AU1777" s="44"/>
    </row>
    <row r="1778" spans="47:47" ht="12" customHeight="1">
      <c r="AU1778" s="44"/>
    </row>
    <row r="1779" spans="47:47" ht="12" customHeight="1">
      <c r="AU1779" s="44"/>
    </row>
    <row r="1780" spans="47:47" ht="12" customHeight="1">
      <c r="AU1780" s="44"/>
    </row>
    <row r="1781" spans="47:47" ht="12" customHeight="1">
      <c r="AU1781" s="44"/>
    </row>
    <row r="1782" spans="47:47" ht="12" customHeight="1">
      <c r="AU1782" s="44"/>
    </row>
    <row r="1783" spans="47:47" ht="12" customHeight="1">
      <c r="AU1783" s="44"/>
    </row>
    <row r="1784" spans="47:47" ht="12" customHeight="1">
      <c r="AU1784" s="44"/>
    </row>
    <row r="1785" spans="47:47" ht="12" customHeight="1">
      <c r="AU1785" s="44"/>
    </row>
    <row r="1786" spans="47:47" ht="12" customHeight="1">
      <c r="AU1786" s="44"/>
    </row>
    <row r="1787" spans="47:47" ht="12" customHeight="1">
      <c r="AU1787" s="44"/>
    </row>
    <row r="1788" spans="47:47" ht="12" customHeight="1">
      <c r="AU1788" s="44"/>
    </row>
    <row r="1789" spans="47:47" ht="12" customHeight="1">
      <c r="AU1789" s="44"/>
    </row>
    <row r="1790" spans="47:47" ht="12" customHeight="1">
      <c r="AU1790" s="44"/>
    </row>
    <row r="1791" spans="47:47" ht="12" customHeight="1">
      <c r="AU1791" s="44"/>
    </row>
    <row r="1792" spans="47:47" ht="12" customHeight="1">
      <c r="AU1792" s="44"/>
    </row>
    <row r="1793" spans="47:47" ht="12" customHeight="1">
      <c r="AU1793" s="44"/>
    </row>
    <row r="1794" spans="47:47" ht="12" customHeight="1">
      <c r="AU1794" s="44"/>
    </row>
    <row r="1795" spans="47:47" ht="12" customHeight="1">
      <c r="AU1795" s="44"/>
    </row>
    <row r="1796" spans="47:47" ht="12" customHeight="1">
      <c r="AU1796" s="44"/>
    </row>
    <row r="1797" spans="47:47" ht="12" customHeight="1">
      <c r="AU1797" s="44"/>
    </row>
    <row r="1798" spans="47:47" ht="12" customHeight="1">
      <c r="AU1798" s="44"/>
    </row>
    <row r="1799" spans="47:47" ht="12" customHeight="1">
      <c r="AU1799" s="44"/>
    </row>
    <row r="1800" spans="47:47" ht="12" customHeight="1">
      <c r="AU1800" s="44"/>
    </row>
    <row r="1801" spans="47:47" ht="12" customHeight="1">
      <c r="AU1801" s="44"/>
    </row>
    <row r="1802" spans="47:47" ht="12" customHeight="1">
      <c r="AU1802" s="44"/>
    </row>
    <row r="1803" spans="47:47" ht="12" customHeight="1">
      <c r="AU1803" s="44"/>
    </row>
    <row r="1804" spans="47:47" ht="12" customHeight="1">
      <c r="AU1804" s="44"/>
    </row>
    <row r="1805" spans="47:47" ht="12" customHeight="1">
      <c r="AU1805" s="44"/>
    </row>
    <row r="1806" spans="47:47" ht="12" customHeight="1">
      <c r="AU1806" s="44"/>
    </row>
    <row r="1807" spans="47:47" ht="12" customHeight="1">
      <c r="AU1807" s="44"/>
    </row>
    <row r="1808" spans="47:47" ht="12" customHeight="1">
      <c r="AU1808" s="44"/>
    </row>
    <row r="1809" spans="47:47" ht="12" customHeight="1">
      <c r="AU1809" s="44"/>
    </row>
    <row r="1810" spans="47:47" ht="12" customHeight="1">
      <c r="AU1810" s="44"/>
    </row>
    <row r="1811" spans="47:47" ht="12" customHeight="1">
      <c r="AU1811" s="44"/>
    </row>
    <row r="1812" spans="47:47" ht="12" customHeight="1">
      <c r="AU1812" s="44"/>
    </row>
    <row r="1813" spans="47:47" ht="12" customHeight="1">
      <c r="AU1813" s="44"/>
    </row>
    <row r="1814" spans="47:47" ht="12" customHeight="1">
      <c r="AU1814" s="44"/>
    </row>
    <row r="1815" spans="47:47" ht="12" customHeight="1">
      <c r="AU1815" s="44"/>
    </row>
    <row r="1816" spans="47:47" ht="12" customHeight="1">
      <c r="AU1816" s="44"/>
    </row>
    <row r="1817" spans="47:47" ht="12" customHeight="1">
      <c r="AU1817" s="44"/>
    </row>
    <row r="1818" spans="47:47" ht="12" customHeight="1">
      <c r="AU1818" s="44"/>
    </row>
    <row r="1819" spans="47:47" ht="12" customHeight="1">
      <c r="AU1819" s="44"/>
    </row>
    <row r="1820" spans="47:47" ht="12" customHeight="1">
      <c r="AU1820" s="44"/>
    </row>
    <row r="1821" spans="47:47" ht="12" customHeight="1">
      <c r="AU1821" s="44"/>
    </row>
    <row r="1822" spans="47:47" ht="12" customHeight="1">
      <c r="AU1822" s="44"/>
    </row>
    <row r="1823" spans="47:47" ht="12" customHeight="1">
      <c r="AU1823" s="44"/>
    </row>
    <row r="1824" spans="47:47" ht="12" customHeight="1">
      <c r="AU1824" s="44"/>
    </row>
    <row r="1825" spans="47:47" ht="12" customHeight="1">
      <c r="AU1825" s="44"/>
    </row>
    <row r="1826" spans="47:47" ht="12" customHeight="1">
      <c r="AU1826" s="44"/>
    </row>
    <row r="1827" spans="47:47" ht="12" customHeight="1">
      <c r="AU1827" s="44"/>
    </row>
    <row r="1828" spans="47:47" ht="12" customHeight="1">
      <c r="AU1828" s="44"/>
    </row>
    <row r="1829" spans="47:47" ht="12" customHeight="1">
      <c r="AU1829" s="44"/>
    </row>
    <row r="1830" spans="47:47" ht="12" customHeight="1">
      <c r="AU1830" s="44"/>
    </row>
    <row r="1831" spans="47:47" ht="12" customHeight="1">
      <c r="AU1831" s="44"/>
    </row>
    <row r="1832" spans="47:47" ht="12" customHeight="1">
      <c r="AU1832" s="44"/>
    </row>
    <row r="1833" spans="47:47" ht="12" customHeight="1">
      <c r="AU1833" s="44"/>
    </row>
    <row r="1834" spans="47:47" ht="12" customHeight="1">
      <c r="AU1834" s="44"/>
    </row>
    <row r="1835" spans="47:47" ht="12" customHeight="1">
      <c r="AU1835" s="44"/>
    </row>
    <row r="1836" spans="47:47" ht="12" customHeight="1">
      <c r="AU1836" s="44"/>
    </row>
    <row r="1837" spans="47:47" ht="12" customHeight="1">
      <c r="AU1837" s="44"/>
    </row>
    <row r="1838" spans="47:47" ht="12" customHeight="1">
      <c r="AU1838" s="44"/>
    </row>
    <row r="1839" spans="47:47" ht="12" customHeight="1">
      <c r="AU1839" s="44"/>
    </row>
    <row r="1840" spans="47:47" ht="12" customHeight="1">
      <c r="AU1840" s="44"/>
    </row>
    <row r="1841" spans="47:47" ht="12" customHeight="1">
      <c r="AU1841" s="44"/>
    </row>
    <row r="1842" spans="47:47" ht="12" customHeight="1">
      <c r="AU1842" s="44"/>
    </row>
    <row r="1843" spans="47:47" ht="12" customHeight="1">
      <c r="AU1843" s="44"/>
    </row>
    <row r="1844" spans="47:47" ht="12" customHeight="1">
      <c r="AU1844" s="44"/>
    </row>
    <row r="1845" spans="47:47" ht="12" customHeight="1">
      <c r="AU1845" s="44"/>
    </row>
    <row r="1846" spans="47:47" ht="12" customHeight="1">
      <c r="AU1846" s="44"/>
    </row>
    <row r="1847" spans="47:47" ht="12" customHeight="1">
      <c r="AU1847" s="44"/>
    </row>
    <row r="1848" spans="47:47" ht="12" customHeight="1">
      <c r="AU1848" s="44"/>
    </row>
    <row r="1849" spans="47:47" ht="12" customHeight="1">
      <c r="AU1849" s="44"/>
    </row>
    <row r="1850" spans="47:47" ht="12" customHeight="1">
      <c r="AU1850" s="44"/>
    </row>
    <row r="1851" spans="47:47" ht="12" customHeight="1">
      <c r="AU1851" s="44"/>
    </row>
    <row r="1852" spans="47:47" ht="12" customHeight="1">
      <c r="AU1852" s="44"/>
    </row>
    <row r="1853" spans="47:47" ht="12" customHeight="1">
      <c r="AU1853" s="44"/>
    </row>
    <row r="1854" spans="47:47" ht="12" customHeight="1">
      <c r="AU1854" s="44"/>
    </row>
    <row r="1855" spans="47:47" ht="12" customHeight="1">
      <c r="AU1855" s="44"/>
    </row>
    <row r="1856" spans="47:47" ht="12" customHeight="1">
      <c r="AU1856" s="44"/>
    </row>
    <row r="1857" spans="47:47" ht="12" customHeight="1">
      <c r="AU1857" s="44"/>
    </row>
    <row r="1858" spans="47:47" ht="12" customHeight="1">
      <c r="AU1858" s="44"/>
    </row>
    <row r="1859" spans="47:47" ht="12" customHeight="1">
      <c r="AU1859" s="44"/>
    </row>
    <row r="1860" spans="47:47" ht="12" customHeight="1">
      <c r="AU1860" s="44"/>
    </row>
    <row r="1861" spans="47:47" ht="12" customHeight="1">
      <c r="AU1861" s="44"/>
    </row>
    <row r="1862" spans="47:47" ht="12" customHeight="1">
      <c r="AU1862" s="44"/>
    </row>
    <row r="1863" spans="47:47" ht="12" customHeight="1">
      <c r="AU1863" s="44"/>
    </row>
    <row r="1864" spans="47:47" ht="12" customHeight="1">
      <c r="AU1864" s="44"/>
    </row>
    <row r="1865" spans="47:47" ht="12" customHeight="1">
      <c r="AU1865" s="44"/>
    </row>
    <row r="1866" spans="47:47" ht="12" customHeight="1">
      <c r="AU1866" s="44"/>
    </row>
    <row r="1867" spans="47:47" ht="12" customHeight="1">
      <c r="AU1867" s="44"/>
    </row>
    <row r="1868" spans="47:47" ht="12" customHeight="1">
      <c r="AU1868" s="44"/>
    </row>
    <row r="1869" spans="47:47" ht="12" customHeight="1">
      <c r="AU1869" s="44"/>
    </row>
    <row r="1870" spans="47:47" ht="12" customHeight="1">
      <c r="AU1870" s="44"/>
    </row>
    <row r="1871" spans="47:47" ht="12" customHeight="1">
      <c r="AU1871" s="44"/>
    </row>
    <row r="1872" spans="47:47" ht="12" customHeight="1">
      <c r="AU1872" s="44"/>
    </row>
    <row r="1873" spans="47:47" ht="12" customHeight="1">
      <c r="AU1873" s="44"/>
    </row>
    <row r="1874" spans="47:47" ht="12" customHeight="1">
      <c r="AU1874" s="44"/>
    </row>
    <row r="1875" spans="47:47" ht="12" customHeight="1">
      <c r="AU1875" s="44"/>
    </row>
    <row r="1876" spans="47:47" ht="12" customHeight="1">
      <c r="AU1876" s="44"/>
    </row>
    <row r="1877" spans="47:47" ht="12" customHeight="1">
      <c r="AU1877" s="44"/>
    </row>
    <row r="1878" spans="47:47" ht="12" customHeight="1">
      <c r="AU1878" s="44"/>
    </row>
    <row r="1879" spans="47:47" ht="12" customHeight="1">
      <c r="AU1879" s="44"/>
    </row>
    <row r="1880" spans="47:47" ht="12" customHeight="1">
      <c r="AU1880" s="44"/>
    </row>
    <row r="1881" spans="47:47" ht="12" customHeight="1">
      <c r="AU1881" s="44"/>
    </row>
    <row r="1882" spans="47:47" ht="12" customHeight="1">
      <c r="AU1882" s="44"/>
    </row>
    <row r="1883" spans="47:47" ht="12" customHeight="1">
      <c r="AU1883" s="44"/>
    </row>
    <row r="1884" spans="47:47" ht="12" customHeight="1">
      <c r="AU1884" s="44"/>
    </row>
    <row r="1885" spans="47:47" ht="12" customHeight="1">
      <c r="AU1885" s="44"/>
    </row>
    <row r="1886" spans="47:47" ht="12" customHeight="1">
      <c r="AU1886" s="44"/>
    </row>
    <row r="1887" spans="47:47" ht="12" customHeight="1">
      <c r="AU1887" s="44"/>
    </row>
    <row r="1888" spans="47:47" ht="12" customHeight="1">
      <c r="AU1888" s="44"/>
    </row>
    <row r="1889" spans="47:47" ht="12" customHeight="1">
      <c r="AU1889" s="44"/>
    </row>
    <row r="1890" spans="47:47" ht="12" customHeight="1">
      <c r="AU1890" s="44"/>
    </row>
    <row r="1891" spans="47:47" ht="12" customHeight="1">
      <c r="AU1891" s="44"/>
    </row>
    <row r="1892" spans="47:47" ht="12" customHeight="1">
      <c r="AU1892" s="44"/>
    </row>
    <row r="1893" spans="47:47" ht="12" customHeight="1">
      <c r="AU1893" s="44"/>
    </row>
    <row r="1894" spans="47:47" ht="12" customHeight="1">
      <c r="AU1894" s="44"/>
    </row>
    <row r="1895" spans="47:47" ht="12" customHeight="1">
      <c r="AU1895" s="44"/>
    </row>
    <row r="1896" spans="47:47" ht="12" customHeight="1">
      <c r="AU1896" s="44"/>
    </row>
    <row r="1897" spans="47:47" ht="12" customHeight="1">
      <c r="AU1897" s="44"/>
    </row>
    <row r="1898" spans="47:47" ht="12" customHeight="1">
      <c r="AU1898" s="44"/>
    </row>
    <row r="1899" spans="47:47" ht="12" customHeight="1">
      <c r="AU1899" s="44"/>
    </row>
    <row r="1900" spans="47:47" ht="12" customHeight="1">
      <c r="AU1900" s="44"/>
    </row>
    <row r="1901" spans="47:47" ht="12" customHeight="1">
      <c r="AU1901" s="44"/>
    </row>
    <row r="1902" spans="47:47" ht="12" customHeight="1">
      <c r="AU1902" s="44"/>
    </row>
    <row r="1903" spans="47:47" ht="12" customHeight="1">
      <c r="AU1903" s="44"/>
    </row>
    <row r="1904" spans="47:47" ht="12" customHeight="1">
      <c r="AU1904" s="44"/>
    </row>
    <row r="1905" spans="47:47" ht="12" customHeight="1">
      <c r="AU1905" s="44"/>
    </row>
    <row r="1906" spans="47:47" ht="12" customHeight="1">
      <c r="AU1906" s="44"/>
    </row>
    <row r="1907" spans="47:47" ht="12" customHeight="1">
      <c r="AU1907" s="44"/>
    </row>
    <row r="1908" spans="47:47" ht="12" customHeight="1">
      <c r="AU1908" s="44"/>
    </row>
    <row r="1909" spans="47:47" ht="12" customHeight="1">
      <c r="AU1909" s="44"/>
    </row>
    <row r="1910" spans="47:47" ht="12" customHeight="1">
      <c r="AU1910" s="44"/>
    </row>
    <row r="1911" spans="47:47" ht="12" customHeight="1">
      <c r="AU1911" s="44"/>
    </row>
    <row r="1912" spans="47:47" ht="12" customHeight="1">
      <c r="AU1912" s="44"/>
    </row>
    <row r="1913" spans="47:47" ht="12" customHeight="1">
      <c r="AU1913" s="44"/>
    </row>
    <row r="1914" spans="47:47" ht="12" customHeight="1">
      <c r="AU1914" s="44"/>
    </row>
    <row r="1915" spans="47:47" ht="12" customHeight="1">
      <c r="AU1915" s="44"/>
    </row>
    <row r="1916" spans="47:47" ht="12" customHeight="1">
      <c r="AU1916" s="44"/>
    </row>
    <row r="1917" spans="47:47" ht="12" customHeight="1">
      <c r="AU1917" s="44"/>
    </row>
    <row r="1918" spans="47:47" ht="12" customHeight="1">
      <c r="AU1918" s="44"/>
    </row>
    <row r="1919" spans="47:47" ht="12" customHeight="1">
      <c r="AU1919" s="44"/>
    </row>
    <row r="1920" spans="47:47" ht="12" customHeight="1">
      <c r="AU1920" s="44"/>
    </row>
    <row r="1921" spans="47:47" ht="12" customHeight="1">
      <c r="AU1921" s="44"/>
    </row>
    <row r="1922" spans="47:47" ht="12" customHeight="1">
      <c r="AU1922" s="44"/>
    </row>
    <row r="1923" spans="47:47" ht="12" customHeight="1">
      <c r="AU1923" s="44"/>
    </row>
    <row r="1924" spans="47:47" ht="12" customHeight="1">
      <c r="AU1924" s="44"/>
    </row>
    <row r="1925" spans="47:47" ht="12" customHeight="1">
      <c r="AU1925" s="44"/>
    </row>
    <row r="1926" spans="47:47" ht="12" customHeight="1">
      <c r="AU1926" s="44"/>
    </row>
    <row r="1927" spans="47:47" ht="12" customHeight="1">
      <c r="AU1927" s="44"/>
    </row>
    <row r="1928" spans="47:47" ht="12" customHeight="1">
      <c r="AU1928" s="44"/>
    </row>
    <row r="1929" spans="47:47" ht="12" customHeight="1">
      <c r="AU1929" s="44"/>
    </row>
    <row r="1930" spans="47:47" ht="12" customHeight="1">
      <c r="AU1930" s="44"/>
    </row>
    <row r="1931" spans="47:47" ht="12" customHeight="1">
      <c r="AU1931" s="44"/>
    </row>
    <row r="1932" spans="47:47" ht="12" customHeight="1">
      <c r="AU1932" s="44"/>
    </row>
    <row r="1933" spans="47:47" ht="12" customHeight="1">
      <c r="AU1933" s="44"/>
    </row>
    <row r="1934" spans="47:47" ht="12" customHeight="1">
      <c r="AU1934" s="44"/>
    </row>
    <row r="1935" spans="47:47" ht="12" customHeight="1">
      <c r="AU1935" s="44"/>
    </row>
    <row r="1936" spans="47:47" ht="12" customHeight="1">
      <c r="AU1936" s="44"/>
    </row>
    <row r="1937" spans="47:47" ht="12" customHeight="1">
      <c r="AU1937" s="44"/>
    </row>
    <row r="1938" spans="47:47" ht="12" customHeight="1">
      <c r="AU1938" s="44"/>
    </row>
    <row r="1939" spans="47:47" ht="12" customHeight="1">
      <c r="AU1939" s="44"/>
    </row>
    <row r="1940" spans="47:47" ht="12" customHeight="1">
      <c r="AU1940" s="44"/>
    </row>
    <row r="1941" spans="47:47" ht="12" customHeight="1">
      <c r="AU1941" s="44"/>
    </row>
    <row r="1942" spans="47:47" ht="12" customHeight="1">
      <c r="AU1942" s="44"/>
    </row>
    <row r="1943" spans="47:47" ht="12" customHeight="1">
      <c r="AU1943" s="44"/>
    </row>
    <row r="1944" spans="47:47" ht="12" customHeight="1">
      <c r="AU1944" s="44"/>
    </row>
    <row r="1945" spans="47:47" ht="12" customHeight="1">
      <c r="AU1945" s="44"/>
    </row>
    <row r="1946" spans="47:47" ht="12" customHeight="1">
      <c r="AU1946" s="44"/>
    </row>
    <row r="1947" spans="47:47" ht="12" customHeight="1">
      <c r="AU1947" s="44"/>
    </row>
    <row r="1948" spans="47:47" ht="12" customHeight="1">
      <c r="AU1948" s="44"/>
    </row>
    <row r="1949" spans="47:47" ht="12" customHeight="1">
      <c r="AU1949" s="44"/>
    </row>
    <row r="1950" spans="47:47" ht="12" customHeight="1">
      <c r="AU1950" s="44"/>
    </row>
    <row r="1951" spans="47:47" ht="12" customHeight="1">
      <c r="AU1951" s="44"/>
    </row>
    <row r="1952" spans="47:47" ht="12" customHeight="1">
      <c r="AU1952" s="44"/>
    </row>
    <row r="1953" spans="47:47" ht="12" customHeight="1">
      <c r="AU1953" s="44"/>
    </row>
    <row r="1954" spans="47:47" ht="12" customHeight="1">
      <c r="AU1954" s="44"/>
    </row>
    <row r="1955" spans="47:47" ht="12" customHeight="1">
      <c r="AU1955" s="44"/>
    </row>
    <row r="1956" spans="47:47" ht="12" customHeight="1">
      <c r="AU1956" s="44"/>
    </row>
    <row r="1957" spans="47:47" ht="12" customHeight="1">
      <c r="AU1957" s="44"/>
    </row>
    <row r="1958" spans="47:47" ht="12" customHeight="1">
      <c r="AU1958" s="44"/>
    </row>
    <row r="1959" spans="47:47" ht="12" customHeight="1">
      <c r="AU1959" s="44"/>
    </row>
    <row r="1960" spans="47:47" ht="12" customHeight="1">
      <c r="AU1960" s="44"/>
    </row>
    <row r="1961" spans="47:47" ht="12" customHeight="1">
      <c r="AU1961" s="44"/>
    </row>
    <row r="1962" spans="47:47" ht="12" customHeight="1">
      <c r="AU1962" s="44"/>
    </row>
    <row r="1963" spans="47:47" ht="12" customHeight="1">
      <c r="AU1963" s="44"/>
    </row>
    <row r="1964" spans="47:47" ht="12" customHeight="1">
      <c r="AU1964" s="44"/>
    </row>
    <row r="1965" spans="47:47" ht="12" customHeight="1">
      <c r="AU1965" s="44"/>
    </row>
    <row r="1966" spans="47:47" ht="12" customHeight="1">
      <c r="AU1966" s="44"/>
    </row>
    <row r="1967" spans="47:47" ht="12" customHeight="1">
      <c r="AU1967" s="44"/>
    </row>
    <row r="1968" spans="47:47" ht="12" customHeight="1">
      <c r="AU1968" s="44"/>
    </row>
    <row r="1969" spans="47:47" ht="12" customHeight="1">
      <c r="AU1969" s="44"/>
    </row>
    <row r="1970" spans="47:47" ht="12" customHeight="1">
      <c r="AU1970" s="44"/>
    </row>
    <row r="1971" spans="47:47" ht="12" customHeight="1">
      <c r="AU1971" s="44"/>
    </row>
    <row r="1972" spans="47:47" ht="12" customHeight="1">
      <c r="AU1972" s="44"/>
    </row>
    <row r="1973" spans="47:47" ht="12" customHeight="1">
      <c r="AU1973" s="44"/>
    </row>
    <row r="1974" spans="47:47" ht="12" customHeight="1">
      <c r="AU1974" s="44"/>
    </row>
    <row r="1975" spans="47:47" ht="12" customHeight="1">
      <c r="AU1975" s="44"/>
    </row>
    <row r="1976" spans="47:47" ht="12" customHeight="1">
      <c r="AU1976" s="44"/>
    </row>
    <row r="1977" spans="47:47" ht="12" customHeight="1">
      <c r="AU1977" s="44"/>
    </row>
    <row r="1978" spans="47:47" ht="12" customHeight="1">
      <c r="AU1978" s="44"/>
    </row>
    <row r="1979" spans="47:47" ht="12" customHeight="1">
      <c r="AU1979" s="44"/>
    </row>
    <row r="1980" spans="47:47" ht="12" customHeight="1">
      <c r="AU1980" s="44"/>
    </row>
    <row r="1981" spans="47:47" ht="12" customHeight="1">
      <c r="AU1981" s="44"/>
    </row>
    <row r="1982" spans="47:47" ht="12" customHeight="1">
      <c r="AU1982" s="44"/>
    </row>
    <row r="1983" spans="47:47" ht="12" customHeight="1">
      <c r="AU1983" s="44"/>
    </row>
    <row r="1984" spans="47:47" ht="12" customHeight="1">
      <c r="AU1984" s="44"/>
    </row>
    <row r="1985" spans="47:47" ht="12" customHeight="1">
      <c r="AU1985" s="44"/>
    </row>
    <row r="1986" spans="47:47" ht="12" customHeight="1">
      <c r="AU1986" s="44"/>
    </row>
    <row r="1987" spans="47:47" ht="12" customHeight="1">
      <c r="AU1987" s="44"/>
    </row>
    <row r="1988" spans="47:47" ht="12" customHeight="1">
      <c r="AU1988" s="44"/>
    </row>
    <row r="1989" spans="47:47" ht="12" customHeight="1">
      <c r="AU1989" s="44"/>
    </row>
    <row r="1990" spans="47:47" ht="12" customHeight="1">
      <c r="AU1990" s="44"/>
    </row>
    <row r="1991" spans="47:47" ht="12" customHeight="1">
      <c r="AU1991" s="44"/>
    </row>
    <row r="1992" spans="47:47" ht="12" customHeight="1">
      <c r="AU1992" s="44"/>
    </row>
    <row r="1993" spans="47:47" ht="12" customHeight="1">
      <c r="AU1993" s="44"/>
    </row>
    <row r="1994" spans="47:47" ht="12" customHeight="1">
      <c r="AU1994" s="44"/>
    </row>
    <row r="1995" spans="47:47" ht="12" customHeight="1">
      <c r="AU1995" s="44"/>
    </row>
    <row r="1996" spans="47:47" ht="12" customHeight="1">
      <c r="AU1996" s="44"/>
    </row>
    <row r="1997" spans="47:47" ht="12" customHeight="1">
      <c r="AU1997" s="44"/>
    </row>
    <row r="1998" spans="47:47" ht="12" customHeight="1">
      <c r="AU1998" s="44"/>
    </row>
    <row r="1999" spans="47:47" ht="12" customHeight="1">
      <c r="AU1999" s="44"/>
    </row>
    <row r="2000" spans="47:47" ht="12" customHeight="1">
      <c r="AU2000" s="44"/>
    </row>
    <row r="2001" spans="47:47" ht="12" customHeight="1">
      <c r="AU2001" s="44"/>
    </row>
    <row r="2002" spans="47:47" ht="12" customHeight="1">
      <c r="AU2002" s="44"/>
    </row>
    <row r="2003" spans="47:47" ht="12" customHeight="1">
      <c r="AU2003" s="44"/>
    </row>
    <row r="2004" spans="47:47" ht="12" customHeight="1">
      <c r="AU2004" s="44"/>
    </row>
    <row r="2005" spans="47:47" ht="12" customHeight="1">
      <c r="AU2005" s="44"/>
    </row>
    <row r="2006" spans="47:47" ht="12" customHeight="1">
      <c r="AU2006" s="44"/>
    </row>
    <row r="2007" spans="47:47" ht="12" customHeight="1">
      <c r="AU2007" s="44"/>
    </row>
    <row r="2008" spans="47:47" ht="12" customHeight="1">
      <c r="AU2008" s="44"/>
    </row>
    <row r="2009" spans="47:47" ht="12" customHeight="1">
      <c r="AU2009" s="44"/>
    </row>
    <row r="2010" spans="47:47" ht="12" customHeight="1">
      <c r="AU2010" s="44"/>
    </row>
    <row r="2011" spans="47:47" ht="12" customHeight="1">
      <c r="AU2011" s="44"/>
    </row>
    <row r="2012" spans="47:47" ht="12" customHeight="1">
      <c r="AU2012" s="44"/>
    </row>
    <row r="2013" spans="47:47" ht="12" customHeight="1">
      <c r="AU2013" s="44"/>
    </row>
    <row r="2014" spans="47:47" ht="12" customHeight="1">
      <c r="AU2014" s="44"/>
    </row>
    <row r="2015" spans="47:47" ht="12" customHeight="1">
      <c r="AU2015" s="44"/>
    </row>
    <row r="2016" spans="47:47" ht="12" customHeight="1">
      <c r="AU2016" s="44"/>
    </row>
    <row r="2017" spans="47:47" ht="12" customHeight="1">
      <c r="AU2017" s="44"/>
    </row>
    <row r="2018" spans="47:47" ht="12" customHeight="1">
      <c r="AU2018" s="44"/>
    </row>
    <row r="2019" spans="47:47" ht="12" customHeight="1">
      <c r="AU2019" s="44"/>
    </row>
    <row r="2020" spans="47:47" ht="12" customHeight="1">
      <c r="AU2020" s="44"/>
    </row>
    <row r="2021" spans="47:47" ht="12" customHeight="1">
      <c r="AU2021" s="44"/>
    </row>
    <row r="2022" spans="47:47" ht="12" customHeight="1">
      <c r="AU2022" s="44"/>
    </row>
    <row r="2023" spans="47:47" ht="12" customHeight="1">
      <c r="AU2023" s="44"/>
    </row>
    <row r="2024" spans="47:47" ht="12" customHeight="1">
      <c r="AU2024" s="44"/>
    </row>
    <row r="2025" spans="47:47" ht="12" customHeight="1">
      <c r="AU2025" s="44"/>
    </row>
    <row r="2026" spans="47:47" ht="12" customHeight="1">
      <c r="AU2026" s="44"/>
    </row>
    <row r="2027" spans="47:47" ht="12" customHeight="1">
      <c r="AU2027" s="44"/>
    </row>
    <row r="2028" spans="47:47" ht="12" customHeight="1">
      <c r="AU2028" s="44"/>
    </row>
    <row r="2029" spans="47:47" ht="12" customHeight="1">
      <c r="AU2029" s="44"/>
    </row>
    <row r="2030" spans="47:47" ht="12" customHeight="1">
      <c r="AU2030" s="44"/>
    </row>
    <row r="2031" spans="47:47" ht="12" customHeight="1">
      <c r="AU2031" s="44"/>
    </row>
    <row r="2032" spans="47:47" ht="12" customHeight="1">
      <c r="AU2032" s="44"/>
    </row>
    <row r="2033" spans="47:47" ht="12" customHeight="1">
      <c r="AU2033" s="44"/>
    </row>
    <row r="2034" spans="47:47" ht="12" customHeight="1">
      <c r="AU2034" s="44"/>
    </row>
    <row r="2035" spans="47:47" ht="12" customHeight="1">
      <c r="AU2035" s="44"/>
    </row>
    <row r="2036" spans="47:47" ht="12" customHeight="1">
      <c r="AU2036" s="44"/>
    </row>
    <row r="2037" spans="47:47" ht="12" customHeight="1">
      <c r="AU2037" s="44"/>
    </row>
    <row r="2038" spans="47:47" ht="12" customHeight="1">
      <c r="AU2038" s="44"/>
    </row>
    <row r="2039" spans="47:47" ht="12" customHeight="1">
      <c r="AU2039" s="44"/>
    </row>
    <row r="2040" spans="47:47" ht="12" customHeight="1">
      <c r="AU2040" s="44"/>
    </row>
    <row r="2041" spans="47:47" ht="12" customHeight="1">
      <c r="AU2041" s="44"/>
    </row>
    <row r="2042" spans="47:47" ht="12" customHeight="1">
      <c r="AU2042" s="44"/>
    </row>
    <row r="2043" spans="47:47" ht="12" customHeight="1">
      <c r="AU2043" s="44"/>
    </row>
    <row r="2044" spans="47:47" ht="12" customHeight="1">
      <c r="AU2044" s="44"/>
    </row>
    <row r="2045" spans="47:47" ht="12" customHeight="1">
      <c r="AU2045" s="44"/>
    </row>
    <row r="2046" spans="47:47" ht="12" customHeight="1">
      <c r="AU2046" s="44"/>
    </row>
    <row r="2047" spans="47:47" ht="12" customHeight="1">
      <c r="AU2047" s="44"/>
    </row>
    <row r="2048" spans="47:47" ht="12" customHeight="1">
      <c r="AU2048" s="44"/>
    </row>
    <row r="2049" spans="47:47" ht="12" customHeight="1">
      <c r="AU2049" s="44"/>
    </row>
    <row r="2050" spans="47:47" ht="12" customHeight="1">
      <c r="AU2050" s="44"/>
    </row>
    <row r="2051" spans="47:47" ht="12" customHeight="1">
      <c r="AU2051" s="44"/>
    </row>
    <row r="2052" spans="47:47" ht="12" customHeight="1">
      <c r="AU2052" s="44"/>
    </row>
    <row r="2053" spans="47:47" ht="12" customHeight="1">
      <c r="AU2053" s="44"/>
    </row>
    <row r="2054" spans="47:47" ht="12" customHeight="1">
      <c r="AU2054" s="44"/>
    </row>
    <row r="2055" spans="47:47" ht="12" customHeight="1">
      <c r="AU2055" s="44"/>
    </row>
    <row r="2056" spans="47:47" ht="12" customHeight="1">
      <c r="AU2056" s="44"/>
    </row>
    <row r="2057" spans="47:47" ht="12" customHeight="1">
      <c r="AU2057" s="44"/>
    </row>
    <row r="2058" spans="47:47" ht="12" customHeight="1">
      <c r="AU2058" s="44"/>
    </row>
    <row r="2059" spans="47:47" ht="12" customHeight="1">
      <c r="AU2059" s="44"/>
    </row>
    <row r="2060" spans="47:47" ht="12" customHeight="1">
      <c r="AU2060" s="44"/>
    </row>
    <row r="2061" spans="47:47" ht="12" customHeight="1">
      <c r="AU2061" s="44"/>
    </row>
    <row r="2062" spans="47:47" ht="12" customHeight="1">
      <c r="AU2062" s="44"/>
    </row>
    <row r="2063" spans="47:47" ht="12" customHeight="1">
      <c r="AU2063" s="44"/>
    </row>
    <row r="2064" spans="47:47" ht="12" customHeight="1">
      <c r="AU2064" s="44"/>
    </row>
    <row r="2065" spans="47:47" ht="12" customHeight="1">
      <c r="AU2065" s="44"/>
    </row>
    <row r="2066" spans="47:47" ht="12" customHeight="1">
      <c r="AU2066" s="44"/>
    </row>
    <row r="2067" spans="47:47" ht="12" customHeight="1">
      <c r="AU2067" s="44"/>
    </row>
    <row r="2068" spans="47:47" ht="12" customHeight="1">
      <c r="AU2068" s="44"/>
    </row>
    <row r="2069" spans="47:47" ht="12" customHeight="1">
      <c r="AU2069" s="44"/>
    </row>
    <row r="2070" spans="47:47" ht="12" customHeight="1">
      <c r="AU2070" s="44"/>
    </row>
    <row r="2071" spans="47:47" ht="12" customHeight="1">
      <c r="AU2071" s="44"/>
    </row>
    <row r="2072" spans="47:47" ht="12" customHeight="1">
      <c r="AU2072" s="44"/>
    </row>
    <row r="2073" spans="47:47" ht="12" customHeight="1">
      <c r="AU2073" s="44"/>
    </row>
    <row r="2074" spans="47:47" ht="12" customHeight="1">
      <c r="AU2074" s="44"/>
    </row>
    <row r="2075" spans="47:47" ht="12" customHeight="1">
      <c r="AU2075" s="44"/>
    </row>
    <row r="2076" spans="47:47" ht="12" customHeight="1">
      <c r="AU2076" s="44"/>
    </row>
    <row r="2077" spans="47:47" ht="12" customHeight="1">
      <c r="AU2077" s="44"/>
    </row>
    <row r="2078" spans="47:47" ht="12" customHeight="1">
      <c r="AU2078" s="44"/>
    </row>
    <row r="2079" spans="47:47" ht="12" customHeight="1">
      <c r="AU2079" s="44"/>
    </row>
    <row r="2080" spans="47:47" ht="12" customHeight="1">
      <c r="AU2080" s="44"/>
    </row>
    <row r="2081" spans="47:47" ht="12" customHeight="1">
      <c r="AU2081" s="44"/>
    </row>
    <row r="2082" spans="47:47" ht="12" customHeight="1">
      <c r="AU2082" s="44"/>
    </row>
    <row r="2083" spans="47:47" ht="12" customHeight="1">
      <c r="AU2083" s="44"/>
    </row>
    <row r="2084" spans="47:47" ht="12" customHeight="1">
      <c r="AU2084" s="44"/>
    </row>
    <row r="2085" spans="47:47" ht="12" customHeight="1">
      <c r="AU2085" s="44"/>
    </row>
    <row r="2086" spans="47:47" ht="12" customHeight="1">
      <c r="AU2086" s="44"/>
    </row>
    <row r="2087" spans="47:47" ht="12" customHeight="1">
      <c r="AU2087" s="44"/>
    </row>
    <row r="2088" spans="47:47" ht="12" customHeight="1">
      <c r="AU2088" s="44"/>
    </row>
    <row r="2089" spans="47:47" ht="12" customHeight="1">
      <c r="AU2089" s="44"/>
    </row>
    <row r="2090" spans="47:47" ht="12" customHeight="1">
      <c r="AU2090" s="44"/>
    </row>
    <row r="2091" spans="47:47" ht="12" customHeight="1">
      <c r="AU2091" s="44"/>
    </row>
    <row r="2092" spans="47:47" ht="12" customHeight="1">
      <c r="AU2092" s="44"/>
    </row>
    <row r="2093" spans="47:47" ht="12" customHeight="1">
      <c r="AU2093" s="44"/>
    </row>
    <row r="2094" spans="47:47" ht="12" customHeight="1">
      <c r="AU2094" s="44"/>
    </row>
    <row r="2095" spans="47:47" ht="12" customHeight="1">
      <c r="AU2095" s="44"/>
    </row>
    <row r="2096" spans="47:47" ht="12" customHeight="1">
      <c r="AU2096" s="44"/>
    </row>
    <row r="2097" spans="47:47" ht="12" customHeight="1">
      <c r="AU2097" s="44"/>
    </row>
    <row r="2098" spans="47:47" ht="12" customHeight="1">
      <c r="AU2098" s="44"/>
    </row>
    <row r="2099" spans="47:47" ht="12" customHeight="1">
      <c r="AU2099" s="44"/>
    </row>
    <row r="2100" spans="47:47" ht="12" customHeight="1">
      <c r="AU2100" s="44"/>
    </row>
    <row r="2101" spans="47:47" ht="12" customHeight="1">
      <c r="AU2101" s="44"/>
    </row>
    <row r="2102" spans="47:47" ht="12" customHeight="1">
      <c r="AU2102" s="44"/>
    </row>
    <row r="2103" spans="47:47" ht="12" customHeight="1">
      <c r="AU2103" s="44"/>
    </row>
    <row r="2104" spans="47:47" ht="12" customHeight="1">
      <c r="AU2104" s="44"/>
    </row>
    <row r="2105" spans="47:47" ht="12" customHeight="1">
      <c r="AU2105" s="44"/>
    </row>
    <row r="2106" spans="47:47" ht="12" customHeight="1">
      <c r="AU2106" s="44"/>
    </row>
    <row r="2107" spans="47:47" ht="12" customHeight="1">
      <c r="AU2107" s="44"/>
    </row>
    <row r="2108" spans="47:47" ht="12" customHeight="1">
      <c r="AU2108" s="44"/>
    </row>
    <row r="2109" spans="47:47" ht="12" customHeight="1">
      <c r="AU2109" s="44"/>
    </row>
    <row r="2110" spans="47:47" ht="12" customHeight="1">
      <c r="AU2110" s="44"/>
    </row>
    <row r="2111" spans="47:47" ht="12" customHeight="1">
      <c r="AU2111" s="44"/>
    </row>
    <row r="2112" spans="47:47" ht="12" customHeight="1">
      <c r="AU2112" s="44"/>
    </row>
    <row r="2113" spans="47:47" ht="12" customHeight="1">
      <c r="AU2113" s="44"/>
    </row>
    <row r="2114" spans="47:47" ht="12" customHeight="1">
      <c r="AU2114" s="44"/>
    </row>
    <row r="2115" spans="47:47" ht="12" customHeight="1">
      <c r="AU2115" s="44"/>
    </row>
    <row r="2116" spans="47:47" ht="12" customHeight="1">
      <c r="AU2116" s="44"/>
    </row>
    <row r="2117" spans="47:47" ht="12" customHeight="1">
      <c r="AU2117" s="44"/>
    </row>
    <row r="2118" spans="47:47" ht="12" customHeight="1">
      <c r="AU2118" s="44"/>
    </row>
    <row r="2119" spans="47:47" ht="12" customHeight="1">
      <c r="AU2119" s="44"/>
    </row>
    <row r="2120" spans="47:47" ht="12" customHeight="1">
      <c r="AU2120" s="44"/>
    </row>
    <row r="2121" spans="47:47" ht="12" customHeight="1">
      <c r="AU2121" s="44"/>
    </row>
    <row r="2122" spans="47:47" ht="12" customHeight="1">
      <c r="AU2122" s="44"/>
    </row>
    <row r="2123" spans="47:47" ht="12" customHeight="1">
      <c r="AU2123" s="44"/>
    </row>
    <row r="2124" spans="47:47" ht="12" customHeight="1">
      <c r="AU2124" s="44"/>
    </row>
    <row r="2125" spans="47:47" ht="12" customHeight="1">
      <c r="AU2125" s="44"/>
    </row>
    <row r="2126" spans="47:47" ht="12" customHeight="1">
      <c r="AU2126" s="44"/>
    </row>
    <row r="2127" spans="47:47" ht="12" customHeight="1">
      <c r="AU2127" s="44"/>
    </row>
    <row r="2128" spans="47:47" ht="12" customHeight="1">
      <c r="AU2128" s="44"/>
    </row>
    <row r="2129" spans="47:47" ht="12" customHeight="1">
      <c r="AU2129" s="44"/>
    </row>
    <row r="2130" spans="47:47" ht="12" customHeight="1">
      <c r="AU2130" s="44"/>
    </row>
    <row r="2131" spans="47:47" ht="12" customHeight="1">
      <c r="AU2131" s="44"/>
    </row>
    <row r="2132" spans="47:47" ht="12" customHeight="1">
      <c r="AU2132" s="44"/>
    </row>
    <row r="2133" spans="47:47" ht="12" customHeight="1">
      <c r="AU2133" s="44"/>
    </row>
    <row r="2134" spans="47:47" ht="12" customHeight="1">
      <c r="AU2134" s="44"/>
    </row>
    <row r="2135" spans="47:47" ht="12" customHeight="1">
      <c r="AU2135" s="44"/>
    </row>
    <row r="2136" spans="47:47" ht="12" customHeight="1">
      <c r="AU2136" s="44"/>
    </row>
    <row r="2137" spans="47:47" ht="12" customHeight="1">
      <c r="AU2137" s="44"/>
    </row>
    <row r="2138" spans="47:47" ht="12" customHeight="1">
      <c r="AU2138" s="44"/>
    </row>
    <row r="2139" spans="47:47" ht="12" customHeight="1">
      <c r="AU2139" s="44"/>
    </row>
    <row r="2140" spans="47:47" ht="12" customHeight="1">
      <c r="AU2140" s="44"/>
    </row>
    <row r="2141" spans="47:47" ht="12" customHeight="1">
      <c r="AU2141" s="44"/>
    </row>
    <row r="2142" spans="47:47" ht="12" customHeight="1">
      <c r="AU2142" s="44"/>
    </row>
    <row r="2143" spans="47:47" ht="12" customHeight="1">
      <c r="AU2143" s="44"/>
    </row>
    <row r="2144" spans="47:47" ht="12" customHeight="1">
      <c r="AU2144" s="44"/>
    </row>
    <row r="2145" spans="47:47" ht="12" customHeight="1">
      <c r="AU2145" s="44"/>
    </row>
    <row r="2146" spans="47:47" ht="12" customHeight="1">
      <c r="AU2146" s="44"/>
    </row>
    <row r="2147" spans="47:47" ht="12" customHeight="1">
      <c r="AU2147" s="44"/>
    </row>
    <row r="2148" spans="47:47" ht="12" customHeight="1">
      <c r="AU2148" s="44"/>
    </row>
    <row r="2149" spans="47:47" ht="12" customHeight="1">
      <c r="AU2149" s="44"/>
    </row>
    <row r="2150" spans="47:47" ht="12" customHeight="1">
      <c r="AU2150" s="44"/>
    </row>
    <row r="2151" spans="47:47" ht="12" customHeight="1">
      <c r="AU2151" s="44"/>
    </row>
    <row r="2152" spans="47:47" ht="12" customHeight="1">
      <c r="AU2152" s="44"/>
    </row>
    <row r="2153" spans="47:47" ht="12" customHeight="1">
      <c r="AU2153" s="44"/>
    </row>
    <row r="2154" spans="47:47" ht="12" customHeight="1">
      <c r="AU2154" s="44"/>
    </row>
    <row r="2155" spans="47:47" ht="12" customHeight="1">
      <c r="AU2155" s="44"/>
    </row>
    <row r="2156" spans="47:47" ht="12" customHeight="1">
      <c r="AU2156" s="44"/>
    </row>
    <row r="2157" spans="47:47" ht="12" customHeight="1">
      <c r="AU2157" s="44"/>
    </row>
    <row r="2158" spans="47:47" ht="12" customHeight="1">
      <c r="AU2158" s="44"/>
    </row>
    <row r="2159" spans="47:47" ht="12" customHeight="1">
      <c r="AU2159" s="44"/>
    </row>
    <row r="2160" spans="47:47" ht="12" customHeight="1">
      <c r="AU2160" s="44"/>
    </row>
    <row r="2161" spans="47:47" ht="12" customHeight="1">
      <c r="AU2161" s="44"/>
    </row>
    <row r="2162" spans="47:47" ht="12" customHeight="1">
      <c r="AU2162" s="44"/>
    </row>
    <row r="2163" spans="47:47" ht="12" customHeight="1">
      <c r="AU2163" s="44"/>
    </row>
    <row r="2164" spans="47:47" ht="12" customHeight="1">
      <c r="AU2164" s="44"/>
    </row>
    <row r="2165" spans="47:47" ht="12" customHeight="1">
      <c r="AU2165" s="44"/>
    </row>
    <row r="2166" spans="47:47" ht="12" customHeight="1">
      <c r="AU2166" s="44"/>
    </row>
    <row r="2167" spans="47:47" ht="12" customHeight="1">
      <c r="AU2167" s="44"/>
    </row>
    <row r="2168" spans="47:47" ht="12" customHeight="1">
      <c r="AU2168" s="44"/>
    </row>
    <row r="2169" spans="47:47" ht="12" customHeight="1">
      <c r="AU2169" s="44"/>
    </row>
    <row r="2170" spans="47:47" ht="12" customHeight="1">
      <c r="AU2170" s="44"/>
    </row>
    <row r="2171" spans="47:47" ht="12" customHeight="1">
      <c r="AU2171" s="44"/>
    </row>
    <row r="2172" spans="47:47" ht="12" customHeight="1">
      <c r="AU2172" s="44"/>
    </row>
    <row r="2173" spans="47:47" ht="12" customHeight="1">
      <c r="AU2173" s="44"/>
    </row>
    <row r="2174" spans="47:47" ht="12" customHeight="1">
      <c r="AU2174" s="44"/>
    </row>
    <row r="2175" spans="47:47" ht="12" customHeight="1">
      <c r="AU2175" s="44"/>
    </row>
    <row r="2176" spans="47:47" ht="12" customHeight="1">
      <c r="AU2176" s="44"/>
    </row>
    <row r="2177" spans="47:47" ht="12" customHeight="1">
      <c r="AU2177" s="44"/>
    </row>
    <row r="2178" spans="47:47" ht="12" customHeight="1">
      <c r="AU2178" s="44"/>
    </row>
    <row r="2179" spans="47:47" ht="12" customHeight="1">
      <c r="AU2179" s="44"/>
    </row>
    <row r="2180" spans="47:47" ht="12" customHeight="1">
      <c r="AU2180" s="44"/>
    </row>
    <row r="2181" spans="47:47" ht="12" customHeight="1">
      <c r="AU2181" s="44"/>
    </row>
    <row r="2182" spans="47:47" ht="12" customHeight="1">
      <c r="AU2182" s="44"/>
    </row>
    <row r="2183" spans="47:47" ht="12" customHeight="1">
      <c r="AU2183" s="44"/>
    </row>
    <row r="2184" spans="47:47" ht="12" customHeight="1">
      <c r="AU2184" s="44"/>
    </row>
    <row r="2185" spans="47:47" ht="12" customHeight="1">
      <c r="AU2185" s="44"/>
    </row>
    <row r="2186" spans="47:47" ht="12" customHeight="1">
      <c r="AU2186" s="44"/>
    </row>
    <row r="2187" spans="47:47" ht="12" customHeight="1">
      <c r="AU2187" s="44"/>
    </row>
    <row r="2188" spans="47:47" ht="12" customHeight="1">
      <c r="AU2188" s="44"/>
    </row>
    <row r="2189" spans="47:47" ht="12" customHeight="1">
      <c r="AU2189" s="44"/>
    </row>
    <row r="2190" spans="47:47" ht="12" customHeight="1">
      <c r="AU2190" s="44"/>
    </row>
    <row r="2191" spans="47:47" ht="12" customHeight="1">
      <c r="AU2191" s="44"/>
    </row>
    <row r="2192" spans="47:47" ht="12" customHeight="1">
      <c r="AU2192" s="44"/>
    </row>
    <row r="2193" spans="47:47" ht="12" customHeight="1">
      <c r="AU2193" s="44"/>
    </row>
    <row r="2194" spans="47:47" ht="12" customHeight="1">
      <c r="AU2194" s="44"/>
    </row>
    <row r="2195" spans="47:47" ht="12" customHeight="1">
      <c r="AU2195" s="44"/>
    </row>
    <row r="2196" spans="47:47" ht="12" customHeight="1">
      <c r="AU2196" s="44"/>
    </row>
    <row r="2197" spans="47:47" ht="12" customHeight="1">
      <c r="AU2197" s="44"/>
    </row>
    <row r="2198" spans="47:47" ht="12" customHeight="1">
      <c r="AU2198" s="44"/>
    </row>
    <row r="2199" spans="47:47" ht="12" customHeight="1">
      <c r="AU2199" s="44"/>
    </row>
    <row r="2200" spans="47:47" ht="12" customHeight="1">
      <c r="AU2200" s="44"/>
    </row>
    <row r="2201" spans="47:47" ht="12" customHeight="1">
      <c r="AU2201" s="44"/>
    </row>
    <row r="2202" spans="47:47" ht="12" customHeight="1">
      <c r="AU2202" s="44"/>
    </row>
    <row r="2203" spans="47:47" ht="12" customHeight="1">
      <c r="AU2203" s="44"/>
    </row>
    <row r="2204" spans="47:47" ht="12" customHeight="1">
      <c r="AU2204" s="44"/>
    </row>
    <row r="2205" spans="47:47" ht="12" customHeight="1">
      <c r="AU2205" s="44"/>
    </row>
    <row r="2206" spans="47:47" ht="12" customHeight="1">
      <c r="AU2206" s="44"/>
    </row>
    <row r="2207" spans="47:47" ht="12" customHeight="1">
      <c r="AU2207" s="44"/>
    </row>
    <row r="2208" spans="47:47" ht="12" customHeight="1">
      <c r="AU2208" s="44"/>
    </row>
    <row r="2209" spans="47:47" ht="12" customHeight="1">
      <c r="AU2209" s="44"/>
    </row>
    <row r="2210" spans="47:47" ht="12" customHeight="1">
      <c r="AU2210" s="44"/>
    </row>
    <row r="2211" spans="47:47" ht="12" customHeight="1">
      <c r="AU2211" s="44"/>
    </row>
    <row r="2212" spans="47:47" ht="12" customHeight="1">
      <c r="AU2212" s="44"/>
    </row>
    <row r="2213" spans="47:47" ht="12" customHeight="1">
      <c r="AU2213" s="44"/>
    </row>
    <row r="2214" spans="47:47" ht="12" customHeight="1">
      <c r="AU2214" s="44"/>
    </row>
    <row r="2215" spans="47:47" ht="12" customHeight="1">
      <c r="AU2215" s="44"/>
    </row>
    <row r="2216" spans="47:47" ht="12" customHeight="1">
      <c r="AU2216" s="44"/>
    </row>
    <row r="2217" spans="47:47" ht="12" customHeight="1">
      <c r="AU2217" s="44"/>
    </row>
    <row r="2218" spans="47:47" ht="12" customHeight="1">
      <c r="AU2218" s="44"/>
    </row>
    <row r="2219" spans="47:47" ht="12" customHeight="1">
      <c r="AU2219" s="44"/>
    </row>
    <row r="2220" spans="47:47" ht="12" customHeight="1">
      <c r="AU2220" s="44"/>
    </row>
    <row r="2221" spans="47:47" ht="12" customHeight="1">
      <c r="AU2221" s="44"/>
    </row>
    <row r="2222" spans="47:47" ht="12" customHeight="1">
      <c r="AU2222" s="44"/>
    </row>
    <row r="2223" spans="47:47" ht="12" customHeight="1">
      <c r="AU2223" s="44"/>
    </row>
    <row r="2224" spans="47:47" ht="12" customHeight="1">
      <c r="AU2224" s="44"/>
    </row>
    <row r="2225" spans="47:47" ht="12" customHeight="1">
      <c r="AU2225" s="44"/>
    </row>
    <row r="2226" spans="47:47" ht="12" customHeight="1">
      <c r="AU2226" s="44"/>
    </row>
    <row r="2227" spans="47:47" ht="12" customHeight="1">
      <c r="AU2227" s="44"/>
    </row>
    <row r="2228" spans="47:47" ht="12" customHeight="1">
      <c r="AU2228" s="44"/>
    </row>
    <row r="2229" spans="47:47" ht="12" customHeight="1">
      <c r="AU2229" s="44"/>
    </row>
    <row r="2230" spans="47:47" ht="12" customHeight="1">
      <c r="AU2230" s="44"/>
    </row>
    <row r="2231" spans="47:47" ht="12" customHeight="1">
      <c r="AU2231" s="44"/>
    </row>
    <row r="2232" spans="47:47" ht="12" customHeight="1">
      <c r="AU2232" s="44"/>
    </row>
    <row r="2233" spans="47:47" ht="12" customHeight="1">
      <c r="AU2233" s="44"/>
    </row>
    <row r="2234" spans="47:47" ht="12" customHeight="1">
      <c r="AU2234" s="44"/>
    </row>
    <row r="2235" spans="47:47" ht="12" customHeight="1">
      <c r="AU2235" s="44"/>
    </row>
    <row r="2236" spans="47:47" ht="12" customHeight="1">
      <c r="AU2236" s="44"/>
    </row>
    <row r="2237" spans="47:47" ht="12" customHeight="1">
      <c r="AU2237" s="44"/>
    </row>
    <row r="2238" spans="47:47" ht="12" customHeight="1">
      <c r="AU2238" s="44"/>
    </row>
    <row r="2239" spans="47:47" ht="12" customHeight="1">
      <c r="AU2239" s="44"/>
    </row>
    <row r="2240" spans="47:47" ht="12" customHeight="1">
      <c r="AU2240" s="44"/>
    </row>
    <row r="2241" spans="47:47" ht="12" customHeight="1">
      <c r="AU2241" s="44"/>
    </row>
    <row r="2242" spans="47:47" ht="12" customHeight="1">
      <c r="AU2242" s="44"/>
    </row>
    <row r="2243" spans="47:47" ht="12" customHeight="1">
      <c r="AU2243" s="44"/>
    </row>
    <row r="2244" spans="47:47" ht="12" customHeight="1">
      <c r="AU2244" s="44"/>
    </row>
    <row r="2245" spans="47:47" ht="12" customHeight="1">
      <c r="AU2245" s="44"/>
    </row>
    <row r="2246" spans="47:47" ht="12" customHeight="1">
      <c r="AU2246" s="44"/>
    </row>
    <row r="2247" spans="47:47" ht="12" customHeight="1">
      <c r="AU2247" s="44"/>
    </row>
    <row r="2248" spans="47:47" ht="12" customHeight="1">
      <c r="AU2248" s="44"/>
    </row>
    <row r="2249" spans="47:47" ht="12" customHeight="1">
      <c r="AU2249" s="44"/>
    </row>
    <row r="2250" spans="47:47" ht="12" customHeight="1">
      <c r="AU2250" s="44"/>
    </row>
    <row r="2251" spans="47:47" ht="12" customHeight="1">
      <c r="AU2251" s="44"/>
    </row>
    <row r="2252" spans="47:47" ht="12" customHeight="1">
      <c r="AU2252" s="44"/>
    </row>
    <row r="2253" spans="47:47" ht="12" customHeight="1">
      <c r="AU2253" s="44"/>
    </row>
    <row r="2254" spans="47:47" ht="12" customHeight="1">
      <c r="AU2254" s="44"/>
    </row>
    <row r="2255" spans="47:47" ht="12" customHeight="1">
      <c r="AU2255" s="44"/>
    </row>
    <row r="2256" spans="47:47" ht="12" customHeight="1">
      <c r="AU2256" s="44"/>
    </row>
    <row r="2257" spans="47:47" ht="12" customHeight="1">
      <c r="AU2257" s="44"/>
    </row>
    <row r="2258" spans="47:47" ht="12" customHeight="1">
      <c r="AU2258" s="44"/>
    </row>
    <row r="2259" spans="47:47" ht="12" customHeight="1">
      <c r="AU2259" s="44"/>
    </row>
    <row r="2260" spans="47:47" ht="12" customHeight="1">
      <c r="AU2260" s="44"/>
    </row>
    <row r="2261" spans="47:47" ht="12" customHeight="1">
      <c r="AU2261" s="44"/>
    </row>
    <row r="2262" spans="47:47" ht="12" customHeight="1">
      <c r="AU2262" s="44"/>
    </row>
    <row r="2263" spans="47:47" ht="12" customHeight="1">
      <c r="AU2263" s="44"/>
    </row>
    <row r="2264" spans="47:47" ht="12" customHeight="1">
      <c r="AU2264" s="44"/>
    </row>
    <row r="2265" spans="47:47" ht="12" customHeight="1">
      <c r="AU2265" s="44"/>
    </row>
    <row r="2266" spans="47:47" ht="12" customHeight="1">
      <c r="AU2266" s="44"/>
    </row>
    <row r="2267" spans="47:47" ht="12" customHeight="1">
      <c r="AU2267" s="44"/>
    </row>
    <row r="2268" spans="47:47" ht="12" customHeight="1">
      <c r="AU2268" s="44"/>
    </row>
    <row r="2269" spans="47:47" ht="12" customHeight="1">
      <c r="AU2269" s="44"/>
    </row>
    <row r="2270" spans="47:47" ht="12" customHeight="1">
      <c r="AU2270" s="44"/>
    </row>
    <row r="2271" spans="47:47" ht="12" customHeight="1">
      <c r="AU2271" s="44"/>
    </row>
    <row r="2272" spans="47:47" ht="12" customHeight="1">
      <c r="AU2272" s="44"/>
    </row>
    <row r="2273" spans="47:47" ht="12" customHeight="1">
      <c r="AU2273" s="44"/>
    </row>
    <row r="2274" spans="47:47" ht="12" customHeight="1">
      <c r="AU2274" s="44"/>
    </row>
    <row r="2275" spans="47:47" ht="12" customHeight="1">
      <c r="AU2275" s="44"/>
    </row>
    <row r="2276" spans="47:47" ht="12" customHeight="1">
      <c r="AU2276" s="44"/>
    </row>
    <row r="2277" spans="47:47" ht="12" customHeight="1">
      <c r="AU2277" s="44"/>
    </row>
    <row r="2278" spans="47:47" ht="12" customHeight="1">
      <c r="AU2278" s="44"/>
    </row>
    <row r="2279" spans="47:47" ht="12" customHeight="1">
      <c r="AU2279" s="44"/>
    </row>
    <row r="2280" spans="47:47" ht="12" customHeight="1">
      <c r="AU2280" s="44"/>
    </row>
    <row r="2281" spans="47:47" ht="12" customHeight="1">
      <c r="AU2281" s="44"/>
    </row>
    <row r="2282" spans="47:47" ht="12" customHeight="1">
      <c r="AU2282" s="44"/>
    </row>
    <row r="2283" spans="47:47" ht="12" customHeight="1">
      <c r="AU2283" s="44"/>
    </row>
    <row r="2284" spans="47:47" ht="12" customHeight="1">
      <c r="AU2284" s="44"/>
    </row>
    <row r="2285" spans="47:47" ht="12" customHeight="1">
      <c r="AU2285" s="44"/>
    </row>
    <row r="2286" spans="47:47" ht="12" customHeight="1">
      <c r="AU2286" s="44"/>
    </row>
    <row r="2287" spans="47:47" ht="12" customHeight="1">
      <c r="AU2287" s="44"/>
    </row>
    <row r="2288" spans="47:47" ht="12" customHeight="1">
      <c r="AU2288" s="44"/>
    </row>
    <row r="2289" spans="47:47" ht="12" customHeight="1">
      <c r="AU2289" s="44"/>
    </row>
    <row r="2290" spans="47:47" ht="12" customHeight="1">
      <c r="AU2290" s="44"/>
    </row>
    <row r="2291" spans="47:47" ht="12" customHeight="1">
      <c r="AU2291" s="44"/>
    </row>
    <row r="2292" spans="47:47" ht="12" customHeight="1">
      <c r="AU2292" s="44"/>
    </row>
    <row r="2293" spans="47:47" ht="12" customHeight="1">
      <c r="AU2293" s="44"/>
    </row>
    <row r="2294" spans="47:47" ht="12" customHeight="1">
      <c r="AU2294" s="44"/>
    </row>
    <row r="2295" spans="47:47" ht="12" customHeight="1">
      <c r="AU2295" s="44"/>
    </row>
    <row r="2296" spans="47:47" ht="12" customHeight="1">
      <c r="AU2296" s="44"/>
    </row>
    <row r="2297" spans="47:47" ht="12" customHeight="1">
      <c r="AU2297" s="44"/>
    </row>
    <row r="2298" spans="47:47" ht="12" customHeight="1">
      <c r="AU2298" s="44"/>
    </row>
    <row r="2299" spans="47:47" ht="12" customHeight="1">
      <c r="AU2299" s="44"/>
    </row>
    <row r="2300" spans="47:47" ht="12" customHeight="1">
      <c r="AU2300" s="44"/>
    </row>
    <row r="2301" spans="47:47" ht="12" customHeight="1">
      <c r="AU2301" s="44"/>
    </row>
    <row r="2302" spans="47:47" ht="12" customHeight="1">
      <c r="AU2302" s="44"/>
    </row>
    <row r="2303" spans="47:47" ht="12" customHeight="1">
      <c r="AU2303" s="44"/>
    </row>
    <row r="2304" spans="47:47" ht="12" customHeight="1">
      <c r="AU2304" s="44"/>
    </row>
    <row r="2305" spans="47:47" ht="12" customHeight="1">
      <c r="AU2305" s="44"/>
    </row>
    <row r="2306" spans="47:47" ht="12" customHeight="1">
      <c r="AU2306" s="44"/>
    </row>
    <row r="2307" spans="47:47" ht="12" customHeight="1">
      <c r="AU2307" s="44"/>
    </row>
    <row r="2308" spans="47:47" ht="12" customHeight="1">
      <c r="AU2308" s="44"/>
    </row>
    <row r="2309" spans="47:47" ht="12" customHeight="1">
      <c r="AU2309" s="44"/>
    </row>
    <row r="2310" spans="47:47" ht="12" customHeight="1">
      <c r="AU2310" s="44"/>
    </row>
    <row r="2311" spans="47:47" ht="12" customHeight="1">
      <c r="AU2311" s="44"/>
    </row>
    <row r="2312" spans="47:47" ht="12" customHeight="1">
      <c r="AU2312" s="44"/>
    </row>
    <row r="2313" spans="47:47" ht="12" customHeight="1">
      <c r="AU2313" s="44"/>
    </row>
    <row r="2314" spans="47:47" ht="12" customHeight="1">
      <c r="AU2314" s="44"/>
    </row>
    <row r="2315" spans="47:47" ht="12" customHeight="1">
      <c r="AU2315" s="44"/>
    </row>
    <row r="2316" spans="47:47" ht="12" customHeight="1">
      <c r="AU2316" s="44"/>
    </row>
    <row r="2317" spans="47:47" ht="12" customHeight="1">
      <c r="AU2317" s="44"/>
    </row>
    <row r="2318" spans="47:47" ht="12" customHeight="1">
      <c r="AU2318" s="44"/>
    </row>
    <row r="2319" spans="47:47" ht="12" customHeight="1">
      <c r="AU2319" s="44"/>
    </row>
    <row r="2320" spans="47:47" ht="12" customHeight="1">
      <c r="AU2320" s="44"/>
    </row>
    <row r="2321" spans="47:47" ht="12" customHeight="1">
      <c r="AU2321" s="44"/>
    </row>
    <row r="2322" spans="47:47" ht="12" customHeight="1">
      <c r="AU2322" s="44"/>
    </row>
    <row r="2323" spans="47:47" ht="12" customHeight="1">
      <c r="AU2323" s="44"/>
    </row>
    <row r="2324" spans="47:47" ht="12" customHeight="1">
      <c r="AU2324" s="44"/>
    </row>
    <row r="2325" spans="47:47" ht="12" customHeight="1">
      <c r="AU2325" s="44"/>
    </row>
    <row r="2326" spans="47:47" ht="12" customHeight="1">
      <c r="AU2326" s="44"/>
    </row>
    <row r="2327" spans="47:47" ht="12" customHeight="1">
      <c r="AU2327" s="44"/>
    </row>
    <row r="2328" spans="47:47" ht="12" customHeight="1">
      <c r="AU2328" s="44"/>
    </row>
    <row r="2329" spans="47:47" ht="12" customHeight="1">
      <c r="AU2329" s="44"/>
    </row>
    <row r="2330" spans="47:47" ht="12" customHeight="1">
      <c r="AU2330" s="44"/>
    </row>
    <row r="2331" spans="47:47" ht="12" customHeight="1">
      <c r="AU2331" s="44"/>
    </row>
    <row r="2332" spans="47:47" ht="12" customHeight="1">
      <c r="AU2332" s="44"/>
    </row>
    <row r="2333" spans="47:47" ht="12" customHeight="1">
      <c r="AU2333" s="44"/>
    </row>
    <row r="2334" spans="47:47" ht="12" customHeight="1">
      <c r="AU2334" s="44"/>
    </row>
    <row r="2335" spans="47:47" ht="12" customHeight="1">
      <c r="AU2335" s="44"/>
    </row>
    <row r="2336" spans="47:47" ht="12" customHeight="1">
      <c r="AU2336" s="44"/>
    </row>
    <row r="2337" spans="47:47" ht="12" customHeight="1">
      <c r="AU2337" s="44"/>
    </row>
    <row r="2338" spans="47:47" ht="12" customHeight="1">
      <c r="AU2338" s="44"/>
    </row>
    <row r="2339" spans="47:47" ht="12" customHeight="1">
      <c r="AU2339" s="44"/>
    </row>
    <row r="2340" spans="47:47" ht="12" customHeight="1">
      <c r="AU2340" s="44"/>
    </row>
    <row r="2341" spans="47:47" ht="12" customHeight="1">
      <c r="AU2341" s="44"/>
    </row>
    <row r="2342" spans="47:47" ht="12" customHeight="1">
      <c r="AU2342" s="44"/>
    </row>
    <row r="2343" spans="47:47" ht="12" customHeight="1">
      <c r="AU2343" s="44"/>
    </row>
    <row r="2344" spans="47:47" ht="12" customHeight="1">
      <c r="AU2344" s="44"/>
    </row>
    <row r="2345" spans="47:47" ht="12" customHeight="1">
      <c r="AU2345" s="44"/>
    </row>
    <row r="2346" spans="47:47" ht="12" customHeight="1">
      <c r="AU2346" s="44"/>
    </row>
    <row r="2347" spans="47:47" ht="12" customHeight="1">
      <c r="AU2347" s="44"/>
    </row>
    <row r="2348" spans="47:47" ht="12" customHeight="1">
      <c r="AU2348" s="44"/>
    </row>
    <row r="2349" spans="47:47" ht="12" customHeight="1">
      <c r="AU2349" s="44"/>
    </row>
    <row r="2350" spans="47:47" ht="12" customHeight="1">
      <c r="AU2350" s="44"/>
    </row>
    <row r="2351" spans="47:47" ht="12" customHeight="1">
      <c r="AU2351" s="44"/>
    </row>
    <row r="2352" spans="47:47" ht="12" customHeight="1">
      <c r="AU2352" s="44"/>
    </row>
    <row r="2353" spans="47:47" ht="12" customHeight="1">
      <c r="AU2353" s="44"/>
    </row>
    <row r="2354" spans="47:47" ht="12" customHeight="1">
      <c r="AU2354" s="44"/>
    </row>
    <row r="2355" spans="47:47" ht="12" customHeight="1">
      <c r="AU2355" s="44"/>
    </row>
    <row r="2356" spans="47:47" ht="12" customHeight="1">
      <c r="AU2356" s="44"/>
    </row>
    <row r="2357" spans="47:47" ht="12" customHeight="1">
      <c r="AU2357" s="44"/>
    </row>
    <row r="2358" spans="47:47" ht="12" customHeight="1">
      <c r="AU2358" s="44"/>
    </row>
    <row r="2359" spans="47:47" ht="12" customHeight="1">
      <c r="AU2359" s="44"/>
    </row>
    <row r="2360" spans="47:47" ht="12" customHeight="1">
      <c r="AU2360" s="44"/>
    </row>
    <row r="2361" spans="47:47" ht="12" customHeight="1">
      <c r="AU2361" s="44"/>
    </row>
    <row r="2362" spans="47:47" ht="12" customHeight="1">
      <c r="AU2362" s="44"/>
    </row>
    <row r="2363" spans="47:47" ht="12" customHeight="1">
      <c r="AU2363" s="44"/>
    </row>
    <row r="2364" spans="47:47" ht="12" customHeight="1">
      <c r="AU2364" s="44"/>
    </row>
    <row r="2365" spans="47:47" ht="12" customHeight="1">
      <c r="AU2365" s="44"/>
    </row>
    <row r="2366" spans="47:47" ht="12" customHeight="1">
      <c r="AU2366" s="44"/>
    </row>
    <row r="2367" spans="47:47" ht="12" customHeight="1">
      <c r="AU2367" s="44"/>
    </row>
    <row r="2368" spans="47:47" ht="12" customHeight="1">
      <c r="AU2368" s="44"/>
    </row>
    <row r="2369" spans="47:47" ht="12" customHeight="1">
      <c r="AU2369" s="44"/>
    </row>
    <row r="2370" spans="47:47" ht="12" customHeight="1">
      <c r="AU2370" s="44"/>
    </row>
    <row r="2371" spans="47:47" ht="12" customHeight="1">
      <c r="AU2371" s="44"/>
    </row>
    <row r="2372" spans="47:47" ht="12" customHeight="1">
      <c r="AU2372" s="44"/>
    </row>
    <row r="2373" spans="47:47" ht="12" customHeight="1">
      <c r="AU2373" s="44"/>
    </row>
    <row r="2374" spans="47:47" ht="12" customHeight="1">
      <c r="AU2374" s="44"/>
    </row>
    <row r="2375" spans="47:47" ht="12" customHeight="1">
      <c r="AU2375" s="44"/>
    </row>
    <row r="2376" spans="47:47" ht="12" customHeight="1">
      <c r="AU2376" s="44"/>
    </row>
    <row r="2377" spans="47:47" ht="12" customHeight="1">
      <c r="AU2377" s="44"/>
    </row>
    <row r="2378" spans="47:47" ht="12" customHeight="1">
      <c r="AU2378" s="44"/>
    </row>
    <row r="2379" spans="47:47" ht="12" customHeight="1">
      <c r="AU2379" s="44"/>
    </row>
    <row r="2380" spans="47:47" ht="12" customHeight="1">
      <c r="AU2380" s="44"/>
    </row>
    <row r="2381" spans="47:47" ht="12" customHeight="1">
      <c r="AU2381" s="44"/>
    </row>
    <row r="2382" spans="47:47" ht="12" customHeight="1">
      <c r="AU2382" s="44"/>
    </row>
    <row r="2383" spans="47:47" ht="12" customHeight="1">
      <c r="AU2383" s="44"/>
    </row>
    <row r="2384" spans="47:47" ht="12" customHeight="1">
      <c r="AU2384" s="44"/>
    </row>
    <row r="2385" spans="47:47" ht="12" customHeight="1">
      <c r="AU2385" s="44"/>
    </row>
    <row r="2386" spans="47:47" ht="12" customHeight="1">
      <c r="AU2386" s="44"/>
    </row>
    <row r="2387" spans="47:47" ht="12" customHeight="1">
      <c r="AU2387" s="44"/>
    </row>
    <row r="2388" spans="47:47" ht="12" customHeight="1">
      <c r="AU2388" s="44"/>
    </row>
    <row r="2389" spans="47:47" ht="12" customHeight="1">
      <c r="AU2389" s="44"/>
    </row>
    <row r="2390" spans="47:47" ht="12" customHeight="1">
      <c r="AU2390" s="44"/>
    </row>
    <row r="2391" spans="47:47" ht="12" customHeight="1">
      <c r="AU2391" s="44"/>
    </row>
    <row r="2392" spans="47:47" ht="12" customHeight="1">
      <c r="AU2392" s="44"/>
    </row>
    <row r="2393" spans="47:47" ht="12" customHeight="1">
      <c r="AU2393" s="44"/>
    </row>
    <row r="2394" spans="47:47" ht="12" customHeight="1">
      <c r="AU2394" s="44"/>
    </row>
    <row r="2395" spans="47:47" ht="12" customHeight="1">
      <c r="AU2395" s="44"/>
    </row>
    <row r="2396" spans="47:47" ht="12" customHeight="1">
      <c r="AU2396" s="44"/>
    </row>
    <row r="2397" spans="47:47" ht="12" customHeight="1">
      <c r="AU2397" s="44"/>
    </row>
    <row r="2398" spans="47:47" ht="12" customHeight="1">
      <c r="AU2398" s="44"/>
    </row>
    <row r="2399" spans="47:47" ht="12" customHeight="1">
      <c r="AU2399" s="44"/>
    </row>
    <row r="2400" spans="47:47" ht="12" customHeight="1">
      <c r="AU2400" s="44"/>
    </row>
    <row r="2401" spans="47:47" ht="12" customHeight="1">
      <c r="AU2401" s="44"/>
    </row>
    <row r="2402" spans="47:47" ht="12" customHeight="1">
      <c r="AU2402" s="44"/>
    </row>
    <row r="2403" spans="47:47" ht="12" customHeight="1">
      <c r="AU2403" s="44"/>
    </row>
    <row r="2404" spans="47:47" ht="12" customHeight="1">
      <c r="AU2404" s="44"/>
    </row>
    <row r="2405" spans="47:47" ht="12" customHeight="1">
      <c r="AU2405" s="44"/>
    </row>
    <row r="2406" spans="47:47" ht="12" customHeight="1">
      <c r="AU2406" s="44"/>
    </row>
    <row r="2407" spans="47:47" ht="12" customHeight="1">
      <c r="AU2407" s="44"/>
    </row>
    <row r="2408" spans="47:47" ht="12" customHeight="1">
      <c r="AU2408" s="44"/>
    </row>
    <row r="2409" spans="47:47" ht="12" customHeight="1">
      <c r="AU2409" s="44"/>
    </row>
    <row r="2410" spans="47:47" ht="12" customHeight="1">
      <c r="AU2410" s="44"/>
    </row>
    <row r="2411" spans="47:47" ht="12" customHeight="1">
      <c r="AU2411" s="44"/>
    </row>
    <row r="2412" spans="47:47" ht="12" customHeight="1">
      <c r="AU2412" s="44"/>
    </row>
    <row r="2413" spans="47:47" ht="12" customHeight="1">
      <c r="AU2413" s="44"/>
    </row>
    <row r="2414" spans="47:47" ht="12" customHeight="1">
      <c r="AU2414" s="44"/>
    </row>
    <row r="2415" spans="47:47" ht="12" customHeight="1">
      <c r="AU2415" s="44"/>
    </row>
    <row r="2416" spans="47:47" ht="12" customHeight="1">
      <c r="AU2416" s="44"/>
    </row>
    <row r="2417" spans="47:47" ht="12" customHeight="1">
      <c r="AU2417" s="44"/>
    </row>
    <row r="2418" spans="47:47" ht="12" customHeight="1">
      <c r="AU2418" s="44"/>
    </row>
    <row r="2419" spans="47:47" ht="12" customHeight="1">
      <c r="AU2419" s="44"/>
    </row>
    <row r="2420" spans="47:47" ht="12" customHeight="1">
      <c r="AU2420" s="44"/>
    </row>
    <row r="2421" spans="47:47" ht="12" customHeight="1">
      <c r="AU2421" s="44"/>
    </row>
    <row r="2422" spans="47:47" ht="12" customHeight="1">
      <c r="AU2422" s="44"/>
    </row>
    <row r="2423" spans="47:47" ht="12" customHeight="1">
      <c r="AU2423" s="44"/>
    </row>
    <row r="2424" spans="47:47" ht="12" customHeight="1">
      <c r="AU2424" s="44"/>
    </row>
    <row r="2425" spans="47:47" ht="12" customHeight="1">
      <c r="AU2425" s="44"/>
    </row>
    <row r="2426" spans="47:47" ht="12" customHeight="1">
      <c r="AU2426" s="44"/>
    </row>
    <row r="2427" spans="47:47" ht="12" customHeight="1">
      <c r="AU2427" s="44"/>
    </row>
    <row r="2428" spans="47:47" ht="12" customHeight="1">
      <c r="AU2428" s="44"/>
    </row>
    <row r="2429" spans="47:47" ht="12" customHeight="1">
      <c r="AU2429" s="44"/>
    </row>
    <row r="2430" spans="47:47" ht="12" customHeight="1">
      <c r="AU2430" s="44"/>
    </row>
    <row r="2431" spans="47:47" ht="12" customHeight="1">
      <c r="AU2431" s="44"/>
    </row>
    <row r="2432" spans="47:47" ht="12" customHeight="1">
      <c r="AU2432" s="44"/>
    </row>
    <row r="2433" spans="47:47" ht="12" customHeight="1">
      <c r="AU2433" s="44"/>
    </row>
    <row r="2434" spans="47:47" ht="12" customHeight="1">
      <c r="AU2434" s="44"/>
    </row>
    <row r="2435" spans="47:47" ht="12" customHeight="1">
      <c r="AU2435" s="44"/>
    </row>
    <row r="2436" spans="47:47" ht="12" customHeight="1">
      <c r="AU2436" s="44"/>
    </row>
    <row r="2437" spans="47:47" ht="12" customHeight="1">
      <c r="AU2437" s="44"/>
    </row>
    <row r="2438" spans="47:47" ht="12" customHeight="1">
      <c r="AU2438" s="44"/>
    </row>
    <row r="2439" spans="47:47" ht="12" customHeight="1">
      <c r="AU2439" s="44"/>
    </row>
    <row r="2440" spans="47:47" ht="12" customHeight="1">
      <c r="AU2440" s="44"/>
    </row>
    <row r="2441" spans="47:47" ht="12" customHeight="1">
      <c r="AU2441" s="44"/>
    </row>
    <row r="2442" spans="47:47" ht="12" customHeight="1">
      <c r="AU2442" s="44"/>
    </row>
    <row r="2443" spans="47:47" ht="12" customHeight="1">
      <c r="AU2443" s="44"/>
    </row>
    <row r="2444" spans="47:47" ht="12" customHeight="1">
      <c r="AU2444" s="44"/>
    </row>
    <row r="2445" spans="47:47" ht="12" customHeight="1">
      <c r="AU2445" s="44"/>
    </row>
    <row r="2446" spans="47:47" ht="12" customHeight="1">
      <c r="AU2446" s="44"/>
    </row>
    <row r="2447" spans="47:47" ht="12" customHeight="1">
      <c r="AU2447" s="44"/>
    </row>
    <row r="2448" spans="47:47" ht="12" customHeight="1">
      <c r="AU2448" s="44"/>
    </row>
    <row r="2449" spans="47:47" ht="12" customHeight="1">
      <c r="AU2449" s="44"/>
    </row>
    <row r="2450" spans="47:47" ht="12" customHeight="1">
      <c r="AU2450" s="44"/>
    </row>
    <row r="2451" spans="47:47" ht="12" customHeight="1">
      <c r="AU2451" s="44"/>
    </row>
    <row r="2452" spans="47:47" ht="12" customHeight="1">
      <c r="AU2452" s="44"/>
    </row>
    <row r="2453" spans="47:47" ht="12" customHeight="1">
      <c r="AU2453" s="44"/>
    </row>
    <row r="2454" spans="47:47" ht="12" customHeight="1">
      <c r="AU2454" s="44"/>
    </row>
    <row r="2455" spans="47:47" ht="12" customHeight="1">
      <c r="AU2455" s="44"/>
    </row>
    <row r="2456" spans="47:47" ht="12" customHeight="1">
      <c r="AU2456" s="44"/>
    </row>
    <row r="2457" spans="47:47" ht="12" customHeight="1">
      <c r="AU2457" s="44"/>
    </row>
    <row r="2458" spans="47:47" ht="12" customHeight="1">
      <c r="AU2458" s="44"/>
    </row>
    <row r="2459" spans="47:47" ht="12" customHeight="1">
      <c r="AU2459" s="44"/>
    </row>
    <row r="2460" spans="47:47" ht="12" customHeight="1">
      <c r="AU2460" s="44"/>
    </row>
    <row r="2461" spans="47:47" ht="12" customHeight="1">
      <c r="AU2461" s="44"/>
    </row>
    <row r="2462" spans="47:47" ht="12" customHeight="1">
      <c r="AU2462" s="44"/>
    </row>
    <row r="2463" spans="47:47" ht="12" customHeight="1">
      <c r="AU2463" s="44"/>
    </row>
    <row r="2464" spans="47:47" ht="12" customHeight="1">
      <c r="AU2464" s="44"/>
    </row>
    <row r="2465" spans="47:47" ht="12" customHeight="1">
      <c r="AU2465" s="44"/>
    </row>
    <row r="2466" spans="47:47" ht="12" customHeight="1">
      <c r="AU2466" s="44"/>
    </row>
    <row r="2467" spans="47:47" ht="12" customHeight="1">
      <c r="AU2467" s="44"/>
    </row>
    <row r="2468" spans="47:47" ht="12" customHeight="1">
      <c r="AU2468" s="44"/>
    </row>
    <row r="2469" spans="47:47" ht="12" customHeight="1">
      <c r="AU2469" s="44"/>
    </row>
    <row r="2470" spans="47:47" ht="12" customHeight="1">
      <c r="AU2470" s="44"/>
    </row>
    <row r="2471" spans="47:47" ht="12" customHeight="1">
      <c r="AU2471" s="44"/>
    </row>
    <row r="2472" spans="47:47" ht="12" customHeight="1">
      <c r="AU2472" s="44"/>
    </row>
    <row r="2473" spans="47:47" ht="12" customHeight="1">
      <c r="AU2473" s="44"/>
    </row>
    <row r="2474" spans="47:47" ht="12" customHeight="1">
      <c r="AU2474" s="44"/>
    </row>
    <row r="2475" spans="47:47" ht="12" customHeight="1">
      <c r="AU2475" s="44"/>
    </row>
    <row r="2476" spans="47:47" ht="12" customHeight="1">
      <c r="AU2476" s="44"/>
    </row>
    <row r="2477" spans="47:47" ht="12" customHeight="1">
      <c r="AU2477" s="44"/>
    </row>
    <row r="2478" spans="47:47" ht="12" customHeight="1">
      <c r="AU2478" s="44"/>
    </row>
    <row r="2479" spans="47:47" ht="12" customHeight="1">
      <c r="AU2479" s="44"/>
    </row>
    <row r="2480" spans="47:47" ht="12" customHeight="1">
      <c r="AU2480" s="44"/>
    </row>
    <row r="2481" spans="47:47" ht="12" customHeight="1">
      <c r="AU2481" s="44"/>
    </row>
    <row r="2482" spans="47:47" ht="12" customHeight="1">
      <c r="AU2482" s="44"/>
    </row>
    <row r="2483" spans="47:47" ht="12" customHeight="1">
      <c r="AU2483" s="44"/>
    </row>
    <row r="2484" spans="47:47" ht="12" customHeight="1">
      <c r="AU2484" s="44"/>
    </row>
    <row r="2485" spans="47:47" ht="12" customHeight="1">
      <c r="AU2485" s="44"/>
    </row>
    <row r="2486" spans="47:47" ht="12" customHeight="1">
      <c r="AU2486" s="44"/>
    </row>
    <row r="2487" spans="47:47" ht="12" customHeight="1">
      <c r="AU2487" s="44"/>
    </row>
    <row r="2488" spans="47:47" ht="12" customHeight="1">
      <c r="AU2488" s="44"/>
    </row>
    <row r="2489" spans="47:47" ht="12" customHeight="1">
      <c r="AU2489" s="44"/>
    </row>
    <row r="2490" spans="47:47" ht="12" customHeight="1">
      <c r="AU2490" s="44"/>
    </row>
    <row r="2491" spans="47:47" ht="12" customHeight="1">
      <c r="AU2491" s="44"/>
    </row>
    <row r="2492" spans="47:47" ht="12" customHeight="1">
      <c r="AU2492" s="44"/>
    </row>
    <row r="2493" spans="47:47" ht="12" customHeight="1">
      <c r="AU2493" s="44"/>
    </row>
    <row r="2494" spans="47:47" ht="12" customHeight="1">
      <c r="AU2494" s="44"/>
    </row>
    <row r="2495" spans="47:47" ht="12" customHeight="1">
      <c r="AU2495" s="44"/>
    </row>
    <row r="2496" spans="47:47" ht="12" customHeight="1">
      <c r="AU2496" s="44"/>
    </row>
    <row r="2497" spans="47:47" ht="12" customHeight="1">
      <c r="AU2497" s="44"/>
    </row>
    <row r="2498" spans="47:47" ht="12" customHeight="1">
      <c r="AU2498" s="44"/>
    </row>
    <row r="2499" spans="47:47" ht="12" customHeight="1">
      <c r="AU2499" s="44"/>
    </row>
    <row r="2500" spans="47:47" ht="12" customHeight="1">
      <c r="AU2500" s="44"/>
    </row>
    <row r="2501" spans="47:47" ht="12" customHeight="1">
      <c r="AU2501" s="44"/>
    </row>
    <row r="2502" spans="47:47" ht="12" customHeight="1">
      <c r="AU2502" s="44"/>
    </row>
    <row r="2503" spans="47:47" ht="12" customHeight="1">
      <c r="AU2503" s="44"/>
    </row>
    <row r="2504" spans="47:47" ht="12" customHeight="1">
      <c r="AU2504" s="44"/>
    </row>
    <row r="2505" spans="47:47" ht="12" customHeight="1">
      <c r="AU2505" s="44"/>
    </row>
    <row r="2506" spans="47:47" ht="12" customHeight="1">
      <c r="AU2506" s="44"/>
    </row>
    <row r="2507" spans="47:47" ht="12" customHeight="1">
      <c r="AU2507" s="44"/>
    </row>
    <row r="2508" spans="47:47" ht="12" customHeight="1">
      <c r="AU2508" s="44"/>
    </row>
    <row r="2509" spans="47:47" ht="12" customHeight="1">
      <c r="AU2509" s="44"/>
    </row>
    <row r="2510" spans="47:47" ht="12" customHeight="1">
      <c r="AU2510" s="44"/>
    </row>
    <row r="2511" spans="47:47" ht="12" customHeight="1">
      <c r="AU2511" s="44"/>
    </row>
    <row r="2512" spans="47:47" ht="12" customHeight="1">
      <c r="AU2512" s="44"/>
    </row>
    <row r="2513" spans="47:47" ht="12" customHeight="1">
      <c r="AU2513" s="44"/>
    </row>
    <row r="2514" spans="47:47" ht="12" customHeight="1">
      <c r="AU2514" s="44"/>
    </row>
    <row r="2515" spans="47:47" ht="12" customHeight="1">
      <c r="AU2515" s="44"/>
    </row>
    <row r="2516" spans="47:47" ht="12" customHeight="1">
      <c r="AU2516" s="44"/>
    </row>
    <row r="2517" spans="47:47" ht="12" customHeight="1">
      <c r="AU2517" s="44"/>
    </row>
    <row r="2518" spans="47:47" ht="12" customHeight="1">
      <c r="AU2518" s="44"/>
    </row>
    <row r="2519" spans="47:47" ht="12" customHeight="1">
      <c r="AU2519" s="44"/>
    </row>
    <row r="2520" spans="47:47" ht="12" customHeight="1">
      <c r="AU2520" s="44"/>
    </row>
    <row r="2521" spans="47:47" ht="12" customHeight="1">
      <c r="AU2521" s="44"/>
    </row>
    <row r="2522" spans="47:47" ht="12" customHeight="1">
      <c r="AU2522" s="44"/>
    </row>
    <row r="2523" spans="47:47" ht="12" customHeight="1">
      <c r="AU2523" s="44"/>
    </row>
    <row r="2524" spans="47:47" ht="12" customHeight="1">
      <c r="AU2524" s="44"/>
    </row>
    <row r="2525" spans="47:47" ht="12" customHeight="1">
      <c r="AU2525" s="44"/>
    </row>
    <row r="2526" spans="47:47" ht="12" customHeight="1">
      <c r="AU2526" s="44"/>
    </row>
    <row r="2527" spans="47:47" ht="12" customHeight="1">
      <c r="AU2527" s="44"/>
    </row>
    <row r="2528" spans="47:47" ht="12" customHeight="1">
      <c r="AU2528" s="44"/>
    </row>
    <row r="2529" spans="47:47" ht="12" customHeight="1">
      <c r="AU2529" s="44"/>
    </row>
    <row r="2530" spans="47:47" ht="12" customHeight="1">
      <c r="AU2530" s="44"/>
    </row>
    <row r="2531" spans="47:47" ht="12" customHeight="1">
      <c r="AU2531" s="44"/>
    </row>
    <row r="2532" spans="47:47" ht="12" customHeight="1">
      <c r="AU2532" s="44"/>
    </row>
    <row r="2533" spans="47:47" ht="12" customHeight="1">
      <c r="AU2533" s="44"/>
    </row>
    <row r="2534" spans="47:47" ht="12" customHeight="1">
      <c r="AU2534" s="44"/>
    </row>
    <row r="2535" spans="47:47" ht="12" customHeight="1">
      <c r="AU2535" s="44"/>
    </row>
    <row r="2536" spans="47:47" ht="12" customHeight="1">
      <c r="AU2536" s="44"/>
    </row>
    <row r="2537" spans="47:47" ht="12" customHeight="1">
      <c r="AU2537" s="44"/>
    </row>
    <row r="2538" spans="47:47" ht="12" customHeight="1">
      <c r="AU2538" s="44"/>
    </row>
    <row r="2539" spans="47:47" ht="12" customHeight="1">
      <c r="AU2539" s="44"/>
    </row>
    <row r="2540" spans="47:47" ht="12" customHeight="1">
      <c r="AU2540" s="44"/>
    </row>
    <row r="2541" spans="47:47" ht="12" customHeight="1">
      <c r="AU2541" s="44"/>
    </row>
    <row r="2542" spans="47:47" ht="12" customHeight="1">
      <c r="AU2542" s="44"/>
    </row>
    <row r="2543" spans="47:47" ht="12" customHeight="1">
      <c r="AU2543" s="44"/>
    </row>
    <row r="2544" spans="47:47" ht="12" customHeight="1">
      <c r="AU2544" s="44"/>
    </row>
    <row r="2545" spans="47:47" ht="12" customHeight="1">
      <c r="AU2545" s="44"/>
    </row>
    <row r="2546" spans="47:47" ht="12" customHeight="1">
      <c r="AU2546" s="44"/>
    </row>
    <row r="2547" spans="47:47" ht="12" customHeight="1">
      <c r="AU2547" s="44"/>
    </row>
    <row r="2548" spans="47:47" ht="12" customHeight="1">
      <c r="AU2548" s="44"/>
    </row>
    <row r="2549" spans="47:47" ht="12" customHeight="1">
      <c r="AU2549" s="44"/>
    </row>
    <row r="2550" spans="47:47" ht="12" customHeight="1">
      <c r="AU2550" s="44"/>
    </row>
    <row r="2551" spans="47:47" ht="12" customHeight="1">
      <c r="AU2551" s="44"/>
    </row>
    <row r="2552" spans="47:47" ht="12" customHeight="1">
      <c r="AU2552" s="44"/>
    </row>
    <row r="2553" spans="47:47" ht="12" customHeight="1">
      <c r="AU2553" s="44"/>
    </row>
    <row r="2554" spans="47:47" ht="12" customHeight="1">
      <c r="AU2554" s="44"/>
    </row>
    <row r="2555" spans="47:47" ht="12" customHeight="1">
      <c r="AU2555" s="44"/>
    </row>
    <row r="2556" spans="47:47" ht="12" customHeight="1">
      <c r="AU2556" s="44"/>
    </row>
    <row r="2557" spans="47:47" ht="12" customHeight="1">
      <c r="AU2557" s="44"/>
    </row>
    <row r="2558" spans="47:47" ht="12" customHeight="1">
      <c r="AU2558" s="44"/>
    </row>
    <row r="2559" spans="47:47" ht="12" customHeight="1">
      <c r="AU2559" s="44"/>
    </row>
    <row r="2560" spans="47:47" ht="12" customHeight="1">
      <c r="AU2560" s="44"/>
    </row>
    <row r="2561" spans="47:47" ht="12" customHeight="1">
      <c r="AU2561" s="44"/>
    </row>
    <row r="2562" spans="47:47" ht="12" customHeight="1">
      <c r="AU2562" s="44"/>
    </row>
    <row r="2563" spans="47:47" ht="12" customHeight="1">
      <c r="AU2563" s="44"/>
    </row>
    <row r="2564" spans="47:47" ht="12" customHeight="1">
      <c r="AU2564" s="44"/>
    </row>
    <row r="2565" spans="47:47" ht="12" customHeight="1">
      <c r="AU2565" s="44"/>
    </row>
    <row r="2566" spans="47:47" ht="12" customHeight="1">
      <c r="AU2566" s="44"/>
    </row>
    <row r="2567" spans="47:47" ht="12" customHeight="1">
      <c r="AU2567" s="44"/>
    </row>
    <row r="2568" spans="47:47" ht="12" customHeight="1">
      <c r="AU2568" s="44"/>
    </row>
    <row r="2569" spans="47:47" ht="12" customHeight="1">
      <c r="AU2569" s="44"/>
    </row>
    <row r="2570" spans="47:47" ht="12" customHeight="1">
      <c r="AU2570" s="44"/>
    </row>
    <row r="2571" spans="47:47" ht="12" customHeight="1">
      <c r="AU2571" s="44"/>
    </row>
    <row r="2572" spans="47:47" ht="12" customHeight="1">
      <c r="AU2572" s="44"/>
    </row>
    <row r="2573" spans="47:47" ht="12" customHeight="1">
      <c r="AU2573" s="44"/>
    </row>
    <row r="2574" spans="47:47" ht="12" customHeight="1">
      <c r="AU2574" s="44"/>
    </row>
    <row r="2575" spans="47:47" ht="12" customHeight="1">
      <c r="AU2575" s="44"/>
    </row>
    <row r="2576" spans="47:47" ht="12" customHeight="1">
      <c r="AU2576" s="44"/>
    </row>
    <row r="2577" spans="47:47" ht="12" customHeight="1">
      <c r="AU2577" s="44"/>
    </row>
    <row r="2578" spans="47:47" ht="12" customHeight="1">
      <c r="AU2578" s="44"/>
    </row>
    <row r="2579" spans="47:47" ht="12" customHeight="1">
      <c r="AU2579" s="44"/>
    </row>
    <row r="2580" spans="47:47" ht="12" customHeight="1">
      <c r="AU2580" s="44"/>
    </row>
    <row r="2581" spans="47:47" ht="12" customHeight="1">
      <c r="AU2581" s="44"/>
    </row>
    <row r="2582" spans="47:47" ht="12" customHeight="1">
      <c r="AU2582" s="44"/>
    </row>
    <row r="2583" spans="47:47" ht="12" customHeight="1">
      <c r="AU2583" s="44"/>
    </row>
    <row r="2584" spans="47:47" ht="12" customHeight="1">
      <c r="AU2584" s="44"/>
    </row>
    <row r="2585" spans="47:47" ht="12" customHeight="1">
      <c r="AU2585" s="44"/>
    </row>
    <row r="2586" spans="47:47" ht="12" customHeight="1">
      <c r="AU2586" s="44"/>
    </row>
    <row r="2587" spans="47:47" ht="12" customHeight="1">
      <c r="AU2587" s="44"/>
    </row>
    <row r="2588" spans="47:47" ht="12" customHeight="1">
      <c r="AU2588" s="44"/>
    </row>
    <row r="2589" spans="47:47" ht="12" customHeight="1">
      <c r="AU2589" s="44"/>
    </row>
    <row r="2590" spans="47:47" ht="12" customHeight="1">
      <c r="AU2590" s="44"/>
    </row>
    <row r="2591" spans="47:47" ht="12" customHeight="1">
      <c r="AU2591" s="44"/>
    </row>
    <row r="2592" spans="47:47" ht="12" customHeight="1">
      <c r="AU2592" s="44"/>
    </row>
    <row r="2593" spans="47:47" ht="12" customHeight="1">
      <c r="AU2593" s="44"/>
    </row>
    <row r="2594" spans="47:47" ht="12" customHeight="1">
      <c r="AU2594" s="44"/>
    </row>
    <row r="2595" spans="47:47" ht="12" customHeight="1">
      <c r="AU2595" s="44"/>
    </row>
    <row r="2596" spans="47:47" ht="12" customHeight="1">
      <c r="AU2596" s="44"/>
    </row>
    <row r="2597" spans="47:47" ht="12" customHeight="1">
      <c r="AU2597" s="44"/>
    </row>
    <row r="2598" spans="47:47" ht="12" customHeight="1">
      <c r="AU2598" s="44"/>
    </row>
    <row r="2599" spans="47:47" ht="12" customHeight="1">
      <c r="AU2599" s="44"/>
    </row>
    <row r="2600" spans="47:47" ht="12" customHeight="1">
      <c r="AU2600" s="44"/>
    </row>
    <row r="2601" spans="47:47" ht="12" customHeight="1">
      <c r="AU2601" s="44"/>
    </row>
    <row r="2602" spans="47:47" ht="12" customHeight="1">
      <c r="AU2602" s="44"/>
    </row>
    <row r="2603" spans="47:47" ht="12" customHeight="1">
      <c r="AU2603" s="44"/>
    </row>
    <row r="2604" spans="47:47" ht="12" customHeight="1">
      <c r="AU2604" s="44"/>
    </row>
    <row r="2605" spans="47:47" ht="12" customHeight="1">
      <c r="AU2605" s="44"/>
    </row>
    <row r="2606" spans="47:47" ht="12" customHeight="1">
      <c r="AU2606" s="44"/>
    </row>
    <row r="2607" spans="47:47" ht="12" customHeight="1">
      <c r="AU2607" s="44"/>
    </row>
    <row r="2608" spans="47:47" ht="12" customHeight="1">
      <c r="AU2608" s="44"/>
    </row>
    <row r="2609" spans="47:47" ht="12" customHeight="1">
      <c r="AU2609" s="44"/>
    </row>
    <row r="2610" spans="47:47" ht="12" customHeight="1">
      <c r="AU2610" s="44"/>
    </row>
    <row r="2611" spans="47:47" ht="12" customHeight="1">
      <c r="AU2611" s="44"/>
    </row>
    <row r="2612" spans="47:47" ht="12" customHeight="1">
      <c r="AU2612" s="44"/>
    </row>
    <row r="2613" spans="47:47" ht="12" customHeight="1">
      <c r="AU2613" s="44"/>
    </row>
    <row r="2614" spans="47:47" ht="12" customHeight="1">
      <c r="AU2614" s="44"/>
    </row>
    <row r="2615" spans="47:47" ht="12" customHeight="1">
      <c r="AU2615" s="44"/>
    </row>
    <row r="2616" spans="47:47" ht="12" customHeight="1">
      <c r="AU2616" s="44"/>
    </row>
    <row r="2617" spans="47:47" ht="12" customHeight="1">
      <c r="AU2617" s="44"/>
    </row>
    <row r="2618" spans="47:47" ht="12" customHeight="1">
      <c r="AU2618" s="44"/>
    </row>
    <row r="2619" spans="47:47" ht="12" customHeight="1">
      <c r="AU2619" s="44"/>
    </row>
    <row r="2620" spans="47:47" ht="12" customHeight="1">
      <c r="AU2620" s="44"/>
    </row>
    <row r="2621" spans="47:47" ht="12" customHeight="1">
      <c r="AU2621" s="44"/>
    </row>
    <row r="2622" spans="47:47" ht="12" customHeight="1">
      <c r="AU2622" s="44"/>
    </row>
    <row r="2623" spans="47:47" ht="12" customHeight="1">
      <c r="AU2623" s="44"/>
    </row>
    <row r="2624" spans="47:47" ht="12" customHeight="1">
      <c r="AU2624" s="44"/>
    </row>
    <row r="2625" spans="47:47" ht="12" customHeight="1">
      <c r="AU2625" s="44"/>
    </row>
    <row r="2626" spans="47:47" ht="12" customHeight="1">
      <c r="AU2626" s="44"/>
    </row>
    <row r="2627" spans="47:47" ht="12" customHeight="1">
      <c r="AU2627" s="44"/>
    </row>
    <row r="2628" spans="47:47" ht="12" customHeight="1">
      <c r="AU2628" s="44"/>
    </row>
    <row r="2629" spans="47:47" ht="12" customHeight="1">
      <c r="AU2629" s="44"/>
    </row>
    <row r="2630" spans="47:47" ht="12" customHeight="1">
      <c r="AU2630" s="44"/>
    </row>
    <row r="2631" spans="47:47" ht="12" customHeight="1">
      <c r="AU2631" s="44"/>
    </row>
    <row r="2632" spans="47:47" ht="12" customHeight="1">
      <c r="AU2632" s="44"/>
    </row>
    <row r="2633" spans="47:47" ht="12" customHeight="1">
      <c r="AU2633" s="44"/>
    </row>
    <row r="2634" spans="47:47" ht="12" customHeight="1">
      <c r="AU2634" s="44"/>
    </row>
    <row r="2635" spans="47:47" ht="12" customHeight="1">
      <c r="AU2635" s="44"/>
    </row>
    <row r="2636" spans="47:47" ht="12" customHeight="1">
      <c r="AU2636" s="44"/>
    </row>
    <row r="2637" spans="47:47" ht="12" customHeight="1">
      <c r="AU2637" s="44"/>
    </row>
    <row r="2638" spans="47:47" ht="12" customHeight="1">
      <c r="AU2638" s="44"/>
    </row>
    <row r="2639" spans="47:47" ht="12" customHeight="1">
      <c r="AU2639" s="44"/>
    </row>
    <row r="2640" spans="47:47" ht="12" customHeight="1">
      <c r="AU2640" s="44"/>
    </row>
    <row r="2641" spans="47:47" ht="12" customHeight="1">
      <c r="AU2641" s="44"/>
    </row>
    <row r="2642" spans="47:47" ht="12" customHeight="1">
      <c r="AU2642" s="44"/>
    </row>
    <row r="2643" spans="47:47" ht="12" customHeight="1">
      <c r="AU2643" s="44"/>
    </row>
    <row r="2644" spans="47:47" ht="12" customHeight="1">
      <c r="AU2644" s="44"/>
    </row>
    <row r="2645" spans="47:47" ht="12" customHeight="1">
      <c r="AU2645" s="44"/>
    </row>
    <row r="2646" spans="47:47" ht="12" customHeight="1">
      <c r="AU2646" s="44"/>
    </row>
    <row r="2647" spans="47:47" ht="12" customHeight="1">
      <c r="AU2647" s="44"/>
    </row>
    <row r="2648" spans="47:47" ht="12" customHeight="1">
      <c r="AU2648" s="44"/>
    </row>
    <row r="2649" spans="47:47" ht="12" customHeight="1">
      <c r="AU2649" s="44"/>
    </row>
    <row r="2650" spans="47:47" ht="12" customHeight="1">
      <c r="AU2650" s="44"/>
    </row>
    <row r="2651" spans="47:47" ht="12" customHeight="1">
      <c r="AU2651" s="44"/>
    </row>
    <row r="2652" spans="47:47" ht="12" customHeight="1">
      <c r="AU2652" s="44"/>
    </row>
    <row r="2653" spans="47:47" ht="12" customHeight="1">
      <c r="AU2653" s="44"/>
    </row>
    <row r="2654" spans="47:47" ht="12" customHeight="1">
      <c r="AU2654" s="44"/>
    </row>
    <row r="2655" spans="47:47" ht="12" customHeight="1">
      <c r="AU2655" s="44"/>
    </row>
    <row r="2656" spans="47:47" ht="12" customHeight="1">
      <c r="AU2656" s="44"/>
    </row>
    <row r="2657" spans="47:47" ht="12" customHeight="1">
      <c r="AU2657" s="44"/>
    </row>
    <row r="2658" spans="47:47" ht="12" customHeight="1">
      <c r="AU2658" s="44"/>
    </row>
    <row r="2659" spans="47:47" ht="12" customHeight="1">
      <c r="AU2659" s="44"/>
    </row>
    <row r="2660" spans="47:47" ht="12" customHeight="1">
      <c r="AU2660" s="44"/>
    </row>
    <row r="2661" spans="47:47" ht="12" customHeight="1">
      <c r="AU2661" s="44"/>
    </row>
    <row r="2662" spans="47:47" ht="12" customHeight="1">
      <c r="AU2662" s="44"/>
    </row>
    <row r="2663" spans="47:47" ht="12" customHeight="1">
      <c r="AU2663" s="44"/>
    </row>
    <row r="2664" spans="47:47" ht="12" customHeight="1">
      <c r="AU2664" s="44"/>
    </row>
    <row r="2665" spans="47:47" ht="12" customHeight="1">
      <c r="AU2665" s="44"/>
    </row>
    <row r="2666" spans="47:47" ht="12" customHeight="1">
      <c r="AU2666" s="44"/>
    </row>
    <row r="2667" spans="47:47" ht="12" customHeight="1">
      <c r="AU2667" s="44"/>
    </row>
    <row r="2668" spans="47:47" ht="12" customHeight="1">
      <c r="AU2668" s="44"/>
    </row>
    <row r="2669" spans="47:47" ht="12" customHeight="1">
      <c r="AU2669" s="44"/>
    </row>
    <row r="2670" spans="47:47" ht="12" customHeight="1">
      <c r="AU2670" s="44"/>
    </row>
    <row r="2671" spans="47:47" ht="12" customHeight="1">
      <c r="AU2671" s="44"/>
    </row>
    <row r="2672" spans="47:47" ht="12" customHeight="1">
      <c r="AU2672" s="44"/>
    </row>
    <row r="2673" spans="47:47" ht="12" customHeight="1">
      <c r="AU2673" s="44"/>
    </row>
    <row r="2674" spans="47:47" ht="12" customHeight="1">
      <c r="AU2674" s="44"/>
    </row>
    <row r="2675" spans="47:47" ht="12" customHeight="1">
      <c r="AU2675" s="44"/>
    </row>
    <row r="2676" spans="47:47" ht="12" customHeight="1">
      <c r="AU2676" s="44"/>
    </row>
    <row r="2677" spans="47:47" ht="12" customHeight="1">
      <c r="AU2677" s="44"/>
    </row>
    <row r="2678" spans="47:47" ht="12" customHeight="1">
      <c r="AU2678" s="44"/>
    </row>
    <row r="2679" spans="47:47" ht="12" customHeight="1">
      <c r="AU2679" s="44"/>
    </row>
    <row r="2680" spans="47:47" ht="12" customHeight="1">
      <c r="AU2680" s="44"/>
    </row>
    <row r="2681" spans="47:47" ht="12" customHeight="1">
      <c r="AU2681" s="44"/>
    </row>
    <row r="2682" spans="47:47" ht="12" customHeight="1">
      <c r="AU2682" s="44"/>
    </row>
    <row r="2683" spans="47:47" ht="12" customHeight="1">
      <c r="AU2683" s="44"/>
    </row>
    <row r="2684" spans="47:47" ht="12" customHeight="1">
      <c r="AU2684" s="44"/>
    </row>
    <row r="2685" spans="47:47" ht="12" customHeight="1">
      <c r="AU2685" s="44"/>
    </row>
    <row r="2686" spans="47:47" ht="12" customHeight="1">
      <c r="AU2686" s="44"/>
    </row>
    <row r="2687" spans="47:47" ht="12" customHeight="1">
      <c r="AU2687" s="44"/>
    </row>
    <row r="2688" spans="47:47" ht="12" customHeight="1">
      <c r="AU2688" s="44"/>
    </row>
    <row r="2689" spans="47:47" ht="12" customHeight="1">
      <c r="AU2689" s="44"/>
    </row>
    <row r="2690" spans="47:47" ht="12" customHeight="1">
      <c r="AU2690" s="44"/>
    </row>
    <row r="2691" spans="47:47" ht="12" customHeight="1">
      <c r="AU2691" s="44"/>
    </row>
    <row r="2692" spans="47:47" ht="12" customHeight="1">
      <c r="AU2692" s="44"/>
    </row>
    <row r="2693" spans="47:47" ht="12" customHeight="1">
      <c r="AU2693" s="44"/>
    </row>
    <row r="2694" spans="47:47" ht="12" customHeight="1">
      <c r="AU2694" s="44"/>
    </row>
    <row r="2695" spans="47:47" ht="12" customHeight="1">
      <c r="AU2695" s="44"/>
    </row>
    <row r="2696" spans="47:47" ht="12" customHeight="1">
      <c r="AU2696" s="44"/>
    </row>
    <row r="2697" spans="47:47" ht="12" customHeight="1">
      <c r="AU2697" s="44"/>
    </row>
    <row r="2698" spans="47:47" ht="12" customHeight="1">
      <c r="AU2698" s="44"/>
    </row>
    <row r="2699" spans="47:47" ht="12" customHeight="1">
      <c r="AU2699" s="44"/>
    </row>
    <row r="2700" spans="47:47" ht="12" customHeight="1">
      <c r="AU2700" s="44"/>
    </row>
    <row r="2701" spans="47:47" ht="12" customHeight="1">
      <c r="AU2701" s="44"/>
    </row>
    <row r="2702" spans="47:47" ht="12" customHeight="1">
      <c r="AU2702" s="44"/>
    </row>
    <row r="2703" spans="47:47" ht="12" customHeight="1">
      <c r="AU2703" s="44"/>
    </row>
    <row r="2704" spans="47:47" ht="12" customHeight="1">
      <c r="AU2704" s="44"/>
    </row>
    <row r="2705" spans="47:47" ht="12" customHeight="1">
      <c r="AU2705" s="44"/>
    </row>
    <row r="2706" spans="47:47" ht="12" customHeight="1">
      <c r="AU2706" s="44"/>
    </row>
    <row r="2707" spans="47:47" ht="12" customHeight="1">
      <c r="AU2707" s="44"/>
    </row>
    <row r="2708" spans="47:47" ht="12" customHeight="1">
      <c r="AU2708" s="44"/>
    </row>
    <row r="2709" spans="47:47" ht="12" customHeight="1">
      <c r="AU2709" s="44"/>
    </row>
    <row r="2710" spans="47:47" ht="12" customHeight="1">
      <c r="AU2710" s="44"/>
    </row>
    <row r="2711" spans="47:47" ht="12" customHeight="1">
      <c r="AU2711" s="44"/>
    </row>
    <row r="2712" spans="47:47" ht="12" customHeight="1">
      <c r="AU2712" s="44"/>
    </row>
    <row r="2713" spans="47:47" ht="12" customHeight="1">
      <c r="AU2713" s="44"/>
    </row>
    <row r="2714" spans="47:47" ht="12" customHeight="1">
      <c r="AU2714" s="44"/>
    </row>
    <row r="2715" spans="47:47" ht="12" customHeight="1">
      <c r="AU2715" s="44"/>
    </row>
    <row r="2716" spans="47:47" ht="12" customHeight="1">
      <c r="AU2716" s="44"/>
    </row>
    <row r="2717" spans="47:47" ht="12" customHeight="1">
      <c r="AU2717" s="44"/>
    </row>
    <row r="2718" spans="47:47" ht="12" customHeight="1">
      <c r="AU2718" s="44"/>
    </row>
    <row r="2719" spans="47:47" ht="12" customHeight="1">
      <c r="AU2719" s="44"/>
    </row>
    <row r="2720" spans="47:47" ht="12" customHeight="1">
      <c r="AU2720" s="44"/>
    </row>
    <row r="2721" spans="47:47" ht="12" customHeight="1">
      <c r="AU2721" s="44"/>
    </row>
    <row r="2722" spans="47:47" ht="12" customHeight="1">
      <c r="AU2722" s="44"/>
    </row>
    <row r="2723" spans="47:47" ht="12" customHeight="1">
      <c r="AU2723" s="44"/>
    </row>
    <row r="2724" spans="47:47" ht="12" customHeight="1">
      <c r="AU2724" s="44"/>
    </row>
    <row r="2725" spans="47:47" ht="12" customHeight="1">
      <c r="AU2725" s="44"/>
    </row>
    <row r="2726" spans="47:47" ht="12" customHeight="1">
      <c r="AU2726" s="44"/>
    </row>
    <row r="2727" spans="47:47" ht="12" customHeight="1">
      <c r="AU2727" s="44"/>
    </row>
    <row r="2728" spans="47:47" ht="12" customHeight="1">
      <c r="AU2728" s="44"/>
    </row>
    <row r="2729" spans="47:47" ht="12" customHeight="1">
      <c r="AU2729" s="44"/>
    </row>
    <row r="2730" spans="47:47" ht="12" customHeight="1">
      <c r="AU2730" s="44"/>
    </row>
    <row r="2731" spans="47:47" ht="12" customHeight="1">
      <c r="AU2731" s="44"/>
    </row>
    <row r="2732" spans="47:47" ht="12" customHeight="1">
      <c r="AU2732" s="44"/>
    </row>
    <row r="2733" spans="47:47" ht="12" customHeight="1">
      <c r="AU2733" s="44"/>
    </row>
    <row r="2734" spans="47:47" ht="12" customHeight="1">
      <c r="AU2734" s="44"/>
    </row>
    <row r="2735" spans="47:47" ht="12" customHeight="1">
      <c r="AU2735" s="44"/>
    </row>
    <row r="2736" spans="47:47" ht="12" customHeight="1">
      <c r="AU2736" s="44"/>
    </row>
    <row r="2737" spans="47:47" ht="12" customHeight="1">
      <c r="AU2737" s="44"/>
    </row>
    <row r="2738" spans="47:47" ht="12" customHeight="1">
      <c r="AU2738" s="44"/>
    </row>
    <row r="2739" spans="47:47" ht="12" customHeight="1">
      <c r="AU2739" s="44"/>
    </row>
    <row r="2740" spans="47:47" ht="12" customHeight="1">
      <c r="AU2740" s="44"/>
    </row>
    <row r="2741" spans="47:47" ht="12" customHeight="1">
      <c r="AU2741" s="44"/>
    </row>
    <row r="2742" spans="47:47" ht="12" customHeight="1">
      <c r="AU2742" s="44"/>
    </row>
    <row r="2743" spans="47:47" ht="12" customHeight="1">
      <c r="AU2743" s="44"/>
    </row>
    <row r="2744" spans="47:47" ht="12" customHeight="1">
      <c r="AU2744" s="44"/>
    </row>
    <row r="2745" spans="47:47" ht="12" customHeight="1">
      <c r="AU2745" s="44"/>
    </row>
    <row r="2746" spans="47:47" ht="12" customHeight="1">
      <c r="AU2746" s="44"/>
    </row>
    <row r="2747" spans="47:47" ht="12" customHeight="1">
      <c r="AU2747" s="44"/>
    </row>
    <row r="2748" spans="47:47" ht="12" customHeight="1">
      <c r="AU2748" s="44"/>
    </row>
    <row r="2749" spans="47:47" ht="12" customHeight="1">
      <c r="AU2749" s="44"/>
    </row>
    <row r="2750" spans="47:47" ht="12" customHeight="1">
      <c r="AU2750" s="44"/>
    </row>
    <row r="2751" spans="47:47" ht="12" customHeight="1">
      <c r="AU2751" s="44"/>
    </row>
    <row r="2752" spans="47:47" ht="12" customHeight="1">
      <c r="AU2752" s="44"/>
    </row>
    <row r="2753" spans="47:47" ht="12" customHeight="1">
      <c r="AU2753" s="44"/>
    </row>
    <row r="2754" spans="47:47" ht="12" customHeight="1">
      <c r="AU2754" s="44"/>
    </row>
    <row r="2755" spans="47:47" ht="12" customHeight="1">
      <c r="AU2755" s="44"/>
    </row>
    <row r="2756" spans="47:47" ht="12" customHeight="1">
      <c r="AU2756" s="44"/>
    </row>
    <row r="2757" spans="47:47" ht="12" customHeight="1">
      <c r="AU2757" s="44"/>
    </row>
    <row r="2758" spans="47:47" ht="12" customHeight="1">
      <c r="AU2758" s="44"/>
    </row>
    <row r="2759" spans="47:47" ht="12" customHeight="1">
      <c r="AU2759" s="44"/>
    </row>
    <row r="2760" spans="47:47" ht="12" customHeight="1">
      <c r="AU2760" s="44"/>
    </row>
    <row r="2761" spans="47:47" ht="12" customHeight="1">
      <c r="AU2761" s="44"/>
    </row>
    <row r="2762" spans="47:47" ht="12" customHeight="1">
      <c r="AU2762" s="44"/>
    </row>
    <row r="2763" spans="47:47" ht="12" customHeight="1">
      <c r="AU2763" s="44"/>
    </row>
    <row r="2764" spans="47:47" ht="12" customHeight="1">
      <c r="AU2764" s="44"/>
    </row>
    <row r="2765" spans="47:47" ht="12" customHeight="1">
      <c r="AU2765" s="44"/>
    </row>
    <row r="2766" spans="47:47" ht="12" customHeight="1">
      <c r="AU2766" s="44"/>
    </row>
    <row r="2767" spans="47:47" ht="12" customHeight="1">
      <c r="AU2767" s="44"/>
    </row>
    <row r="2768" spans="47:47" ht="12" customHeight="1">
      <c r="AU2768" s="44"/>
    </row>
    <row r="2769" spans="47:47" ht="12" customHeight="1">
      <c r="AU2769" s="44"/>
    </row>
    <row r="2770" spans="47:47" ht="12" customHeight="1">
      <c r="AU2770" s="44"/>
    </row>
    <row r="2771" spans="47:47" ht="12" customHeight="1">
      <c r="AU2771" s="44"/>
    </row>
    <row r="2772" spans="47:47" ht="12" customHeight="1">
      <c r="AU2772" s="44"/>
    </row>
    <row r="2773" spans="47:47" ht="12" customHeight="1">
      <c r="AU2773" s="44"/>
    </row>
    <row r="2774" spans="47:47" ht="12" customHeight="1">
      <c r="AU2774" s="44"/>
    </row>
    <row r="2775" spans="47:47" ht="12" customHeight="1">
      <c r="AU2775" s="44"/>
    </row>
    <row r="2776" spans="47:47" ht="12" customHeight="1">
      <c r="AU2776" s="44"/>
    </row>
    <row r="2777" spans="47:47" ht="12" customHeight="1">
      <c r="AU2777" s="44"/>
    </row>
    <row r="2778" spans="47:47" ht="12" customHeight="1">
      <c r="AU2778" s="44"/>
    </row>
    <row r="2779" spans="47:47" ht="12" customHeight="1">
      <c r="AU2779" s="44"/>
    </row>
    <row r="2780" spans="47:47" ht="12" customHeight="1">
      <c r="AU2780" s="44"/>
    </row>
    <row r="2781" spans="47:47" ht="12" customHeight="1">
      <c r="AU2781" s="44"/>
    </row>
    <row r="2782" spans="47:47" ht="12" customHeight="1">
      <c r="AU2782" s="44"/>
    </row>
    <row r="2783" spans="47:47" ht="12" customHeight="1">
      <c r="AU2783" s="44"/>
    </row>
    <row r="2784" spans="47:47" ht="12" customHeight="1">
      <c r="AU2784" s="44"/>
    </row>
    <row r="2785" spans="47:47" ht="12" customHeight="1">
      <c r="AU2785" s="44"/>
    </row>
    <row r="2786" spans="47:47" ht="12" customHeight="1">
      <c r="AU2786" s="44"/>
    </row>
    <row r="2787" spans="47:47" ht="12" customHeight="1">
      <c r="AU2787" s="44"/>
    </row>
    <row r="2788" spans="47:47" ht="12" customHeight="1">
      <c r="AU2788" s="44"/>
    </row>
    <row r="2789" spans="47:47" ht="12" customHeight="1">
      <c r="AU2789" s="44"/>
    </row>
    <row r="2790" spans="47:47" ht="12" customHeight="1">
      <c r="AU2790" s="44"/>
    </row>
    <row r="2791" spans="47:47" ht="12" customHeight="1">
      <c r="AU2791" s="44"/>
    </row>
    <row r="2792" spans="47:47" ht="12" customHeight="1">
      <c r="AU2792" s="44"/>
    </row>
    <row r="2793" spans="47:47" ht="12" customHeight="1">
      <c r="AU2793" s="44"/>
    </row>
    <row r="2794" spans="47:47" ht="12" customHeight="1">
      <c r="AU2794" s="44"/>
    </row>
    <row r="2795" spans="47:47" ht="12" customHeight="1">
      <c r="AU2795" s="44"/>
    </row>
    <row r="2796" spans="47:47" ht="12" customHeight="1">
      <c r="AU2796" s="44"/>
    </row>
    <row r="2797" spans="47:47" ht="12" customHeight="1">
      <c r="AU2797" s="44"/>
    </row>
    <row r="2798" spans="47:47" ht="12" customHeight="1">
      <c r="AU2798" s="44"/>
    </row>
    <row r="2799" spans="47:47" ht="12" customHeight="1">
      <c r="AU2799" s="44"/>
    </row>
    <row r="2800" spans="47:47" ht="12" customHeight="1">
      <c r="AU2800" s="44"/>
    </row>
    <row r="2801" spans="47:47" ht="12" customHeight="1">
      <c r="AU2801" s="44"/>
    </row>
    <row r="2802" spans="47:47" ht="12" customHeight="1">
      <c r="AU2802" s="44"/>
    </row>
    <row r="2803" spans="47:47" ht="12" customHeight="1">
      <c r="AU2803" s="44"/>
    </row>
    <row r="2804" spans="47:47" ht="12" customHeight="1">
      <c r="AU2804" s="44"/>
    </row>
    <row r="2805" spans="47:47" ht="12" customHeight="1">
      <c r="AU2805" s="44"/>
    </row>
    <row r="2806" spans="47:47" ht="12" customHeight="1">
      <c r="AU2806" s="44"/>
    </row>
    <row r="2807" spans="47:47" ht="12" customHeight="1">
      <c r="AU2807" s="44"/>
    </row>
    <row r="2808" spans="47:47" ht="12" customHeight="1">
      <c r="AU2808" s="44"/>
    </row>
    <row r="2809" spans="47:47" ht="12" customHeight="1">
      <c r="AU2809" s="44"/>
    </row>
    <row r="2810" spans="47:47" ht="12" customHeight="1">
      <c r="AU2810" s="44"/>
    </row>
    <row r="2811" spans="47:47" ht="12" customHeight="1">
      <c r="AU2811" s="44"/>
    </row>
    <row r="2812" spans="47:47" ht="12" customHeight="1">
      <c r="AU2812" s="44"/>
    </row>
    <row r="2813" spans="47:47" ht="12" customHeight="1">
      <c r="AU2813" s="44"/>
    </row>
    <row r="2814" spans="47:47" ht="12" customHeight="1">
      <c r="AU2814" s="44"/>
    </row>
    <row r="2815" spans="47:47" ht="12" customHeight="1">
      <c r="AU2815" s="44"/>
    </row>
    <row r="2816" spans="47:47" ht="12" customHeight="1">
      <c r="AU2816" s="44"/>
    </row>
    <row r="2817" spans="47:47" ht="12" customHeight="1">
      <c r="AU2817" s="44"/>
    </row>
    <row r="2818" spans="47:47" ht="12" customHeight="1">
      <c r="AU2818" s="44"/>
    </row>
    <row r="2819" spans="47:47" ht="12" customHeight="1">
      <c r="AU2819" s="44"/>
    </row>
    <row r="2820" spans="47:47" ht="12" customHeight="1">
      <c r="AU2820" s="44"/>
    </row>
    <row r="2821" spans="47:47" ht="12" customHeight="1">
      <c r="AU2821" s="44"/>
    </row>
    <row r="2822" spans="47:47" ht="12" customHeight="1">
      <c r="AU2822" s="44"/>
    </row>
    <row r="2823" spans="47:47" ht="12" customHeight="1">
      <c r="AU2823" s="44"/>
    </row>
    <row r="2824" spans="47:47" ht="12" customHeight="1">
      <c r="AU2824" s="44"/>
    </row>
    <row r="2825" spans="47:47" ht="12" customHeight="1">
      <c r="AU2825" s="44"/>
    </row>
    <row r="2826" spans="47:47" ht="12" customHeight="1">
      <c r="AU2826" s="44"/>
    </row>
    <row r="2827" spans="47:47" ht="12" customHeight="1">
      <c r="AU2827" s="44"/>
    </row>
    <row r="2828" spans="47:47" ht="12" customHeight="1">
      <c r="AU2828" s="44"/>
    </row>
    <row r="2829" spans="47:47" ht="12" customHeight="1">
      <c r="AU2829" s="44"/>
    </row>
    <row r="2830" spans="47:47" ht="12" customHeight="1">
      <c r="AU2830" s="44"/>
    </row>
    <row r="2831" spans="47:47" ht="12" customHeight="1">
      <c r="AU2831" s="44"/>
    </row>
    <row r="2832" spans="47:47" ht="12" customHeight="1">
      <c r="AU2832" s="44"/>
    </row>
    <row r="2833" spans="47:47" ht="12" customHeight="1">
      <c r="AU2833" s="44"/>
    </row>
    <row r="2834" spans="47:47" ht="12" customHeight="1">
      <c r="AU2834" s="44"/>
    </row>
    <row r="2835" spans="47:47" ht="12" customHeight="1">
      <c r="AU2835" s="44"/>
    </row>
    <row r="2836" spans="47:47" ht="12" customHeight="1">
      <c r="AU2836" s="44"/>
    </row>
    <row r="2837" spans="47:47" ht="12" customHeight="1">
      <c r="AU2837" s="44"/>
    </row>
    <row r="2838" spans="47:47" ht="12" customHeight="1">
      <c r="AU2838" s="44"/>
    </row>
    <row r="2839" spans="47:47" ht="12" customHeight="1">
      <c r="AU2839" s="44"/>
    </row>
    <row r="2840" spans="47:47" ht="12" customHeight="1">
      <c r="AU2840" s="44"/>
    </row>
    <row r="2841" spans="47:47" ht="12" customHeight="1">
      <c r="AU2841" s="44"/>
    </row>
    <row r="2842" spans="47:47" ht="12" customHeight="1">
      <c r="AU2842" s="44"/>
    </row>
    <row r="2843" spans="47:47" ht="12" customHeight="1">
      <c r="AU2843" s="44"/>
    </row>
    <row r="2844" spans="47:47" ht="12" customHeight="1">
      <c r="AU2844" s="44"/>
    </row>
    <row r="2845" spans="47:47" ht="12" customHeight="1">
      <c r="AU2845" s="44"/>
    </row>
    <row r="2846" spans="47:47" ht="12" customHeight="1">
      <c r="AU2846" s="44"/>
    </row>
    <row r="2847" spans="47:47" ht="12" customHeight="1">
      <c r="AU2847" s="44"/>
    </row>
    <row r="2848" spans="47:47" ht="12" customHeight="1">
      <c r="AU2848" s="44"/>
    </row>
    <row r="2849" spans="47:47" ht="12" customHeight="1">
      <c r="AU2849" s="44"/>
    </row>
    <row r="2850" spans="47:47" ht="12" customHeight="1">
      <c r="AU2850" s="44"/>
    </row>
    <row r="2851" spans="47:47" ht="12" customHeight="1">
      <c r="AU2851" s="44"/>
    </row>
    <row r="2852" spans="47:47" ht="12" customHeight="1">
      <c r="AU2852" s="44"/>
    </row>
    <row r="2853" spans="47:47" ht="12" customHeight="1">
      <c r="AU2853" s="44"/>
    </row>
    <row r="2854" spans="47:47" ht="12" customHeight="1">
      <c r="AU2854" s="44"/>
    </row>
    <row r="2855" spans="47:47" ht="12" customHeight="1">
      <c r="AU2855" s="44"/>
    </row>
    <row r="2856" spans="47:47" ht="12" customHeight="1">
      <c r="AU2856" s="44"/>
    </row>
    <row r="2857" spans="47:47" ht="12" customHeight="1">
      <c r="AU2857" s="44"/>
    </row>
    <row r="2858" spans="47:47" ht="12" customHeight="1">
      <c r="AU2858" s="44"/>
    </row>
    <row r="2859" spans="47:47" ht="12" customHeight="1">
      <c r="AU2859" s="44"/>
    </row>
    <row r="2860" spans="47:47" ht="12" customHeight="1">
      <c r="AU2860" s="44"/>
    </row>
    <row r="2861" spans="47:47" ht="12" customHeight="1">
      <c r="AU2861" s="44"/>
    </row>
    <row r="2862" spans="47:47" ht="12" customHeight="1">
      <c r="AU2862" s="44"/>
    </row>
    <row r="2863" spans="47:47" ht="12" customHeight="1">
      <c r="AU2863" s="44"/>
    </row>
    <row r="2864" spans="47:47" ht="12" customHeight="1">
      <c r="AU2864" s="44"/>
    </row>
    <row r="2865" spans="47:47" ht="12" customHeight="1">
      <c r="AU2865" s="44"/>
    </row>
    <row r="2866" spans="47:47" ht="12" customHeight="1">
      <c r="AU2866" s="44"/>
    </row>
    <row r="2867" spans="47:47" ht="12" customHeight="1">
      <c r="AU2867" s="44"/>
    </row>
    <row r="2868" spans="47:47" ht="12" customHeight="1">
      <c r="AU2868" s="44"/>
    </row>
    <row r="2869" spans="47:47" ht="12" customHeight="1">
      <c r="AU2869" s="44"/>
    </row>
    <row r="2870" spans="47:47" ht="12" customHeight="1">
      <c r="AU2870" s="44"/>
    </row>
    <row r="2871" spans="47:47" ht="12" customHeight="1">
      <c r="AU2871" s="44"/>
    </row>
    <row r="2872" spans="47:47" ht="12" customHeight="1">
      <c r="AU2872" s="44"/>
    </row>
    <row r="2873" spans="47:47" ht="12" customHeight="1">
      <c r="AU2873" s="44"/>
    </row>
    <row r="2874" spans="47:47" ht="12" customHeight="1">
      <c r="AU2874" s="44"/>
    </row>
    <row r="2875" spans="47:47" ht="12" customHeight="1">
      <c r="AU2875" s="44"/>
    </row>
    <row r="2876" spans="47:47" ht="12" customHeight="1">
      <c r="AU2876" s="44"/>
    </row>
    <row r="2877" spans="47:47" ht="12" customHeight="1">
      <c r="AU2877" s="44"/>
    </row>
    <row r="2878" spans="47:47" ht="12" customHeight="1">
      <c r="AU2878" s="44"/>
    </row>
    <row r="2879" spans="47:47" ht="12" customHeight="1">
      <c r="AU2879" s="44"/>
    </row>
    <row r="2880" spans="47:47" ht="12" customHeight="1">
      <c r="AU2880" s="44"/>
    </row>
    <row r="2881" spans="47:47" ht="12" customHeight="1">
      <c r="AU2881" s="44"/>
    </row>
    <row r="2882" spans="47:47" ht="12" customHeight="1">
      <c r="AU2882" s="44"/>
    </row>
    <row r="2883" spans="47:47" ht="12" customHeight="1">
      <c r="AU2883" s="44"/>
    </row>
    <row r="2884" spans="47:47" ht="12" customHeight="1">
      <c r="AU2884" s="44"/>
    </row>
    <row r="2885" spans="47:47" ht="12" customHeight="1">
      <c r="AU2885" s="44"/>
    </row>
    <row r="2886" spans="47:47" ht="12" customHeight="1">
      <c r="AU2886" s="44"/>
    </row>
    <row r="2887" spans="47:47" ht="12" customHeight="1">
      <c r="AU2887" s="44"/>
    </row>
    <row r="2888" spans="47:47" ht="12" customHeight="1">
      <c r="AU2888" s="44"/>
    </row>
    <row r="2889" spans="47:47" ht="12" customHeight="1">
      <c r="AU2889" s="44"/>
    </row>
    <row r="2890" spans="47:47" ht="12" customHeight="1">
      <c r="AU2890" s="44"/>
    </row>
    <row r="2891" spans="47:47" ht="12" customHeight="1">
      <c r="AU2891" s="44"/>
    </row>
    <row r="2892" spans="47:47" ht="12" customHeight="1">
      <c r="AU2892" s="44"/>
    </row>
    <row r="2893" spans="47:47" ht="12" customHeight="1">
      <c r="AU2893" s="44"/>
    </row>
    <row r="2894" spans="47:47" ht="12" customHeight="1">
      <c r="AU2894" s="44"/>
    </row>
    <row r="2895" spans="47:47" ht="12" customHeight="1">
      <c r="AU2895" s="44"/>
    </row>
    <row r="2896" spans="47:47" ht="12" customHeight="1">
      <c r="AU2896" s="44"/>
    </row>
    <row r="2897" spans="47:47" ht="12" customHeight="1">
      <c r="AU2897" s="44"/>
    </row>
    <row r="2898" spans="47:47" ht="12" customHeight="1">
      <c r="AU2898" s="44"/>
    </row>
    <row r="2899" spans="47:47" ht="12" customHeight="1">
      <c r="AU2899" s="44"/>
    </row>
    <row r="2900" spans="47:47" ht="12" customHeight="1">
      <c r="AU2900" s="44"/>
    </row>
    <row r="2901" spans="47:47" ht="12" customHeight="1">
      <c r="AU2901" s="44"/>
    </row>
    <row r="2902" spans="47:47" ht="12" customHeight="1">
      <c r="AU2902" s="44"/>
    </row>
    <row r="2903" spans="47:47" ht="12" customHeight="1">
      <c r="AU2903" s="44"/>
    </row>
    <row r="2904" spans="47:47" ht="12" customHeight="1">
      <c r="AU2904" s="44"/>
    </row>
    <row r="2905" spans="47:47" ht="12" customHeight="1">
      <c r="AU2905" s="44"/>
    </row>
    <row r="2906" spans="47:47" ht="12" customHeight="1">
      <c r="AU2906" s="44"/>
    </row>
    <row r="2907" spans="47:47" ht="12" customHeight="1">
      <c r="AU2907" s="44"/>
    </row>
    <row r="2908" spans="47:47" ht="12" customHeight="1">
      <c r="AU2908" s="44"/>
    </row>
    <row r="2909" spans="47:47" ht="12" customHeight="1">
      <c r="AU2909" s="44"/>
    </row>
    <row r="2910" spans="47:47" ht="12" customHeight="1">
      <c r="AU2910" s="44"/>
    </row>
    <row r="2911" spans="47:47" ht="12" customHeight="1">
      <c r="AU2911" s="44"/>
    </row>
    <row r="2912" spans="47:47" ht="12" customHeight="1">
      <c r="AU2912" s="44"/>
    </row>
    <row r="2913" spans="47:47" ht="12" customHeight="1">
      <c r="AU2913" s="44"/>
    </row>
    <row r="2914" spans="47:47" ht="12" customHeight="1">
      <c r="AU2914" s="44"/>
    </row>
    <row r="2915" spans="47:47" ht="12" customHeight="1">
      <c r="AU2915" s="44"/>
    </row>
    <row r="2916" spans="47:47" ht="12" customHeight="1">
      <c r="AU2916" s="44"/>
    </row>
    <row r="2917" spans="47:47" ht="12" customHeight="1">
      <c r="AU2917" s="44"/>
    </row>
    <row r="2918" spans="47:47" ht="12" customHeight="1">
      <c r="AU2918" s="44"/>
    </row>
    <row r="2919" spans="47:47" ht="12" customHeight="1">
      <c r="AU2919" s="44"/>
    </row>
    <row r="2920" spans="47:47" ht="12" customHeight="1">
      <c r="AU2920" s="44"/>
    </row>
    <row r="2921" spans="47:47" ht="12" customHeight="1">
      <c r="AU2921" s="44"/>
    </row>
    <row r="2922" spans="47:47" ht="12" customHeight="1">
      <c r="AU2922" s="44"/>
    </row>
    <row r="2923" spans="47:47" ht="12" customHeight="1">
      <c r="AU2923" s="44"/>
    </row>
    <row r="2924" spans="47:47" ht="12" customHeight="1">
      <c r="AU2924" s="44"/>
    </row>
    <row r="2925" spans="47:47" ht="12" customHeight="1">
      <c r="AU2925" s="44"/>
    </row>
    <row r="2926" spans="47:47" ht="12" customHeight="1">
      <c r="AU2926" s="44"/>
    </row>
    <row r="2927" spans="47:47" ht="12" customHeight="1">
      <c r="AU2927" s="44"/>
    </row>
    <row r="2928" spans="47:47" ht="12" customHeight="1">
      <c r="AU2928" s="44"/>
    </row>
    <row r="2929" spans="47:47" ht="12" customHeight="1">
      <c r="AU2929" s="44"/>
    </row>
    <row r="2930" spans="47:47" ht="12" customHeight="1">
      <c r="AU2930" s="44"/>
    </row>
    <row r="2931" spans="47:47" ht="12" customHeight="1">
      <c r="AU2931" s="44"/>
    </row>
    <row r="2932" spans="47:47" ht="12" customHeight="1">
      <c r="AU2932" s="44"/>
    </row>
    <row r="2933" spans="47:47" ht="12" customHeight="1">
      <c r="AU2933" s="44"/>
    </row>
    <row r="2934" spans="47:47" ht="12" customHeight="1">
      <c r="AU2934" s="44"/>
    </row>
    <row r="2935" spans="47:47" ht="12" customHeight="1">
      <c r="AU2935" s="44"/>
    </row>
    <row r="2936" spans="47:47" ht="12" customHeight="1">
      <c r="AU2936" s="44"/>
    </row>
    <row r="2937" spans="47:47" ht="12" customHeight="1">
      <c r="AU2937" s="44"/>
    </row>
    <row r="2938" spans="47:47" ht="12" customHeight="1">
      <c r="AU2938" s="44"/>
    </row>
    <row r="2939" spans="47:47" ht="12" customHeight="1">
      <c r="AU2939" s="44"/>
    </row>
    <row r="2940" spans="47:47" ht="12" customHeight="1">
      <c r="AU2940" s="44"/>
    </row>
    <row r="2941" spans="47:47" ht="12" customHeight="1">
      <c r="AU2941" s="44"/>
    </row>
    <row r="2942" spans="47:47" ht="12" customHeight="1">
      <c r="AU2942" s="44"/>
    </row>
    <row r="2943" spans="47:47" ht="12" customHeight="1">
      <c r="AU2943" s="44"/>
    </row>
    <row r="2944" spans="47:47" ht="12" customHeight="1">
      <c r="AU2944" s="44"/>
    </row>
    <row r="2945" spans="47:47" ht="12" customHeight="1">
      <c r="AU2945" s="44"/>
    </row>
    <row r="2946" spans="47:47" ht="12" customHeight="1">
      <c r="AU2946" s="44"/>
    </row>
    <row r="2947" spans="47:47" ht="12" customHeight="1">
      <c r="AU2947" s="44"/>
    </row>
    <row r="2948" spans="47:47" ht="12" customHeight="1">
      <c r="AU2948" s="44"/>
    </row>
    <row r="2949" spans="47:47" ht="12" customHeight="1">
      <c r="AU2949" s="44"/>
    </row>
    <row r="2950" spans="47:47" ht="12" customHeight="1">
      <c r="AU2950" s="44"/>
    </row>
    <row r="2951" spans="47:47" ht="12" customHeight="1">
      <c r="AU2951" s="44"/>
    </row>
    <row r="2952" spans="47:47" ht="12" customHeight="1">
      <c r="AU2952" s="44"/>
    </row>
    <row r="2953" spans="47:47" ht="12" customHeight="1">
      <c r="AU2953" s="44"/>
    </row>
    <row r="2954" spans="47:47" ht="12" customHeight="1">
      <c r="AU2954" s="44"/>
    </row>
    <row r="2955" spans="47:47" ht="12" customHeight="1">
      <c r="AU2955" s="44"/>
    </row>
    <row r="2956" spans="47:47" ht="12" customHeight="1">
      <c r="AU2956" s="44"/>
    </row>
    <row r="2957" spans="47:47" ht="12" customHeight="1">
      <c r="AU2957" s="44"/>
    </row>
    <row r="2958" spans="47:47" ht="12" customHeight="1">
      <c r="AU2958" s="44"/>
    </row>
    <row r="2959" spans="47:47" ht="12" customHeight="1">
      <c r="AU2959" s="44"/>
    </row>
    <row r="2960" spans="47:47" ht="12" customHeight="1">
      <c r="AU2960" s="44"/>
    </row>
    <row r="2961" spans="47:47" ht="12" customHeight="1">
      <c r="AU2961" s="44"/>
    </row>
    <row r="2962" spans="47:47" ht="12" customHeight="1">
      <c r="AU2962" s="44"/>
    </row>
    <row r="2963" spans="47:47" ht="12" customHeight="1">
      <c r="AU2963" s="44"/>
    </row>
    <row r="2964" spans="47:47" ht="12" customHeight="1">
      <c r="AU2964" s="44"/>
    </row>
    <row r="2965" spans="47:47" ht="12" customHeight="1">
      <c r="AU2965" s="44"/>
    </row>
    <row r="2966" spans="47:47" ht="12" customHeight="1">
      <c r="AU2966" s="44"/>
    </row>
    <row r="2967" spans="47:47" ht="12" customHeight="1">
      <c r="AU2967" s="44"/>
    </row>
    <row r="2968" spans="47:47" ht="12" customHeight="1">
      <c r="AU2968" s="44"/>
    </row>
    <row r="2969" spans="47:47" ht="12" customHeight="1">
      <c r="AU2969" s="44"/>
    </row>
    <row r="2970" spans="47:47" ht="12" customHeight="1">
      <c r="AU2970" s="44"/>
    </row>
    <row r="2971" spans="47:47" ht="12" customHeight="1">
      <c r="AU2971" s="44"/>
    </row>
    <row r="2972" spans="47:47" ht="12" customHeight="1">
      <c r="AU2972" s="44"/>
    </row>
    <row r="2973" spans="47:47" ht="12" customHeight="1">
      <c r="AU2973" s="44"/>
    </row>
    <row r="2974" spans="47:47" ht="12" customHeight="1">
      <c r="AU2974" s="44"/>
    </row>
    <row r="2975" spans="47:47" ht="12" customHeight="1">
      <c r="AU2975" s="44"/>
    </row>
    <row r="2976" spans="47:47" ht="12" customHeight="1">
      <c r="AU2976" s="44"/>
    </row>
    <row r="2977" spans="47:47" ht="12" customHeight="1">
      <c r="AU2977" s="44"/>
    </row>
    <row r="2978" spans="47:47" ht="12" customHeight="1">
      <c r="AU2978" s="44"/>
    </row>
    <row r="2979" spans="47:47" ht="12" customHeight="1">
      <c r="AU2979" s="44"/>
    </row>
    <row r="2980" spans="47:47" ht="12" customHeight="1">
      <c r="AU2980" s="44"/>
    </row>
    <row r="2981" spans="47:47" ht="12" customHeight="1">
      <c r="AU2981" s="44"/>
    </row>
    <row r="2982" spans="47:47" ht="12" customHeight="1">
      <c r="AU2982" s="44"/>
    </row>
    <row r="2983" spans="47:47" ht="12" customHeight="1">
      <c r="AU2983" s="44"/>
    </row>
    <row r="2984" spans="47:47" ht="12" customHeight="1">
      <c r="AU2984" s="44"/>
    </row>
    <row r="2985" spans="47:47" ht="12" customHeight="1">
      <c r="AU2985" s="44"/>
    </row>
    <row r="2986" spans="47:47" ht="12" customHeight="1">
      <c r="AU2986" s="44"/>
    </row>
    <row r="2987" spans="47:47" ht="12" customHeight="1">
      <c r="AU2987" s="44"/>
    </row>
    <row r="2988" spans="47:47" ht="12" customHeight="1">
      <c r="AU2988" s="44"/>
    </row>
    <row r="2989" spans="47:47" ht="12" customHeight="1">
      <c r="AU2989" s="44"/>
    </row>
    <row r="2990" spans="47:47" ht="12" customHeight="1">
      <c r="AU2990" s="44"/>
    </row>
    <row r="2991" spans="47:47" ht="12" customHeight="1">
      <c r="AU2991" s="44"/>
    </row>
    <row r="2992" spans="47:47" ht="12" customHeight="1">
      <c r="AU2992" s="44"/>
    </row>
    <row r="2993" spans="47:47" ht="12" customHeight="1">
      <c r="AU2993" s="44"/>
    </row>
    <row r="2994" spans="47:47" ht="12" customHeight="1">
      <c r="AU2994" s="44"/>
    </row>
    <row r="2995" spans="47:47" ht="12" customHeight="1">
      <c r="AU2995" s="44"/>
    </row>
    <row r="2996" spans="47:47" ht="12" customHeight="1">
      <c r="AU2996" s="44"/>
    </row>
    <row r="2997" spans="47:47" ht="12" customHeight="1">
      <c r="AU2997" s="44"/>
    </row>
    <row r="2998" spans="47:47" ht="12" customHeight="1">
      <c r="AU2998" s="44"/>
    </row>
    <row r="2999" spans="47:47" ht="12" customHeight="1">
      <c r="AU2999" s="44"/>
    </row>
    <row r="3000" spans="47:47" ht="12" customHeight="1">
      <c r="AU3000" s="44"/>
    </row>
    <row r="3001" spans="47:47" ht="12" customHeight="1">
      <c r="AU3001" s="44"/>
    </row>
    <row r="3002" spans="47:47" ht="12" customHeight="1">
      <c r="AU3002" s="44"/>
    </row>
    <row r="3003" spans="47:47" ht="12" customHeight="1">
      <c r="AU3003" s="44"/>
    </row>
    <row r="3004" spans="47:47" ht="12" customHeight="1">
      <c r="AU3004" s="44"/>
    </row>
    <row r="3005" spans="47:47" ht="12" customHeight="1">
      <c r="AU3005" s="44"/>
    </row>
    <row r="3006" spans="47:47" ht="12" customHeight="1">
      <c r="AU3006" s="44"/>
    </row>
    <row r="3007" spans="47:47" ht="12" customHeight="1">
      <c r="AU3007" s="44"/>
    </row>
    <row r="3008" spans="47:47" ht="12" customHeight="1">
      <c r="AU3008" s="44"/>
    </row>
    <row r="3009" spans="47:47" ht="12" customHeight="1">
      <c r="AU3009" s="44"/>
    </row>
    <row r="3010" spans="47:47" ht="12" customHeight="1">
      <c r="AU3010" s="44"/>
    </row>
    <row r="3011" spans="47:47" ht="12" customHeight="1">
      <c r="AU3011" s="44"/>
    </row>
    <row r="3012" spans="47:47" ht="12" customHeight="1">
      <c r="AU3012" s="44"/>
    </row>
    <row r="3013" spans="47:47" ht="12" customHeight="1">
      <c r="AU3013" s="44"/>
    </row>
    <row r="3014" spans="47:47" ht="12" customHeight="1">
      <c r="AU3014" s="44"/>
    </row>
    <row r="3015" spans="47:47" ht="12" customHeight="1">
      <c r="AU3015" s="44"/>
    </row>
    <row r="3016" spans="47:47" ht="12" customHeight="1">
      <c r="AU3016" s="44"/>
    </row>
    <row r="3017" spans="47:47" ht="12" customHeight="1">
      <c r="AU3017" s="44"/>
    </row>
    <row r="3018" spans="47:47" ht="12" customHeight="1">
      <c r="AU3018" s="44"/>
    </row>
    <row r="3019" spans="47:47" ht="12" customHeight="1">
      <c r="AU3019" s="44"/>
    </row>
    <row r="3020" spans="47:47" ht="12" customHeight="1">
      <c r="AU3020" s="44"/>
    </row>
    <row r="3021" spans="47:47" ht="12" customHeight="1">
      <c r="AU3021" s="44"/>
    </row>
    <row r="3022" spans="47:47" ht="12" customHeight="1">
      <c r="AU3022" s="44"/>
    </row>
    <row r="3023" spans="47:47" ht="12" customHeight="1">
      <c r="AU3023" s="44"/>
    </row>
    <row r="3024" spans="47:47" ht="12" customHeight="1">
      <c r="AU3024" s="44"/>
    </row>
    <row r="3025" spans="47:47" ht="12" customHeight="1">
      <c r="AU3025" s="44"/>
    </row>
    <row r="3026" spans="47:47" ht="12" customHeight="1">
      <c r="AU3026" s="44"/>
    </row>
    <row r="3027" spans="47:47" ht="12" customHeight="1">
      <c r="AU3027" s="44"/>
    </row>
    <row r="3028" spans="47:47" ht="12" customHeight="1">
      <c r="AU3028" s="44"/>
    </row>
    <row r="3029" spans="47:47" ht="12" customHeight="1">
      <c r="AU3029" s="44"/>
    </row>
    <row r="3030" spans="47:47" ht="12" customHeight="1">
      <c r="AU3030" s="44"/>
    </row>
    <row r="3031" spans="47:47" ht="12" customHeight="1">
      <c r="AU3031" s="44"/>
    </row>
    <row r="3032" spans="47:47" ht="12" customHeight="1">
      <c r="AU3032" s="44"/>
    </row>
    <row r="3033" spans="47:47" ht="12" customHeight="1">
      <c r="AU3033" s="44"/>
    </row>
    <row r="3034" spans="47:47" ht="12" customHeight="1">
      <c r="AU3034" s="44"/>
    </row>
    <row r="3035" spans="47:47" ht="12" customHeight="1">
      <c r="AU3035" s="44"/>
    </row>
    <row r="3036" spans="47:47" ht="12" customHeight="1">
      <c r="AU3036" s="44"/>
    </row>
    <row r="3037" spans="47:47" ht="12" customHeight="1">
      <c r="AU3037" s="44"/>
    </row>
    <row r="3038" spans="47:47" ht="12" customHeight="1">
      <c r="AU3038" s="44"/>
    </row>
    <row r="3039" spans="47:47" ht="12" customHeight="1">
      <c r="AU3039" s="44"/>
    </row>
    <row r="3040" spans="47:47" ht="12" customHeight="1">
      <c r="AU3040" s="44"/>
    </row>
    <row r="3041" spans="47:47" ht="12" customHeight="1">
      <c r="AU3041" s="44"/>
    </row>
    <row r="3042" spans="47:47" ht="12" customHeight="1">
      <c r="AU3042" s="44"/>
    </row>
    <row r="3043" spans="47:47" ht="12" customHeight="1">
      <c r="AU3043" s="44"/>
    </row>
    <row r="3044" spans="47:47" ht="12" customHeight="1">
      <c r="AU3044" s="44"/>
    </row>
    <row r="3045" spans="47:47" ht="12" customHeight="1">
      <c r="AU3045" s="44"/>
    </row>
    <row r="3046" spans="47:47" ht="12" customHeight="1">
      <c r="AU3046" s="44"/>
    </row>
    <row r="3047" spans="47:47" ht="12" customHeight="1">
      <c r="AU3047" s="44"/>
    </row>
    <row r="3048" spans="47:47" ht="12" customHeight="1">
      <c r="AU3048" s="44"/>
    </row>
    <row r="3049" spans="47:47" ht="12" customHeight="1">
      <c r="AU3049" s="44"/>
    </row>
    <row r="3050" spans="47:47" ht="12" customHeight="1">
      <c r="AU3050" s="44"/>
    </row>
    <row r="3051" spans="47:47" ht="12" customHeight="1">
      <c r="AU3051" s="44"/>
    </row>
    <row r="3052" spans="47:47" ht="12" customHeight="1">
      <c r="AU3052" s="44"/>
    </row>
    <row r="3053" spans="47:47" ht="12" customHeight="1">
      <c r="AU3053" s="44"/>
    </row>
    <row r="3054" spans="47:47" ht="12" customHeight="1">
      <c r="AU3054" s="44"/>
    </row>
    <row r="3055" spans="47:47" ht="12" customHeight="1">
      <c r="AU3055" s="44"/>
    </row>
    <row r="3056" spans="47:47" ht="12" customHeight="1">
      <c r="AU3056" s="44"/>
    </row>
    <row r="3057" spans="47:47" ht="12" customHeight="1">
      <c r="AU3057" s="44"/>
    </row>
    <row r="3058" spans="47:47" ht="12" customHeight="1">
      <c r="AU3058" s="44"/>
    </row>
    <row r="3059" spans="47:47" ht="12" customHeight="1">
      <c r="AU3059" s="44"/>
    </row>
    <row r="3060" spans="47:47" ht="12" customHeight="1">
      <c r="AU3060" s="44"/>
    </row>
    <row r="3061" spans="47:47" ht="12" customHeight="1">
      <c r="AU3061" s="44"/>
    </row>
    <row r="3062" spans="47:47" ht="12" customHeight="1">
      <c r="AU3062" s="44"/>
    </row>
    <row r="3063" spans="47:47" ht="12" customHeight="1">
      <c r="AU3063" s="44"/>
    </row>
    <row r="3064" spans="47:47" ht="12" customHeight="1">
      <c r="AU3064" s="44"/>
    </row>
    <row r="3065" spans="47:47" ht="12" customHeight="1">
      <c r="AU3065" s="44"/>
    </row>
    <row r="3066" spans="47:47" ht="12" customHeight="1">
      <c r="AU3066" s="44"/>
    </row>
    <row r="3067" spans="47:47" ht="12" customHeight="1">
      <c r="AU3067" s="44"/>
    </row>
    <row r="3068" spans="47:47" ht="12" customHeight="1">
      <c r="AU3068" s="44"/>
    </row>
    <row r="3069" spans="47:47" ht="12" customHeight="1">
      <c r="AU3069" s="44"/>
    </row>
    <row r="3070" spans="47:47" ht="12" customHeight="1">
      <c r="AU3070" s="44"/>
    </row>
    <row r="3071" spans="47:47" ht="12" customHeight="1">
      <c r="AU3071" s="44"/>
    </row>
    <row r="3072" spans="47:47" ht="12" customHeight="1">
      <c r="AU3072" s="44"/>
    </row>
    <row r="3073" spans="47:47" ht="12" customHeight="1">
      <c r="AU3073" s="44"/>
    </row>
    <row r="3074" spans="47:47" ht="12" customHeight="1">
      <c r="AU3074" s="44"/>
    </row>
    <row r="3075" spans="47:47" ht="12" customHeight="1">
      <c r="AU3075" s="44"/>
    </row>
    <row r="3076" spans="47:47" ht="12" customHeight="1">
      <c r="AU3076" s="44"/>
    </row>
    <row r="3077" spans="47:47" ht="12" customHeight="1">
      <c r="AU3077" s="44"/>
    </row>
    <row r="3078" spans="47:47" ht="12" customHeight="1">
      <c r="AU3078" s="44"/>
    </row>
    <row r="3079" spans="47:47" ht="12" customHeight="1">
      <c r="AU3079" s="44"/>
    </row>
    <row r="3080" spans="47:47" ht="12" customHeight="1">
      <c r="AU3080" s="44"/>
    </row>
    <row r="3081" spans="47:47" ht="12" customHeight="1">
      <c r="AU3081" s="44"/>
    </row>
    <row r="3082" spans="47:47" ht="12" customHeight="1">
      <c r="AU3082" s="44"/>
    </row>
    <row r="3083" spans="47:47" ht="12" customHeight="1">
      <c r="AU3083" s="44"/>
    </row>
    <row r="3084" spans="47:47" ht="12" customHeight="1">
      <c r="AU3084" s="44"/>
    </row>
    <row r="3085" spans="47:47" ht="12" customHeight="1">
      <c r="AU3085" s="44"/>
    </row>
    <row r="3086" spans="47:47" ht="12" customHeight="1">
      <c r="AU3086" s="44"/>
    </row>
    <row r="3087" spans="47:47" ht="12" customHeight="1">
      <c r="AU3087" s="44"/>
    </row>
    <row r="3088" spans="47:47" ht="12" customHeight="1">
      <c r="AU3088" s="44"/>
    </row>
    <row r="3089" spans="47:47" ht="12" customHeight="1">
      <c r="AU3089" s="44"/>
    </row>
    <row r="3090" spans="47:47" ht="12" customHeight="1">
      <c r="AU3090" s="44"/>
    </row>
    <row r="3091" spans="47:47" ht="12" customHeight="1">
      <c r="AU3091" s="44"/>
    </row>
    <row r="3092" spans="47:47" ht="12" customHeight="1">
      <c r="AU3092" s="44"/>
    </row>
    <row r="3093" spans="47:47" ht="12" customHeight="1">
      <c r="AU3093" s="44"/>
    </row>
    <row r="3094" spans="47:47" ht="12" customHeight="1">
      <c r="AU3094" s="44"/>
    </row>
    <row r="3095" spans="47:47" ht="12" customHeight="1">
      <c r="AU3095" s="44"/>
    </row>
    <row r="3096" spans="47:47" ht="12" customHeight="1">
      <c r="AU3096" s="44"/>
    </row>
    <row r="3097" spans="47:47" ht="12" customHeight="1">
      <c r="AU3097" s="44"/>
    </row>
    <row r="3098" spans="47:47" ht="12" customHeight="1">
      <c r="AU3098" s="44"/>
    </row>
    <row r="3099" spans="47:47" ht="12" customHeight="1">
      <c r="AU3099" s="44"/>
    </row>
    <row r="3100" spans="47:47" ht="12" customHeight="1">
      <c r="AU3100" s="44"/>
    </row>
    <row r="3101" spans="47:47" ht="12" customHeight="1">
      <c r="AU3101" s="44"/>
    </row>
    <row r="3102" spans="47:47" ht="12" customHeight="1">
      <c r="AU3102" s="44"/>
    </row>
    <row r="3103" spans="47:47" ht="12" customHeight="1">
      <c r="AU3103" s="44"/>
    </row>
    <row r="3104" spans="47:47" ht="12" customHeight="1">
      <c r="AU3104" s="44"/>
    </row>
    <row r="3105" spans="47:47" ht="12" customHeight="1">
      <c r="AU3105" s="44"/>
    </row>
    <row r="3106" spans="47:47" ht="12" customHeight="1">
      <c r="AU3106" s="44"/>
    </row>
    <row r="3107" spans="47:47" ht="12" customHeight="1">
      <c r="AU3107" s="44"/>
    </row>
    <row r="3108" spans="47:47" ht="12" customHeight="1">
      <c r="AU3108" s="44"/>
    </row>
    <row r="3109" spans="47:47" ht="12" customHeight="1">
      <c r="AU3109" s="44"/>
    </row>
    <row r="3110" spans="47:47" ht="12" customHeight="1">
      <c r="AU3110" s="44"/>
    </row>
    <row r="3111" spans="47:47" ht="12" customHeight="1">
      <c r="AU3111" s="44"/>
    </row>
    <row r="3112" spans="47:47" ht="12" customHeight="1">
      <c r="AU3112" s="44"/>
    </row>
    <row r="3113" spans="47:47" ht="12" customHeight="1">
      <c r="AU3113" s="44"/>
    </row>
    <row r="3114" spans="47:47" ht="12" customHeight="1">
      <c r="AU3114" s="44"/>
    </row>
    <row r="3115" spans="47:47" ht="12" customHeight="1">
      <c r="AU3115" s="44"/>
    </row>
    <row r="3116" spans="47:47" ht="12" customHeight="1">
      <c r="AU3116" s="44"/>
    </row>
    <row r="3117" spans="47:47" ht="12" customHeight="1">
      <c r="AU3117" s="44"/>
    </row>
    <row r="3118" spans="47:47" ht="12" customHeight="1">
      <c r="AU3118" s="44"/>
    </row>
    <row r="3119" spans="47:47" ht="12" customHeight="1">
      <c r="AU3119" s="44"/>
    </row>
    <row r="3120" spans="47:47" ht="12" customHeight="1">
      <c r="AU3120" s="44"/>
    </row>
    <row r="3121" spans="47:47" ht="12" customHeight="1">
      <c r="AU3121" s="44"/>
    </row>
    <row r="3122" spans="47:47" ht="12" customHeight="1">
      <c r="AU3122" s="44"/>
    </row>
    <row r="3123" spans="47:47" ht="12" customHeight="1">
      <c r="AU3123" s="44"/>
    </row>
    <row r="3124" spans="47:47" ht="12" customHeight="1">
      <c r="AU3124" s="44"/>
    </row>
    <row r="3125" spans="47:47" ht="12" customHeight="1">
      <c r="AU3125" s="44"/>
    </row>
    <row r="3126" spans="47:47" ht="12" customHeight="1">
      <c r="AU3126" s="44"/>
    </row>
    <row r="3127" spans="47:47" ht="12" customHeight="1">
      <c r="AU3127" s="44"/>
    </row>
    <row r="3128" spans="47:47" ht="12" customHeight="1">
      <c r="AU3128" s="44"/>
    </row>
    <row r="3129" spans="47:47" ht="12" customHeight="1">
      <c r="AU3129" s="44"/>
    </row>
    <row r="3130" spans="47:47" ht="12" customHeight="1">
      <c r="AU3130" s="44"/>
    </row>
    <row r="3131" spans="47:47" ht="12" customHeight="1">
      <c r="AU3131" s="44"/>
    </row>
    <row r="3132" spans="47:47" ht="12" customHeight="1">
      <c r="AU3132" s="44"/>
    </row>
    <row r="3133" spans="47:47" ht="12" customHeight="1">
      <c r="AU3133" s="44"/>
    </row>
    <row r="3134" spans="47:47" ht="12" customHeight="1">
      <c r="AU3134" s="44"/>
    </row>
    <row r="3135" spans="47:47" ht="12" customHeight="1">
      <c r="AU3135" s="44"/>
    </row>
    <row r="3136" spans="47:47" ht="12" customHeight="1">
      <c r="AU3136" s="44"/>
    </row>
    <row r="3137" spans="47:47" ht="12" customHeight="1">
      <c r="AU3137" s="44"/>
    </row>
    <row r="3138" spans="47:47" ht="12" customHeight="1">
      <c r="AU3138" s="44"/>
    </row>
    <row r="3139" spans="47:47" ht="12" customHeight="1">
      <c r="AU3139" s="44"/>
    </row>
    <row r="3140" spans="47:47" ht="12" customHeight="1">
      <c r="AU3140" s="44"/>
    </row>
    <row r="3141" spans="47:47" ht="12" customHeight="1">
      <c r="AU3141" s="44"/>
    </row>
    <row r="3142" spans="47:47" ht="12" customHeight="1">
      <c r="AU3142" s="44"/>
    </row>
    <row r="3143" spans="47:47" ht="12" customHeight="1">
      <c r="AU3143" s="44"/>
    </row>
    <row r="3144" spans="47:47" ht="12" customHeight="1">
      <c r="AU3144" s="44"/>
    </row>
    <row r="3145" spans="47:47" ht="12" customHeight="1">
      <c r="AU3145" s="44"/>
    </row>
    <row r="3146" spans="47:47" ht="12" customHeight="1">
      <c r="AU3146" s="44"/>
    </row>
    <row r="3147" spans="47:47" ht="12" customHeight="1">
      <c r="AU3147" s="44"/>
    </row>
    <row r="3148" spans="47:47" ht="12" customHeight="1">
      <c r="AU3148" s="44"/>
    </row>
    <row r="3149" spans="47:47" ht="12" customHeight="1">
      <c r="AU3149" s="44"/>
    </row>
    <row r="3150" spans="47:47" ht="12" customHeight="1">
      <c r="AU3150" s="44"/>
    </row>
    <row r="3151" spans="47:47" ht="12" customHeight="1">
      <c r="AU3151" s="44"/>
    </row>
    <row r="3152" spans="47:47" ht="12" customHeight="1">
      <c r="AU3152" s="44"/>
    </row>
    <row r="3153" spans="47:47" ht="12" customHeight="1">
      <c r="AU3153" s="44"/>
    </row>
    <row r="3154" spans="47:47" ht="12" customHeight="1">
      <c r="AU3154" s="44"/>
    </row>
    <row r="3155" spans="47:47" ht="12" customHeight="1">
      <c r="AU3155" s="44"/>
    </row>
    <row r="3156" spans="47:47" ht="12" customHeight="1">
      <c r="AU3156" s="44"/>
    </row>
    <row r="3157" spans="47:47" ht="12" customHeight="1">
      <c r="AU3157" s="44"/>
    </row>
    <row r="3158" spans="47:47" ht="12" customHeight="1">
      <c r="AU3158" s="44"/>
    </row>
    <row r="3159" spans="47:47" ht="12" customHeight="1">
      <c r="AU3159" s="44"/>
    </row>
    <row r="3160" spans="47:47" ht="12" customHeight="1">
      <c r="AU3160" s="44"/>
    </row>
    <row r="3161" spans="47:47" ht="12" customHeight="1">
      <c r="AU3161" s="44"/>
    </row>
    <row r="3162" spans="47:47" ht="12" customHeight="1">
      <c r="AU3162" s="44"/>
    </row>
    <row r="3163" spans="47:47" ht="12" customHeight="1">
      <c r="AU3163" s="44"/>
    </row>
    <row r="3164" spans="47:47" ht="12" customHeight="1">
      <c r="AU3164" s="44"/>
    </row>
    <row r="3165" spans="47:47" ht="12" customHeight="1">
      <c r="AU3165" s="44"/>
    </row>
    <row r="3166" spans="47:47" ht="12" customHeight="1">
      <c r="AU3166" s="44"/>
    </row>
    <row r="3167" spans="47:47" ht="12" customHeight="1">
      <c r="AU3167" s="44"/>
    </row>
    <row r="3168" spans="47:47" ht="12" customHeight="1">
      <c r="AU3168" s="44"/>
    </row>
    <row r="3169" spans="47:47" ht="12" customHeight="1">
      <c r="AU3169" s="44"/>
    </row>
    <row r="3170" spans="47:47" ht="12" customHeight="1">
      <c r="AU3170" s="44"/>
    </row>
    <row r="3171" spans="47:47" ht="12" customHeight="1">
      <c r="AU3171" s="44"/>
    </row>
    <row r="3172" spans="47:47" ht="12" customHeight="1">
      <c r="AU3172" s="44"/>
    </row>
    <row r="3173" spans="47:47" ht="12" customHeight="1">
      <c r="AU3173" s="44"/>
    </row>
    <row r="3174" spans="47:47" ht="12" customHeight="1">
      <c r="AU3174" s="44"/>
    </row>
    <row r="3175" spans="47:47" ht="12" customHeight="1">
      <c r="AU3175" s="44"/>
    </row>
    <row r="3176" spans="47:47" ht="12" customHeight="1">
      <c r="AU3176" s="44"/>
    </row>
    <row r="3177" spans="47:47" ht="12" customHeight="1">
      <c r="AU3177" s="44"/>
    </row>
    <row r="3178" spans="47:47" ht="12" customHeight="1">
      <c r="AU3178" s="44"/>
    </row>
    <row r="3179" spans="47:47" ht="12" customHeight="1">
      <c r="AU3179" s="44"/>
    </row>
    <row r="3180" spans="47:47" ht="12" customHeight="1">
      <c r="AU3180" s="44"/>
    </row>
    <row r="3181" spans="47:47" ht="12" customHeight="1">
      <c r="AU3181" s="44"/>
    </row>
    <row r="3182" spans="47:47" ht="12" customHeight="1">
      <c r="AU3182" s="44"/>
    </row>
    <row r="3183" spans="47:47" ht="12" customHeight="1">
      <c r="AU3183" s="44"/>
    </row>
    <row r="3184" spans="47:47" ht="12" customHeight="1">
      <c r="AU3184" s="44"/>
    </row>
    <row r="3185" spans="47:47" ht="12" customHeight="1">
      <c r="AU3185" s="44"/>
    </row>
    <row r="3186" spans="47:47" ht="12" customHeight="1">
      <c r="AU3186" s="44"/>
    </row>
    <row r="3187" spans="47:47" ht="12" customHeight="1">
      <c r="AU3187" s="44"/>
    </row>
    <row r="3188" spans="47:47" ht="12" customHeight="1">
      <c r="AU3188" s="44"/>
    </row>
    <row r="3189" spans="47:47" ht="12" customHeight="1">
      <c r="AU3189" s="44"/>
    </row>
    <row r="3190" spans="47:47" ht="12" customHeight="1">
      <c r="AU3190" s="44"/>
    </row>
    <row r="3191" spans="47:47" ht="12" customHeight="1">
      <c r="AU3191" s="44"/>
    </row>
    <row r="3192" spans="47:47" ht="12" customHeight="1">
      <c r="AU3192" s="44"/>
    </row>
    <row r="3193" spans="47:47" ht="12" customHeight="1">
      <c r="AU3193" s="44"/>
    </row>
    <row r="3194" spans="47:47" ht="12" customHeight="1">
      <c r="AU3194" s="44"/>
    </row>
    <row r="3195" spans="47:47" ht="12" customHeight="1">
      <c r="AU3195" s="44"/>
    </row>
    <row r="3196" spans="47:47" ht="12" customHeight="1">
      <c r="AU3196" s="44"/>
    </row>
    <row r="3197" spans="47:47" ht="12" customHeight="1">
      <c r="AU3197" s="44"/>
    </row>
    <row r="3198" spans="47:47" ht="12" customHeight="1">
      <c r="AU3198" s="44"/>
    </row>
    <row r="3199" spans="47:47" ht="12" customHeight="1">
      <c r="AU3199" s="44"/>
    </row>
    <row r="3200" spans="47:47" ht="12" customHeight="1">
      <c r="AU3200" s="44"/>
    </row>
    <row r="3201" spans="47:47" ht="12" customHeight="1">
      <c r="AU3201" s="44"/>
    </row>
    <row r="3202" spans="47:47" ht="12" customHeight="1">
      <c r="AU3202" s="44"/>
    </row>
    <row r="3203" spans="47:47" ht="12" customHeight="1">
      <c r="AU3203" s="44"/>
    </row>
    <row r="3204" spans="47:47" ht="12" customHeight="1">
      <c r="AU3204" s="44"/>
    </row>
    <row r="3205" spans="47:47" ht="12" customHeight="1">
      <c r="AU3205" s="44"/>
    </row>
    <row r="3206" spans="47:47" ht="12" customHeight="1">
      <c r="AU3206" s="44"/>
    </row>
    <row r="3207" spans="47:47" ht="12" customHeight="1">
      <c r="AU3207" s="44"/>
    </row>
    <row r="3208" spans="47:47" ht="12" customHeight="1">
      <c r="AU3208" s="44"/>
    </row>
    <row r="3209" spans="47:47" ht="12" customHeight="1">
      <c r="AU3209" s="44"/>
    </row>
    <row r="3210" spans="47:47" ht="12" customHeight="1">
      <c r="AU3210" s="44"/>
    </row>
    <row r="3211" spans="47:47" ht="12" customHeight="1">
      <c r="AU3211" s="44"/>
    </row>
    <row r="3212" spans="47:47" ht="12" customHeight="1">
      <c r="AU3212" s="44"/>
    </row>
    <row r="3213" spans="47:47" ht="12" customHeight="1">
      <c r="AU3213" s="44"/>
    </row>
    <row r="3214" spans="47:47" ht="12" customHeight="1">
      <c r="AU3214" s="44"/>
    </row>
    <row r="3215" spans="47:47" ht="12" customHeight="1">
      <c r="AU3215" s="44"/>
    </row>
    <row r="3216" spans="47:47" ht="12" customHeight="1">
      <c r="AU3216" s="44"/>
    </row>
    <row r="3217" spans="47:47" ht="12" customHeight="1">
      <c r="AU3217" s="44"/>
    </row>
    <row r="3218" spans="47:47" ht="12" customHeight="1">
      <c r="AU3218" s="44"/>
    </row>
    <row r="3219" spans="47:47" ht="12" customHeight="1">
      <c r="AU3219" s="44"/>
    </row>
    <row r="3220" spans="47:47" ht="12" customHeight="1">
      <c r="AU3220" s="44"/>
    </row>
    <row r="3221" spans="47:47" ht="12" customHeight="1">
      <c r="AU3221" s="44"/>
    </row>
    <row r="3222" spans="47:47" ht="12" customHeight="1">
      <c r="AU3222" s="44"/>
    </row>
    <row r="3223" spans="47:47" ht="12" customHeight="1">
      <c r="AU3223" s="44"/>
    </row>
    <row r="3224" spans="47:47" ht="12" customHeight="1">
      <c r="AU3224" s="44"/>
    </row>
    <row r="3225" spans="47:47" ht="12" customHeight="1">
      <c r="AU3225" s="44"/>
    </row>
    <row r="3226" spans="47:47" ht="12" customHeight="1">
      <c r="AU3226" s="44"/>
    </row>
    <row r="3227" spans="47:47" ht="12" customHeight="1">
      <c r="AU3227" s="44"/>
    </row>
    <row r="3228" spans="47:47" ht="12" customHeight="1">
      <c r="AU3228" s="44"/>
    </row>
    <row r="3229" spans="47:47" ht="12" customHeight="1">
      <c r="AU3229" s="44"/>
    </row>
    <row r="3230" spans="47:47" ht="12" customHeight="1">
      <c r="AU3230" s="44"/>
    </row>
    <row r="3231" spans="47:47" ht="12" customHeight="1">
      <c r="AU3231" s="44"/>
    </row>
    <row r="3232" spans="47:47" ht="12" customHeight="1">
      <c r="AU3232" s="44"/>
    </row>
    <row r="3233" spans="47:47" ht="12" customHeight="1">
      <c r="AU3233" s="44"/>
    </row>
    <row r="3234" spans="47:47" ht="12" customHeight="1">
      <c r="AU3234" s="44"/>
    </row>
    <row r="3235" spans="47:47" ht="12" customHeight="1">
      <c r="AU3235" s="44"/>
    </row>
    <row r="3236" spans="47:47" ht="12" customHeight="1">
      <c r="AU3236" s="44"/>
    </row>
    <row r="3237" spans="47:47" ht="12" customHeight="1">
      <c r="AU3237" s="44"/>
    </row>
    <row r="3238" spans="47:47" ht="12" customHeight="1">
      <c r="AU3238" s="44"/>
    </row>
    <row r="3239" spans="47:47" ht="12" customHeight="1">
      <c r="AU3239" s="44"/>
    </row>
    <row r="3240" spans="47:47" ht="12" customHeight="1">
      <c r="AU3240" s="44"/>
    </row>
    <row r="3241" spans="47:47" ht="12" customHeight="1">
      <c r="AU3241" s="44"/>
    </row>
    <row r="3242" spans="47:47" ht="12" customHeight="1">
      <c r="AU3242" s="44"/>
    </row>
    <row r="3243" spans="47:47" ht="12" customHeight="1">
      <c r="AU3243" s="44"/>
    </row>
    <row r="3244" spans="47:47" ht="12" customHeight="1">
      <c r="AU3244" s="44"/>
    </row>
    <row r="3245" spans="47:47" ht="12" customHeight="1">
      <c r="AU3245" s="44"/>
    </row>
    <row r="3246" spans="47:47" ht="12" customHeight="1">
      <c r="AU3246" s="44"/>
    </row>
    <row r="3247" spans="47:47" ht="12" customHeight="1">
      <c r="AU3247" s="44"/>
    </row>
    <row r="3248" spans="47:47" ht="12" customHeight="1">
      <c r="AU3248" s="44"/>
    </row>
    <row r="3249" spans="47:47" ht="12" customHeight="1">
      <c r="AU3249" s="44"/>
    </row>
    <row r="3250" spans="47:47" ht="12" customHeight="1">
      <c r="AU3250" s="44"/>
    </row>
    <row r="3251" spans="47:47" ht="12" customHeight="1">
      <c r="AU3251" s="44"/>
    </row>
    <row r="3252" spans="47:47" ht="12" customHeight="1">
      <c r="AU3252" s="44"/>
    </row>
    <row r="3253" spans="47:47" ht="12" customHeight="1">
      <c r="AU3253" s="44"/>
    </row>
    <row r="3254" spans="47:47" ht="12" customHeight="1">
      <c r="AU3254" s="44"/>
    </row>
    <row r="3255" spans="47:47" ht="12" customHeight="1">
      <c r="AU3255" s="44"/>
    </row>
    <row r="3256" spans="47:47" ht="12" customHeight="1">
      <c r="AU3256" s="44"/>
    </row>
    <row r="3257" spans="47:47" ht="12" customHeight="1">
      <c r="AU3257" s="44"/>
    </row>
    <row r="3258" spans="47:47" ht="12" customHeight="1">
      <c r="AU3258" s="44"/>
    </row>
    <row r="3259" spans="47:47" ht="12" customHeight="1">
      <c r="AU3259" s="44"/>
    </row>
    <row r="3260" spans="47:47" ht="12" customHeight="1">
      <c r="AU3260" s="44"/>
    </row>
    <row r="3261" spans="47:47" ht="12" customHeight="1">
      <c r="AU3261" s="44"/>
    </row>
    <row r="3262" spans="47:47" ht="12" customHeight="1">
      <c r="AU3262" s="44"/>
    </row>
    <row r="3263" spans="47:47" ht="12" customHeight="1">
      <c r="AU3263" s="44"/>
    </row>
    <row r="3264" spans="47:47" ht="12" customHeight="1">
      <c r="AU3264" s="44"/>
    </row>
    <row r="3265" spans="47:47" ht="12" customHeight="1">
      <c r="AU3265" s="44"/>
    </row>
    <row r="3266" spans="47:47" ht="12" customHeight="1">
      <c r="AU3266" s="44"/>
    </row>
    <row r="3267" spans="47:47" ht="12" customHeight="1">
      <c r="AU3267" s="44"/>
    </row>
    <row r="3268" spans="47:47" ht="12" customHeight="1">
      <c r="AU3268" s="44"/>
    </row>
    <row r="3269" spans="47:47" ht="12" customHeight="1">
      <c r="AU3269" s="44"/>
    </row>
    <row r="3270" spans="47:47" ht="12" customHeight="1">
      <c r="AU3270" s="44"/>
    </row>
    <row r="3271" spans="47:47" ht="12" customHeight="1">
      <c r="AU3271" s="44"/>
    </row>
    <row r="3272" spans="47:47" ht="12" customHeight="1">
      <c r="AU3272" s="44"/>
    </row>
    <row r="3273" spans="47:47" ht="12" customHeight="1">
      <c r="AU3273" s="44"/>
    </row>
    <row r="3274" spans="47:47" ht="12" customHeight="1">
      <c r="AU3274" s="44"/>
    </row>
    <row r="3275" spans="47:47" ht="12" customHeight="1">
      <c r="AU3275" s="44"/>
    </row>
    <row r="3276" spans="47:47" ht="12" customHeight="1">
      <c r="AU3276" s="44"/>
    </row>
    <row r="3277" spans="47:47" ht="12" customHeight="1">
      <c r="AU3277" s="44"/>
    </row>
    <row r="3278" spans="47:47" ht="12" customHeight="1">
      <c r="AU3278" s="44"/>
    </row>
    <row r="3279" spans="47:47" ht="12" customHeight="1">
      <c r="AU3279" s="44"/>
    </row>
    <row r="3280" spans="47:47" ht="12" customHeight="1">
      <c r="AU3280" s="44"/>
    </row>
    <row r="3281" spans="47:47" ht="12" customHeight="1">
      <c r="AU3281" s="44"/>
    </row>
    <row r="3282" spans="47:47" ht="12" customHeight="1">
      <c r="AU3282" s="44"/>
    </row>
    <row r="3283" spans="47:47" ht="12" customHeight="1">
      <c r="AU3283" s="44"/>
    </row>
    <row r="3284" spans="47:47" ht="12" customHeight="1">
      <c r="AU3284" s="44"/>
    </row>
    <row r="3285" spans="47:47" ht="12" customHeight="1">
      <c r="AU3285" s="44"/>
    </row>
    <row r="3286" spans="47:47" ht="12" customHeight="1">
      <c r="AU3286" s="44"/>
    </row>
    <row r="3287" spans="47:47" ht="12" customHeight="1">
      <c r="AU3287" s="44"/>
    </row>
    <row r="3288" spans="47:47" ht="12" customHeight="1">
      <c r="AU3288" s="44"/>
    </row>
    <row r="3289" spans="47:47" ht="12" customHeight="1">
      <c r="AU3289" s="44"/>
    </row>
    <row r="3290" spans="47:47" ht="12" customHeight="1">
      <c r="AU3290" s="44"/>
    </row>
    <row r="3291" spans="47:47" ht="12" customHeight="1">
      <c r="AU3291" s="44"/>
    </row>
    <row r="3292" spans="47:47" ht="12" customHeight="1">
      <c r="AU3292" s="44"/>
    </row>
    <row r="3293" spans="47:47" ht="12" customHeight="1">
      <c r="AU3293" s="44"/>
    </row>
    <row r="3294" spans="47:47" ht="12" customHeight="1">
      <c r="AU3294" s="44"/>
    </row>
    <row r="3295" spans="47:47" ht="12" customHeight="1">
      <c r="AU3295" s="44"/>
    </row>
    <row r="3296" spans="47:47" ht="12" customHeight="1">
      <c r="AU3296" s="44"/>
    </row>
    <row r="3297" spans="47:47" ht="12" customHeight="1">
      <c r="AU3297" s="44"/>
    </row>
    <row r="3298" spans="47:47" ht="12" customHeight="1">
      <c r="AU3298" s="44"/>
    </row>
    <row r="3299" spans="47:47" ht="12" customHeight="1">
      <c r="AU3299" s="44"/>
    </row>
    <row r="3300" spans="47:47" ht="12" customHeight="1">
      <c r="AU3300" s="44"/>
    </row>
    <row r="3301" spans="47:47" ht="12" customHeight="1">
      <c r="AU3301" s="44"/>
    </row>
    <row r="3302" spans="47:47" ht="12" customHeight="1">
      <c r="AU3302" s="44"/>
    </row>
    <row r="3303" spans="47:47" ht="12" customHeight="1">
      <c r="AU3303" s="44"/>
    </row>
    <row r="3304" spans="47:47" ht="12" customHeight="1">
      <c r="AU3304" s="44"/>
    </row>
    <row r="3305" spans="47:47" ht="12" customHeight="1">
      <c r="AU3305" s="44"/>
    </row>
    <row r="3306" spans="47:47" ht="12" customHeight="1">
      <c r="AU3306" s="44"/>
    </row>
    <row r="3307" spans="47:47" ht="12" customHeight="1">
      <c r="AU3307" s="44"/>
    </row>
    <row r="3308" spans="47:47" ht="12" customHeight="1">
      <c r="AU3308" s="44"/>
    </row>
    <row r="3309" spans="47:47" ht="12" customHeight="1">
      <c r="AU3309" s="44"/>
    </row>
    <row r="3310" spans="47:47" ht="12" customHeight="1">
      <c r="AU3310" s="44"/>
    </row>
    <row r="3311" spans="47:47" ht="12" customHeight="1">
      <c r="AU3311" s="44"/>
    </row>
    <row r="3312" spans="47:47" ht="12" customHeight="1">
      <c r="AU3312" s="44"/>
    </row>
    <row r="3313" spans="47:47" ht="12" customHeight="1">
      <c r="AU3313" s="44"/>
    </row>
    <row r="3314" spans="47:47" ht="12" customHeight="1">
      <c r="AU3314" s="44"/>
    </row>
    <row r="3315" spans="47:47" ht="12" customHeight="1">
      <c r="AU3315" s="44"/>
    </row>
    <row r="3316" spans="47:47" ht="12" customHeight="1">
      <c r="AU3316" s="44"/>
    </row>
    <row r="3317" spans="47:47" ht="12" customHeight="1">
      <c r="AU3317" s="44"/>
    </row>
    <row r="3318" spans="47:47" ht="12" customHeight="1">
      <c r="AU3318" s="44"/>
    </row>
    <row r="3319" spans="47:47" ht="12" customHeight="1">
      <c r="AU3319" s="44"/>
    </row>
    <row r="3320" spans="47:47" ht="12" customHeight="1">
      <c r="AU3320" s="44"/>
    </row>
    <row r="3321" spans="47:47" ht="12" customHeight="1">
      <c r="AU3321" s="44"/>
    </row>
    <row r="3322" spans="47:47" ht="12" customHeight="1">
      <c r="AU3322" s="44"/>
    </row>
    <row r="3323" spans="47:47" ht="12" customHeight="1">
      <c r="AU3323" s="44"/>
    </row>
    <row r="3324" spans="47:47" ht="12" customHeight="1">
      <c r="AU3324" s="44"/>
    </row>
    <row r="3325" spans="47:47" ht="12" customHeight="1">
      <c r="AU3325" s="44"/>
    </row>
    <row r="3326" spans="47:47" ht="12" customHeight="1">
      <c r="AU3326" s="44"/>
    </row>
    <row r="3327" spans="47:47" ht="12" customHeight="1">
      <c r="AU3327" s="44"/>
    </row>
    <row r="3328" spans="47:47" ht="12" customHeight="1">
      <c r="AU3328" s="44"/>
    </row>
    <row r="3329" spans="47:47" ht="12" customHeight="1">
      <c r="AU3329" s="44"/>
    </row>
    <row r="3330" spans="47:47" ht="12" customHeight="1">
      <c r="AU3330" s="44"/>
    </row>
    <row r="3331" spans="47:47" ht="12" customHeight="1">
      <c r="AU3331" s="44"/>
    </row>
    <row r="3332" spans="47:47" ht="12" customHeight="1">
      <c r="AU3332" s="44"/>
    </row>
    <row r="3333" spans="47:47" ht="12" customHeight="1">
      <c r="AU3333" s="44"/>
    </row>
    <row r="3334" spans="47:47" ht="12" customHeight="1">
      <c r="AU3334" s="44"/>
    </row>
    <row r="3335" spans="47:47" ht="12" customHeight="1">
      <c r="AU3335" s="44"/>
    </row>
    <row r="3336" spans="47:47" ht="12" customHeight="1">
      <c r="AU3336" s="44"/>
    </row>
    <row r="3337" spans="47:47" ht="12" customHeight="1">
      <c r="AU3337" s="44"/>
    </row>
    <row r="3338" spans="47:47" ht="12" customHeight="1">
      <c r="AU3338" s="44"/>
    </row>
    <row r="3339" spans="47:47" ht="12" customHeight="1">
      <c r="AU3339" s="44"/>
    </row>
    <row r="3340" spans="47:47" ht="12" customHeight="1">
      <c r="AU3340" s="44"/>
    </row>
    <row r="3341" spans="47:47" ht="12" customHeight="1">
      <c r="AU3341" s="44"/>
    </row>
    <row r="3342" spans="47:47" ht="12" customHeight="1">
      <c r="AU3342" s="44"/>
    </row>
    <row r="3343" spans="47:47" ht="12" customHeight="1">
      <c r="AU3343" s="44"/>
    </row>
    <row r="3344" spans="47:47" ht="12" customHeight="1">
      <c r="AU3344" s="44"/>
    </row>
    <row r="3345" spans="47:47" ht="12" customHeight="1">
      <c r="AU3345" s="44"/>
    </row>
    <row r="3346" spans="47:47" ht="12" customHeight="1">
      <c r="AU3346" s="44"/>
    </row>
    <row r="3347" spans="47:47" ht="12" customHeight="1">
      <c r="AU3347" s="44"/>
    </row>
    <row r="3348" spans="47:47" ht="12" customHeight="1">
      <c r="AU3348" s="44"/>
    </row>
    <row r="3349" spans="47:47" ht="12" customHeight="1">
      <c r="AU3349" s="44"/>
    </row>
    <row r="3350" spans="47:47" ht="12" customHeight="1">
      <c r="AU3350" s="44"/>
    </row>
    <row r="3351" spans="47:47" ht="12" customHeight="1">
      <c r="AU3351" s="44"/>
    </row>
    <row r="3352" spans="47:47" ht="12" customHeight="1">
      <c r="AU3352" s="44"/>
    </row>
    <row r="3353" spans="47:47" ht="12" customHeight="1">
      <c r="AU3353" s="44"/>
    </row>
    <row r="3354" spans="47:47" ht="12" customHeight="1">
      <c r="AU3354" s="44"/>
    </row>
    <row r="3355" spans="47:47" ht="12" customHeight="1">
      <c r="AU3355" s="44"/>
    </row>
    <row r="3356" spans="47:47" ht="12" customHeight="1">
      <c r="AU3356" s="44"/>
    </row>
    <row r="3357" spans="47:47" ht="12" customHeight="1">
      <c r="AU3357" s="44"/>
    </row>
    <row r="3358" spans="47:47" ht="12" customHeight="1">
      <c r="AU3358" s="44"/>
    </row>
    <row r="3359" spans="47:47" ht="12" customHeight="1">
      <c r="AU3359" s="44"/>
    </row>
    <row r="3360" spans="47:47" ht="12" customHeight="1">
      <c r="AU3360" s="44"/>
    </row>
    <row r="3361" spans="47:47" ht="12" customHeight="1">
      <c r="AU3361" s="44"/>
    </row>
    <row r="3362" spans="47:47" ht="12" customHeight="1">
      <c r="AU3362" s="44"/>
    </row>
    <row r="3363" spans="47:47" ht="12" customHeight="1">
      <c r="AU3363" s="44"/>
    </row>
    <row r="3364" spans="47:47" ht="12" customHeight="1">
      <c r="AU3364" s="44"/>
    </row>
    <row r="3365" spans="47:47" ht="12" customHeight="1">
      <c r="AU3365" s="44"/>
    </row>
    <row r="3366" spans="47:47" ht="12" customHeight="1">
      <c r="AU3366" s="44"/>
    </row>
    <row r="3367" spans="47:47" ht="12" customHeight="1">
      <c r="AU3367" s="44"/>
    </row>
    <row r="3368" spans="47:47" ht="12" customHeight="1">
      <c r="AU3368" s="44"/>
    </row>
    <row r="3369" spans="47:47" ht="12" customHeight="1">
      <c r="AU3369" s="44"/>
    </row>
    <row r="3370" spans="47:47" ht="12" customHeight="1">
      <c r="AU3370" s="44"/>
    </row>
    <row r="3371" spans="47:47" ht="12" customHeight="1">
      <c r="AU3371" s="44"/>
    </row>
    <row r="3372" spans="47:47" ht="12" customHeight="1">
      <c r="AU3372" s="44"/>
    </row>
    <row r="3373" spans="47:47" ht="12" customHeight="1">
      <c r="AU3373" s="44"/>
    </row>
    <row r="3374" spans="47:47" ht="12" customHeight="1">
      <c r="AU3374" s="44"/>
    </row>
    <row r="3375" spans="47:47" ht="12" customHeight="1">
      <c r="AU3375" s="44"/>
    </row>
    <row r="3376" spans="47:47" ht="12" customHeight="1">
      <c r="AU3376" s="44"/>
    </row>
    <row r="3377" spans="47:47" ht="12" customHeight="1">
      <c r="AU3377" s="44"/>
    </row>
    <row r="3378" spans="47:47" ht="12" customHeight="1">
      <c r="AU3378" s="44"/>
    </row>
    <row r="3379" spans="47:47" ht="12" customHeight="1">
      <c r="AU3379" s="44"/>
    </row>
    <row r="3380" spans="47:47" ht="12" customHeight="1">
      <c r="AU3380" s="44"/>
    </row>
    <row r="3381" spans="47:47" ht="12" customHeight="1">
      <c r="AU3381" s="44"/>
    </row>
    <row r="3382" spans="47:47" ht="12" customHeight="1">
      <c r="AU3382" s="44"/>
    </row>
    <row r="3383" spans="47:47" ht="12" customHeight="1">
      <c r="AU3383" s="44"/>
    </row>
    <row r="3384" spans="47:47" ht="12" customHeight="1">
      <c r="AU3384" s="44"/>
    </row>
    <row r="3385" spans="47:47" ht="12" customHeight="1">
      <c r="AU3385" s="44"/>
    </row>
    <row r="3386" spans="47:47" ht="12" customHeight="1">
      <c r="AU3386" s="44"/>
    </row>
    <row r="3387" spans="47:47" ht="12" customHeight="1">
      <c r="AU3387" s="44"/>
    </row>
    <row r="3388" spans="47:47" ht="12" customHeight="1">
      <c r="AU3388" s="44"/>
    </row>
    <row r="3389" spans="47:47" ht="12" customHeight="1">
      <c r="AU3389" s="44"/>
    </row>
    <row r="3390" spans="47:47" ht="12" customHeight="1">
      <c r="AU3390" s="44"/>
    </row>
    <row r="3391" spans="47:47" ht="12" customHeight="1">
      <c r="AU3391" s="44"/>
    </row>
    <row r="3392" spans="47:47" ht="12" customHeight="1">
      <c r="AU3392" s="44"/>
    </row>
    <row r="3393" spans="47:47" ht="12" customHeight="1">
      <c r="AU3393" s="44"/>
    </row>
    <row r="3394" spans="47:47" ht="12" customHeight="1">
      <c r="AU3394" s="44"/>
    </row>
    <row r="3395" spans="47:47" ht="12" customHeight="1">
      <c r="AU3395" s="44"/>
    </row>
    <row r="3396" spans="47:47" ht="12" customHeight="1">
      <c r="AU3396" s="44"/>
    </row>
    <row r="3397" spans="47:47" ht="12" customHeight="1">
      <c r="AU3397" s="44"/>
    </row>
    <row r="3398" spans="47:47" ht="12" customHeight="1">
      <c r="AU3398" s="44"/>
    </row>
    <row r="3399" spans="47:47" ht="12" customHeight="1">
      <c r="AU3399" s="44"/>
    </row>
    <row r="3400" spans="47:47" ht="12" customHeight="1">
      <c r="AU3400" s="44"/>
    </row>
    <row r="3401" spans="47:47" ht="12" customHeight="1">
      <c r="AU3401" s="44"/>
    </row>
    <row r="3402" spans="47:47" ht="12" customHeight="1">
      <c r="AU3402" s="44"/>
    </row>
    <row r="3403" spans="47:47" ht="12" customHeight="1">
      <c r="AU3403" s="44"/>
    </row>
    <row r="3404" spans="47:47" ht="12" customHeight="1">
      <c r="AU3404" s="44"/>
    </row>
    <row r="3405" spans="47:47" ht="12" customHeight="1">
      <c r="AU3405" s="44"/>
    </row>
    <row r="3406" spans="47:47" ht="12" customHeight="1">
      <c r="AU3406" s="44"/>
    </row>
    <row r="3407" spans="47:47" ht="12" customHeight="1">
      <c r="AU3407" s="44"/>
    </row>
    <row r="3408" spans="47:47" ht="12" customHeight="1">
      <c r="AU3408" s="44"/>
    </row>
    <row r="3409" spans="47:47" ht="12" customHeight="1">
      <c r="AU3409" s="44"/>
    </row>
    <row r="3410" spans="47:47" ht="12" customHeight="1">
      <c r="AU3410" s="44"/>
    </row>
    <row r="3411" spans="47:47" ht="12" customHeight="1">
      <c r="AU3411" s="44"/>
    </row>
    <row r="3412" spans="47:47" ht="12" customHeight="1">
      <c r="AU3412" s="44"/>
    </row>
    <row r="3413" spans="47:47" ht="12" customHeight="1">
      <c r="AU3413" s="44"/>
    </row>
    <row r="3414" spans="47:47" ht="12" customHeight="1">
      <c r="AU3414" s="44"/>
    </row>
    <row r="3415" spans="47:47" ht="12" customHeight="1">
      <c r="AU3415" s="44"/>
    </row>
    <row r="3416" spans="47:47" ht="12" customHeight="1">
      <c r="AU3416" s="44"/>
    </row>
    <row r="3417" spans="47:47" ht="12" customHeight="1">
      <c r="AU3417" s="44"/>
    </row>
    <row r="3418" spans="47:47" ht="12" customHeight="1">
      <c r="AU3418" s="44"/>
    </row>
    <row r="3419" spans="47:47" ht="12" customHeight="1">
      <c r="AU3419" s="44"/>
    </row>
    <row r="3420" spans="47:47" ht="12" customHeight="1">
      <c r="AU3420" s="44"/>
    </row>
    <row r="3421" spans="47:47" ht="12" customHeight="1">
      <c r="AU3421" s="44"/>
    </row>
    <row r="3422" spans="47:47" ht="12" customHeight="1">
      <c r="AU3422" s="44"/>
    </row>
    <row r="3423" spans="47:47" ht="12" customHeight="1">
      <c r="AU3423" s="44"/>
    </row>
    <row r="3424" spans="47:47" ht="12" customHeight="1">
      <c r="AU3424" s="44"/>
    </row>
    <row r="3425" spans="47:47" ht="12" customHeight="1">
      <c r="AU3425" s="44"/>
    </row>
    <row r="3426" spans="47:47" ht="12" customHeight="1">
      <c r="AU3426" s="44"/>
    </row>
    <row r="3427" spans="47:47" ht="12" customHeight="1">
      <c r="AU3427" s="44"/>
    </row>
    <row r="3428" spans="47:47" ht="12" customHeight="1">
      <c r="AU3428" s="44"/>
    </row>
    <row r="3429" spans="47:47" ht="12" customHeight="1">
      <c r="AU3429" s="44"/>
    </row>
    <row r="3430" spans="47:47" ht="12" customHeight="1">
      <c r="AU3430" s="44"/>
    </row>
    <row r="3431" spans="47:47" ht="12" customHeight="1">
      <c r="AU3431" s="44"/>
    </row>
    <row r="3432" spans="47:47" ht="12" customHeight="1">
      <c r="AU3432" s="44"/>
    </row>
    <row r="3433" spans="47:47" ht="12" customHeight="1">
      <c r="AU3433" s="44"/>
    </row>
    <row r="3434" spans="47:47" ht="12" customHeight="1">
      <c r="AU3434" s="44"/>
    </row>
    <row r="3435" spans="47:47" ht="12" customHeight="1">
      <c r="AU3435" s="44"/>
    </row>
    <row r="3436" spans="47:47" ht="12" customHeight="1">
      <c r="AU3436" s="44"/>
    </row>
    <row r="3437" spans="47:47" ht="12" customHeight="1">
      <c r="AU3437" s="44"/>
    </row>
    <row r="3438" spans="47:47" ht="12" customHeight="1">
      <c r="AU3438" s="44"/>
    </row>
    <row r="3439" spans="47:47" ht="12" customHeight="1">
      <c r="AU3439" s="44"/>
    </row>
    <row r="3440" spans="47:47" ht="12" customHeight="1">
      <c r="AU3440" s="44"/>
    </row>
    <row r="3441" spans="47:47" ht="12" customHeight="1">
      <c r="AU3441" s="44"/>
    </row>
    <row r="3442" spans="47:47" ht="12" customHeight="1">
      <c r="AU3442" s="44"/>
    </row>
    <row r="3443" spans="47:47" ht="12" customHeight="1">
      <c r="AU3443" s="44"/>
    </row>
    <row r="3444" spans="47:47" ht="12" customHeight="1">
      <c r="AU3444" s="44"/>
    </row>
    <row r="3445" spans="47:47" ht="12" customHeight="1">
      <c r="AU3445" s="44"/>
    </row>
    <row r="3446" spans="47:47" ht="12" customHeight="1">
      <c r="AU3446" s="44"/>
    </row>
    <row r="3447" spans="47:47" ht="12" customHeight="1">
      <c r="AU3447" s="44"/>
    </row>
    <row r="3448" spans="47:47" ht="12" customHeight="1">
      <c r="AU3448" s="44"/>
    </row>
    <row r="3449" spans="47:47" ht="12" customHeight="1">
      <c r="AU3449" s="44"/>
    </row>
    <row r="3450" spans="47:47" ht="12" customHeight="1">
      <c r="AU3450" s="44"/>
    </row>
    <row r="3451" spans="47:47" ht="12" customHeight="1">
      <c r="AU3451" s="44"/>
    </row>
    <row r="3452" spans="47:47" ht="12" customHeight="1">
      <c r="AU3452" s="44"/>
    </row>
    <row r="3453" spans="47:47" ht="12" customHeight="1">
      <c r="AU3453" s="44"/>
    </row>
    <row r="3454" spans="47:47" ht="12" customHeight="1">
      <c r="AU3454" s="44"/>
    </row>
    <row r="3455" spans="47:47" ht="12" customHeight="1">
      <c r="AU3455" s="44"/>
    </row>
    <row r="3456" spans="47:47" ht="12" customHeight="1">
      <c r="AU3456" s="44"/>
    </row>
    <row r="3457" spans="47:47" ht="12" customHeight="1">
      <c r="AU3457" s="44"/>
    </row>
    <row r="3458" spans="47:47" ht="12" customHeight="1">
      <c r="AU3458" s="44"/>
    </row>
    <row r="3459" spans="47:47" ht="12" customHeight="1">
      <c r="AU3459" s="44"/>
    </row>
    <row r="3460" spans="47:47" ht="12" customHeight="1">
      <c r="AU3460" s="44"/>
    </row>
    <row r="3461" spans="47:47" ht="12" customHeight="1">
      <c r="AU3461" s="44"/>
    </row>
    <row r="3462" spans="47:47" ht="12" customHeight="1">
      <c r="AU3462" s="44"/>
    </row>
    <row r="3463" spans="47:47" ht="12" customHeight="1">
      <c r="AU3463" s="44"/>
    </row>
    <row r="3464" spans="47:47" ht="12" customHeight="1">
      <c r="AU3464" s="44"/>
    </row>
    <row r="3465" spans="47:47" ht="12" customHeight="1">
      <c r="AU3465" s="44"/>
    </row>
    <row r="3466" spans="47:47" ht="12" customHeight="1">
      <c r="AU3466" s="44"/>
    </row>
    <row r="3467" spans="47:47" ht="12" customHeight="1">
      <c r="AU3467" s="44"/>
    </row>
    <row r="3468" spans="47:47" ht="12" customHeight="1">
      <c r="AU3468" s="44"/>
    </row>
    <row r="3469" spans="47:47" ht="12" customHeight="1">
      <c r="AU3469" s="44"/>
    </row>
    <row r="3470" spans="47:47" ht="12" customHeight="1">
      <c r="AU3470" s="44"/>
    </row>
    <row r="3471" spans="47:47" ht="12" customHeight="1">
      <c r="AU3471" s="44"/>
    </row>
    <row r="3472" spans="47:47" ht="12" customHeight="1">
      <c r="AU3472" s="44"/>
    </row>
    <row r="3473" spans="47:47" ht="12" customHeight="1">
      <c r="AU3473" s="44"/>
    </row>
    <row r="3474" spans="47:47" ht="12" customHeight="1">
      <c r="AU3474" s="44"/>
    </row>
    <row r="3475" spans="47:47" ht="12" customHeight="1">
      <c r="AU3475" s="44"/>
    </row>
    <row r="3476" spans="47:47" ht="12" customHeight="1">
      <c r="AU3476" s="44"/>
    </row>
    <row r="3477" spans="47:47" ht="12" customHeight="1">
      <c r="AU3477" s="44"/>
    </row>
    <row r="3478" spans="47:47" ht="12" customHeight="1">
      <c r="AU3478" s="44"/>
    </row>
    <row r="3479" spans="47:47" ht="12" customHeight="1">
      <c r="AU3479" s="44"/>
    </row>
    <row r="3480" spans="47:47" ht="12" customHeight="1">
      <c r="AU3480" s="44"/>
    </row>
    <row r="3481" spans="47:47" ht="12" customHeight="1">
      <c r="AU3481" s="44"/>
    </row>
    <row r="3482" spans="47:47" ht="12" customHeight="1">
      <c r="AU3482" s="44"/>
    </row>
    <row r="3483" spans="47:47" ht="12" customHeight="1">
      <c r="AU3483" s="44"/>
    </row>
    <row r="3484" spans="47:47" ht="12" customHeight="1">
      <c r="AU3484" s="44"/>
    </row>
    <row r="3485" spans="47:47" ht="12" customHeight="1">
      <c r="AU3485" s="44"/>
    </row>
    <row r="3486" spans="47:47" ht="12" customHeight="1">
      <c r="AU3486" s="44"/>
    </row>
    <row r="3487" spans="47:47" ht="12" customHeight="1">
      <c r="AU3487" s="44"/>
    </row>
    <row r="3488" spans="47:47" ht="12" customHeight="1">
      <c r="AU3488" s="44"/>
    </row>
    <row r="3489" spans="47:47" ht="12" customHeight="1">
      <c r="AU3489" s="44"/>
    </row>
    <row r="3490" spans="47:47" ht="12" customHeight="1">
      <c r="AU3490" s="44"/>
    </row>
    <row r="3491" spans="47:47" ht="12" customHeight="1">
      <c r="AU3491" s="44"/>
    </row>
    <row r="3492" spans="47:47" ht="12" customHeight="1">
      <c r="AU3492" s="44"/>
    </row>
    <row r="3493" spans="47:47" ht="12" customHeight="1">
      <c r="AU3493" s="44"/>
    </row>
    <row r="3494" spans="47:47" ht="12" customHeight="1">
      <c r="AU3494" s="44"/>
    </row>
    <row r="3495" spans="47:47" ht="12" customHeight="1">
      <c r="AU3495" s="44"/>
    </row>
    <row r="3496" spans="47:47" ht="12" customHeight="1">
      <c r="AU3496" s="44"/>
    </row>
    <row r="3497" spans="47:47" ht="12" customHeight="1">
      <c r="AU3497" s="44"/>
    </row>
    <row r="3498" spans="47:47" ht="12" customHeight="1">
      <c r="AU3498" s="44"/>
    </row>
    <row r="3499" spans="47:47" ht="12" customHeight="1">
      <c r="AU3499" s="44"/>
    </row>
    <row r="3500" spans="47:47" ht="12" customHeight="1">
      <c r="AU3500" s="44"/>
    </row>
    <row r="3501" spans="47:47" ht="12" customHeight="1">
      <c r="AU3501" s="44"/>
    </row>
    <row r="3502" spans="47:47" ht="12" customHeight="1">
      <c r="AU3502" s="44"/>
    </row>
    <row r="3503" spans="47:47" ht="12" customHeight="1">
      <c r="AU3503" s="44"/>
    </row>
    <row r="3504" spans="47:47" ht="12" customHeight="1">
      <c r="AU3504" s="44"/>
    </row>
    <row r="3505" spans="47:47" ht="12" customHeight="1">
      <c r="AU3505" s="44"/>
    </row>
    <row r="3506" spans="47:47" ht="12" customHeight="1">
      <c r="AU3506" s="44"/>
    </row>
    <row r="3507" spans="47:47" ht="12" customHeight="1">
      <c r="AU3507" s="44"/>
    </row>
    <row r="3508" spans="47:47" ht="12" customHeight="1">
      <c r="AU3508" s="44"/>
    </row>
    <row r="3509" spans="47:47" ht="12" customHeight="1">
      <c r="AU3509" s="44"/>
    </row>
    <row r="3510" spans="47:47" ht="12" customHeight="1">
      <c r="AU3510" s="44"/>
    </row>
    <row r="3511" spans="47:47" ht="12" customHeight="1">
      <c r="AU3511" s="44"/>
    </row>
    <row r="3512" spans="47:47" ht="12" customHeight="1">
      <c r="AU3512" s="44"/>
    </row>
    <row r="3513" spans="47:47" ht="12" customHeight="1">
      <c r="AU3513" s="44"/>
    </row>
    <row r="3514" spans="47:47" ht="12" customHeight="1">
      <c r="AU3514" s="44"/>
    </row>
    <row r="3515" spans="47:47" ht="12" customHeight="1">
      <c r="AU3515" s="44"/>
    </row>
    <row r="3516" spans="47:47" ht="12" customHeight="1">
      <c r="AU3516" s="44"/>
    </row>
    <row r="3517" spans="47:47" ht="12" customHeight="1">
      <c r="AU3517" s="44"/>
    </row>
    <row r="3518" spans="47:47" ht="12" customHeight="1">
      <c r="AU3518" s="44"/>
    </row>
    <row r="3519" spans="47:47" ht="12" customHeight="1">
      <c r="AU3519" s="44"/>
    </row>
    <row r="3520" spans="47:47" ht="12" customHeight="1">
      <c r="AU3520" s="44"/>
    </row>
    <row r="3521" spans="47:47" ht="12" customHeight="1">
      <c r="AU3521" s="44"/>
    </row>
    <row r="3522" spans="47:47" ht="12" customHeight="1">
      <c r="AU3522" s="44"/>
    </row>
    <row r="3523" spans="47:47" ht="12" customHeight="1">
      <c r="AU3523" s="44"/>
    </row>
    <row r="3524" spans="47:47" ht="12" customHeight="1">
      <c r="AU3524" s="44"/>
    </row>
    <row r="3525" spans="47:47" ht="12" customHeight="1">
      <c r="AU3525" s="44"/>
    </row>
    <row r="3526" spans="47:47" ht="12" customHeight="1">
      <c r="AU3526" s="44"/>
    </row>
    <row r="3527" spans="47:47" ht="12" customHeight="1">
      <c r="AU3527" s="44"/>
    </row>
    <row r="3528" spans="47:47" ht="12" customHeight="1">
      <c r="AU3528" s="44"/>
    </row>
    <row r="3529" spans="47:47" ht="12" customHeight="1">
      <c r="AU3529" s="44"/>
    </row>
    <row r="3530" spans="47:47" ht="12" customHeight="1">
      <c r="AU3530" s="44"/>
    </row>
    <row r="3531" spans="47:47" ht="12" customHeight="1">
      <c r="AU3531" s="44"/>
    </row>
    <row r="3532" spans="47:47" ht="12" customHeight="1">
      <c r="AU3532" s="44"/>
    </row>
    <row r="3533" spans="47:47" ht="12" customHeight="1">
      <c r="AU3533" s="44"/>
    </row>
    <row r="3534" spans="47:47" ht="12" customHeight="1">
      <c r="AU3534" s="44"/>
    </row>
    <row r="3535" spans="47:47" ht="12" customHeight="1">
      <c r="AU3535" s="44"/>
    </row>
    <row r="3536" spans="47:47" ht="12" customHeight="1">
      <c r="AU3536" s="44"/>
    </row>
    <row r="3537" spans="47:47" ht="12" customHeight="1">
      <c r="AU3537" s="44"/>
    </row>
    <row r="3538" spans="47:47" ht="12" customHeight="1">
      <c r="AU3538" s="44"/>
    </row>
    <row r="3539" spans="47:47" ht="12" customHeight="1">
      <c r="AU3539" s="44"/>
    </row>
    <row r="3540" spans="47:47" ht="12" customHeight="1">
      <c r="AU3540" s="44"/>
    </row>
    <row r="3541" spans="47:47" ht="12" customHeight="1">
      <c r="AU3541" s="44"/>
    </row>
    <row r="3542" spans="47:47" ht="12" customHeight="1">
      <c r="AU3542" s="44"/>
    </row>
    <row r="3543" spans="47:47" ht="12" customHeight="1">
      <c r="AU3543" s="44"/>
    </row>
    <row r="3544" spans="47:47" ht="12" customHeight="1">
      <c r="AU3544" s="44"/>
    </row>
    <row r="3545" spans="47:47" ht="12" customHeight="1">
      <c r="AU3545" s="44"/>
    </row>
    <row r="3546" spans="47:47" ht="12" customHeight="1">
      <c r="AU3546" s="44"/>
    </row>
    <row r="3547" spans="47:47" ht="12" customHeight="1">
      <c r="AU3547" s="44"/>
    </row>
    <row r="3548" spans="47:47" ht="12" customHeight="1">
      <c r="AU3548" s="44"/>
    </row>
    <row r="3549" spans="47:47" ht="12" customHeight="1">
      <c r="AU3549" s="44"/>
    </row>
    <row r="3550" spans="47:47" ht="12" customHeight="1">
      <c r="AU3550" s="44"/>
    </row>
    <row r="3551" spans="47:47" ht="12" customHeight="1">
      <c r="AU3551" s="44"/>
    </row>
    <row r="3552" spans="47:47" ht="12" customHeight="1">
      <c r="AU3552" s="44"/>
    </row>
    <row r="3553" spans="47:47" ht="12" customHeight="1">
      <c r="AU3553" s="44"/>
    </row>
    <row r="3554" spans="47:47" ht="12" customHeight="1">
      <c r="AU3554" s="44"/>
    </row>
    <row r="3555" spans="47:47" ht="12" customHeight="1">
      <c r="AU3555" s="44"/>
    </row>
    <row r="3556" spans="47:47" ht="12" customHeight="1">
      <c r="AU3556" s="44"/>
    </row>
    <row r="3557" spans="47:47" ht="12" customHeight="1">
      <c r="AU3557" s="44"/>
    </row>
    <row r="3558" spans="47:47" ht="12" customHeight="1">
      <c r="AU3558" s="44"/>
    </row>
    <row r="3559" spans="47:47" ht="12" customHeight="1">
      <c r="AU3559" s="44"/>
    </row>
    <row r="3560" spans="47:47" ht="12" customHeight="1">
      <c r="AU3560" s="44"/>
    </row>
    <row r="3561" spans="47:47" ht="12" customHeight="1">
      <c r="AU3561" s="44"/>
    </row>
    <row r="3562" spans="47:47" ht="12" customHeight="1">
      <c r="AU3562" s="44"/>
    </row>
    <row r="3563" spans="47:47" ht="12" customHeight="1">
      <c r="AU3563" s="44"/>
    </row>
    <row r="3564" spans="47:47" ht="12" customHeight="1">
      <c r="AU3564" s="44"/>
    </row>
    <row r="3565" spans="47:47" ht="12" customHeight="1">
      <c r="AU3565" s="44"/>
    </row>
    <row r="3566" spans="47:47" ht="12" customHeight="1">
      <c r="AU3566" s="44"/>
    </row>
    <row r="3567" spans="47:47" ht="12" customHeight="1">
      <c r="AU3567" s="44"/>
    </row>
    <row r="3568" spans="47:47" ht="12" customHeight="1">
      <c r="AU3568" s="44"/>
    </row>
    <row r="3569" spans="47:47" ht="12" customHeight="1">
      <c r="AU3569" s="44"/>
    </row>
    <row r="3570" spans="47:47" ht="12" customHeight="1">
      <c r="AU3570" s="44"/>
    </row>
    <row r="3571" spans="47:47" ht="12" customHeight="1">
      <c r="AU3571" s="44"/>
    </row>
    <row r="3572" spans="47:47" ht="12" customHeight="1">
      <c r="AU3572" s="44"/>
    </row>
    <row r="3573" spans="47:47" ht="12" customHeight="1">
      <c r="AU3573" s="44"/>
    </row>
    <row r="3574" spans="47:47" ht="12" customHeight="1">
      <c r="AU3574" s="44"/>
    </row>
    <row r="3575" spans="47:47" ht="12" customHeight="1">
      <c r="AU3575" s="44"/>
    </row>
    <row r="3576" spans="47:47" ht="12" customHeight="1">
      <c r="AU3576" s="44"/>
    </row>
    <row r="3577" spans="47:47" ht="12" customHeight="1">
      <c r="AU3577" s="44"/>
    </row>
    <row r="3578" spans="47:47" ht="12" customHeight="1">
      <c r="AU3578" s="44"/>
    </row>
    <row r="3579" spans="47:47" ht="12" customHeight="1">
      <c r="AU3579" s="44"/>
    </row>
    <row r="3580" spans="47:47" ht="12" customHeight="1">
      <c r="AU3580" s="44"/>
    </row>
    <row r="3581" spans="47:47" ht="12" customHeight="1">
      <c r="AU3581" s="44"/>
    </row>
    <row r="3582" spans="47:47" ht="12" customHeight="1">
      <c r="AU3582" s="44"/>
    </row>
    <row r="3583" spans="47:47" ht="12" customHeight="1">
      <c r="AU3583" s="44"/>
    </row>
    <row r="3584" spans="47:47" ht="12" customHeight="1">
      <c r="AU3584" s="44"/>
    </row>
    <row r="3585" spans="47:47" ht="12" customHeight="1">
      <c r="AU3585" s="44"/>
    </row>
    <row r="3586" spans="47:47" ht="12" customHeight="1">
      <c r="AU3586" s="44"/>
    </row>
    <row r="3587" spans="47:47" ht="12" customHeight="1">
      <c r="AU3587" s="44"/>
    </row>
    <row r="3588" spans="47:47" ht="12" customHeight="1">
      <c r="AU3588" s="44"/>
    </row>
    <row r="3589" spans="47:47" ht="12" customHeight="1">
      <c r="AU3589" s="44"/>
    </row>
    <row r="3590" spans="47:47" ht="12" customHeight="1">
      <c r="AU3590" s="44"/>
    </row>
    <row r="3591" spans="47:47" ht="12" customHeight="1">
      <c r="AU3591" s="44"/>
    </row>
    <row r="3592" spans="47:47" ht="12" customHeight="1">
      <c r="AU3592" s="44"/>
    </row>
    <row r="3593" spans="47:47" ht="12" customHeight="1">
      <c r="AU3593" s="44"/>
    </row>
    <row r="3594" spans="47:47" ht="12" customHeight="1">
      <c r="AU3594" s="44"/>
    </row>
    <row r="3595" spans="47:47" ht="12" customHeight="1">
      <c r="AU3595" s="44"/>
    </row>
    <row r="3596" spans="47:47" ht="12" customHeight="1">
      <c r="AU3596" s="44"/>
    </row>
    <row r="3597" spans="47:47" ht="12" customHeight="1">
      <c r="AU3597" s="44"/>
    </row>
    <row r="3598" spans="47:47" ht="12" customHeight="1">
      <c r="AU3598" s="44"/>
    </row>
    <row r="3599" spans="47:47" ht="12" customHeight="1">
      <c r="AU3599" s="44"/>
    </row>
    <row r="3600" spans="47:47" ht="12" customHeight="1">
      <c r="AU3600" s="44"/>
    </row>
    <row r="3601" spans="47:47" ht="12" customHeight="1">
      <c r="AU3601" s="44"/>
    </row>
    <row r="3602" spans="47:47" ht="12" customHeight="1">
      <c r="AU3602" s="44"/>
    </row>
    <row r="3603" spans="47:47" ht="12" customHeight="1">
      <c r="AU3603" s="44"/>
    </row>
    <row r="3604" spans="47:47" ht="12" customHeight="1">
      <c r="AU3604" s="44"/>
    </row>
    <row r="3605" spans="47:47" ht="12" customHeight="1">
      <c r="AU3605" s="44"/>
    </row>
    <row r="3606" spans="47:47" ht="12" customHeight="1">
      <c r="AU3606" s="44"/>
    </row>
    <row r="3607" spans="47:47" ht="12" customHeight="1">
      <c r="AU3607" s="44"/>
    </row>
    <row r="3608" spans="47:47" ht="12" customHeight="1">
      <c r="AU3608" s="44"/>
    </row>
    <row r="3609" spans="47:47" ht="12" customHeight="1">
      <c r="AU3609" s="44"/>
    </row>
    <row r="3610" spans="47:47" ht="12" customHeight="1">
      <c r="AU3610" s="44"/>
    </row>
    <row r="3611" spans="47:47" ht="12" customHeight="1">
      <c r="AU3611" s="44"/>
    </row>
    <row r="3612" spans="47:47" ht="12" customHeight="1">
      <c r="AU3612" s="44"/>
    </row>
    <row r="3613" spans="47:47" ht="12" customHeight="1">
      <c r="AU3613" s="44"/>
    </row>
    <row r="3614" spans="47:47" ht="12" customHeight="1">
      <c r="AU3614" s="44"/>
    </row>
    <row r="3615" spans="47:47" ht="12" customHeight="1">
      <c r="AU3615" s="44"/>
    </row>
    <row r="3616" spans="47:47" ht="12" customHeight="1">
      <c r="AU3616" s="44"/>
    </row>
    <row r="3617" spans="47:47" ht="12" customHeight="1">
      <c r="AU3617" s="44"/>
    </row>
    <row r="3618" spans="47:47" ht="12" customHeight="1">
      <c r="AU3618" s="44"/>
    </row>
    <row r="3619" spans="47:47" ht="12" customHeight="1">
      <c r="AU3619" s="44"/>
    </row>
    <row r="3620" spans="47:47" ht="12" customHeight="1">
      <c r="AU3620" s="44"/>
    </row>
    <row r="3621" spans="47:47" ht="12" customHeight="1">
      <c r="AU3621" s="44"/>
    </row>
    <row r="3622" spans="47:47" ht="12" customHeight="1">
      <c r="AU3622" s="44"/>
    </row>
    <row r="3623" spans="47:47" ht="12" customHeight="1">
      <c r="AU3623" s="44"/>
    </row>
    <row r="3624" spans="47:47" ht="12" customHeight="1">
      <c r="AU3624" s="44"/>
    </row>
    <row r="3625" spans="47:47" ht="12" customHeight="1">
      <c r="AU3625" s="44"/>
    </row>
    <row r="3626" spans="47:47" ht="12" customHeight="1">
      <c r="AU3626" s="44"/>
    </row>
    <row r="3627" spans="47:47" ht="12" customHeight="1">
      <c r="AU3627" s="44"/>
    </row>
    <row r="3628" spans="47:47" ht="12" customHeight="1">
      <c r="AU3628" s="44"/>
    </row>
    <row r="3629" spans="47:47" ht="12" customHeight="1">
      <c r="AU3629" s="44"/>
    </row>
    <row r="3630" spans="47:47" ht="12" customHeight="1">
      <c r="AU3630" s="44"/>
    </row>
    <row r="3631" spans="47:47" ht="12" customHeight="1">
      <c r="AU3631" s="44"/>
    </row>
    <row r="3632" spans="47:47" ht="12" customHeight="1">
      <c r="AU3632" s="44"/>
    </row>
    <row r="3633" spans="47:47" ht="12" customHeight="1">
      <c r="AU3633" s="44"/>
    </row>
    <row r="3634" spans="47:47" ht="12" customHeight="1">
      <c r="AU3634" s="44"/>
    </row>
    <row r="3635" spans="47:47" ht="12" customHeight="1">
      <c r="AU3635" s="44"/>
    </row>
    <row r="3636" spans="47:47" ht="12" customHeight="1">
      <c r="AU3636" s="44"/>
    </row>
    <row r="3637" spans="47:47" ht="12" customHeight="1">
      <c r="AU3637" s="44"/>
    </row>
    <row r="3638" spans="47:47" ht="12" customHeight="1">
      <c r="AU3638" s="44"/>
    </row>
    <row r="3639" spans="47:47" ht="12" customHeight="1">
      <c r="AU3639" s="44"/>
    </row>
    <row r="3640" spans="47:47" ht="12" customHeight="1">
      <c r="AU3640" s="44"/>
    </row>
    <row r="3641" spans="47:47" ht="12" customHeight="1">
      <c r="AU3641" s="44"/>
    </row>
    <row r="3642" spans="47:47" ht="12" customHeight="1">
      <c r="AU3642" s="44"/>
    </row>
    <row r="3643" spans="47:47" ht="12" customHeight="1">
      <c r="AU3643" s="44"/>
    </row>
    <row r="3644" spans="47:47" ht="12" customHeight="1">
      <c r="AU3644" s="44"/>
    </row>
    <row r="3645" spans="47:47" ht="12" customHeight="1">
      <c r="AU3645" s="44"/>
    </row>
    <row r="3646" spans="47:47" ht="12" customHeight="1">
      <c r="AU3646" s="44"/>
    </row>
    <row r="3647" spans="47:47" ht="12" customHeight="1">
      <c r="AU3647" s="44"/>
    </row>
    <row r="3648" spans="47:47" ht="12" customHeight="1">
      <c r="AU3648" s="44"/>
    </row>
    <row r="3649" spans="47:47" ht="12" customHeight="1">
      <c r="AU3649" s="44"/>
    </row>
    <row r="3650" spans="47:47" ht="12" customHeight="1">
      <c r="AU3650" s="44"/>
    </row>
    <row r="3651" spans="47:47" ht="12" customHeight="1">
      <c r="AU3651" s="44"/>
    </row>
    <row r="3652" spans="47:47" ht="12" customHeight="1">
      <c r="AU3652" s="44"/>
    </row>
    <row r="3653" spans="47:47" ht="12" customHeight="1">
      <c r="AU3653" s="44"/>
    </row>
    <row r="3654" spans="47:47" ht="12" customHeight="1">
      <c r="AU3654" s="44"/>
    </row>
    <row r="3655" spans="47:47" ht="12" customHeight="1">
      <c r="AU3655" s="44"/>
    </row>
    <row r="3656" spans="47:47" ht="12" customHeight="1">
      <c r="AU3656" s="44"/>
    </row>
    <row r="3657" spans="47:47" ht="12" customHeight="1">
      <c r="AU3657" s="44"/>
    </row>
    <row r="3658" spans="47:47" ht="12" customHeight="1">
      <c r="AU3658" s="44"/>
    </row>
    <row r="3659" spans="47:47" ht="12" customHeight="1">
      <c r="AU3659" s="44"/>
    </row>
    <row r="3660" spans="47:47" ht="12" customHeight="1">
      <c r="AU3660" s="44"/>
    </row>
    <row r="3661" spans="47:47" ht="12" customHeight="1">
      <c r="AU3661" s="44"/>
    </row>
    <row r="3662" spans="47:47" ht="12" customHeight="1">
      <c r="AU3662" s="44"/>
    </row>
    <row r="3663" spans="47:47" ht="12" customHeight="1">
      <c r="AU3663" s="44"/>
    </row>
    <row r="3664" spans="47:47" ht="12" customHeight="1">
      <c r="AU3664" s="44"/>
    </row>
    <row r="3665" spans="47:47" ht="12" customHeight="1">
      <c r="AU3665" s="44"/>
    </row>
    <row r="3666" spans="47:47" ht="12" customHeight="1">
      <c r="AU3666" s="44"/>
    </row>
    <row r="3667" spans="47:47" ht="12" customHeight="1">
      <c r="AU3667" s="44"/>
    </row>
    <row r="3668" spans="47:47" ht="12" customHeight="1">
      <c r="AU3668" s="44"/>
    </row>
    <row r="3669" spans="47:47" ht="12" customHeight="1">
      <c r="AU3669" s="44"/>
    </row>
    <row r="3670" spans="47:47" ht="12" customHeight="1">
      <c r="AU3670" s="44"/>
    </row>
    <row r="3671" spans="47:47" ht="12" customHeight="1">
      <c r="AU3671" s="44"/>
    </row>
    <row r="3672" spans="47:47" ht="12" customHeight="1">
      <c r="AU3672" s="44"/>
    </row>
    <row r="3673" spans="47:47" ht="12" customHeight="1">
      <c r="AU3673" s="44"/>
    </row>
    <row r="3674" spans="47:47" ht="12" customHeight="1">
      <c r="AU3674" s="44"/>
    </row>
    <row r="3675" spans="47:47" ht="12" customHeight="1">
      <c r="AU3675" s="44"/>
    </row>
    <row r="3676" spans="47:47" ht="12" customHeight="1">
      <c r="AU3676" s="44"/>
    </row>
    <row r="3677" spans="47:47" ht="12" customHeight="1">
      <c r="AU3677" s="44"/>
    </row>
    <row r="3678" spans="47:47" ht="12" customHeight="1">
      <c r="AU3678" s="44"/>
    </row>
    <row r="3679" spans="47:47" ht="12" customHeight="1">
      <c r="AU3679" s="44"/>
    </row>
    <row r="3680" spans="47:47" ht="12" customHeight="1">
      <c r="AU3680" s="44"/>
    </row>
    <row r="3681" spans="47:47" ht="12" customHeight="1">
      <c r="AU3681" s="44"/>
    </row>
    <row r="3682" spans="47:47" ht="12" customHeight="1">
      <c r="AU3682" s="44"/>
    </row>
    <row r="3683" spans="47:47" ht="12" customHeight="1">
      <c r="AU3683" s="44"/>
    </row>
    <row r="3684" spans="47:47" ht="12" customHeight="1">
      <c r="AU3684" s="44"/>
    </row>
    <row r="3685" spans="47:47" ht="12" customHeight="1">
      <c r="AU3685" s="44"/>
    </row>
    <row r="3686" spans="47:47" ht="12" customHeight="1">
      <c r="AU3686" s="44"/>
    </row>
    <row r="3687" spans="47:47" ht="12" customHeight="1">
      <c r="AU3687" s="44"/>
    </row>
    <row r="3688" spans="47:47" ht="12" customHeight="1">
      <c r="AU3688" s="44"/>
    </row>
    <row r="3689" spans="47:47" ht="12" customHeight="1">
      <c r="AU3689" s="44"/>
    </row>
    <row r="3690" spans="47:47" ht="12" customHeight="1">
      <c r="AU3690" s="44"/>
    </row>
    <row r="3691" spans="47:47" ht="12" customHeight="1">
      <c r="AU3691" s="44"/>
    </row>
    <row r="3692" spans="47:47" ht="12" customHeight="1">
      <c r="AU3692" s="44"/>
    </row>
    <row r="3693" spans="47:47" ht="12" customHeight="1">
      <c r="AU3693" s="44"/>
    </row>
    <row r="3694" spans="47:47" ht="12" customHeight="1">
      <c r="AU3694" s="44"/>
    </row>
    <row r="3695" spans="47:47" ht="12" customHeight="1">
      <c r="AU3695" s="44"/>
    </row>
    <row r="3696" spans="47:47" ht="12" customHeight="1">
      <c r="AU3696" s="44"/>
    </row>
    <row r="3697" spans="47:47" ht="12" customHeight="1">
      <c r="AU3697" s="44"/>
    </row>
    <row r="3698" spans="47:47" ht="12" customHeight="1">
      <c r="AU3698" s="44"/>
    </row>
    <row r="3699" spans="47:47" ht="12" customHeight="1">
      <c r="AU3699" s="44"/>
    </row>
    <row r="3700" spans="47:47" ht="12" customHeight="1">
      <c r="AU3700" s="44"/>
    </row>
    <row r="3701" spans="47:47" ht="12" customHeight="1">
      <c r="AU3701" s="44"/>
    </row>
    <row r="3702" spans="47:47" ht="12" customHeight="1">
      <c r="AU3702" s="44"/>
    </row>
    <row r="3703" spans="47:47" ht="12" customHeight="1">
      <c r="AU3703" s="44"/>
    </row>
    <row r="3704" spans="47:47" ht="12" customHeight="1">
      <c r="AU3704" s="44"/>
    </row>
    <row r="3705" spans="47:47" ht="12" customHeight="1">
      <c r="AU3705" s="44"/>
    </row>
    <row r="3706" spans="47:47" ht="12" customHeight="1">
      <c r="AU3706" s="44"/>
    </row>
    <row r="3707" spans="47:47" ht="12" customHeight="1">
      <c r="AU3707" s="44"/>
    </row>
    <row r="3708" spans="47:47" ht="12" customHeight="1">
      <c r="AU3708" s="44"/>
    </row>
    <row r="3709" spans="47:47" ht="12" customHeight="1">
      <c r="AU3709" s="44"/>
    </row>
    <row r="3710" spans="47:47" ht="12" customHeight="1">
      <c r="AU3710" s="44"/>
    </row>
    <row r="3711" spans="47:47" ht="12" customHeight="1">
      <c r="AU3711" s="44"/>
    </row>
    <row r="3712" spans="47:47" ht="12" customHeight="1">
      <c r="AU3712" s="44"/>
    </row>
    <row r="3713" spans="47:47" ht="12" customHeight="1">
      <c r="AU3713" s="44"/>
    </row>
    <row r="3714" spans="47:47" ht="12" customHeight="1">
      <c r="AU3714" s="44"/>
    </row>
    <row r="3715" spans="47:47" ht="12" customHeight="1">
      <c r="AU3715" s="44"/>
    </row>
    <row r="3716" spans="47:47" ht="12" customHeight="1">
      <c r="AU3716" s="44"/>
    </row>
    <row r="3717" spans="47:47" ht="12" customHeight="1">
      <c r="AU3717" s="44"/>
    </row>
    <row r="3718" spans="47:47" ht="12" customHeight="1">
      <c r="AU3718" s="44"/>
    </row>
    <row r="3719" spans="47:47" ht="12" customHeight="1">
      <c r="AU3719" s="44"/>
    </row>
    <row r="3720" spans="47:47" ht="12" customHeight="1">
      <c r="AU3720" s="44"/>
    </row>
    <row r="3721" spans="47:47" ht="12" customHeight="1">
      <c r="AU3721" s="44"/>
    </row>
    <row r="3722" spans="47:47" ht="12" customHeight="1">
      <c r="AU3722" s="44"/>
    </row>
    <row r="3723" spans="47:47" ht="12" customHeight="1">
      <c r="AU3723" s="44"/>
    </row>
    <row r="3724" spans="47:47" ht="12" customHeight="1">
      <c r="AU3724" s="44"/>
    </row>
    <row r="3725" spans="47:47" ht="12" customHeight="1">
      <c r="AU3725" s="44"/>
    </row>
    <row r="3726" spans="47:47" ht="12" customHeight="1">
      <c r="AU3726" s="44"/>
    </row>
    <row r="3727" spans="47:47" ht="12" customHeight="1">
      <c r="AU3727" s="44"/>
    </row>
    <row r="3728" spans="47:47" ht="12" customHeight="1">
      <c r="AU3728" s="44"/>
    </row>
    <row r="3729" spans="47:47" ht="12" customHeight="1">
      <c r="AU3729" s="44"/>
    </row>
    <row r="3730" spans="47:47" ht="12" customHeight="1">
      <c r="AU3730" s="44"/>
    </row>
    <row r="3731" spans="47:47" ht="12" customHeight="1">
      <c r="AU3731" s="44"/>
    </row>
    <row r="3732" spans="47:47" ht="12" customHeight="1">
      <c r="AU3732" s="44"/>
    </row>
    <row r="3733" spans="47:47" ht="12" customHeight="1">
      <c r="AU3733" s="44"/>
    </row>
    <row r="3734" spans="47:47" ht="12" customHeight="1">
      <c r="AU3734" s="44"/>
    </row>
    <row r="3735" spans="47:47" ht="12" customHeight="1">
      <c r="AU3735" s="44"/>
    </row>
    <row r="3736" spans="47:47" ht="12" customHeight="1">
      <c r="AU3736" s="44"/>
    </row>
    <row r="3737" spans="47:47" ht="12" customHeight="1">
      <c r="AU3737" s="44"/>
    </row>
    <row r="3738" spans="47:47" ht="12" customHeight="1">
      <c r="AU3738" s="44"/>
    </row>
    <row r="3739" spans="47:47" ht="12" customHeight="1">
      <c r="AU3739" s="44"/>
    </row>
    <row r="3740" spans="47:47" ht="12" customHeight="1">
      <c r="AU3740" s="44"/>
    </row>
    <row r="3741" spans="47:47" ht="12" customHeight="1">
      <c r="AU3741" s="44"/>
    </row>
    <row r="3742" spans="47:47" ht="12" customHeight="1">
      <c r="AU3742" s="44"/>
    </row>
    <row r="3743" spans="47:47" ht="12" customHeight="1">
      <c r="AU3743" s="44"/>
    </row>
    <row r="3744" spans="47:47" ht="12" customHeight="1">
      <c r="AU3744" s="44"/>
    </row>
    <row r="3745" spans="47:47" ht="12" customHeight="1">
      <c r="AU3745" s="44"/>
    </row>
    <row r="3746" spans="47:47" ht="12" customHeight="1">
      <c r="AU3746" s="44"/>
    </row>
    <row r="3747" spans="47:47" ht="12" customHeight="1">
      <c r="AU3747" s="44"/>
    </row>
    <row r="3748" spans="47:47" ht="12" customHeight="1">
      <c r="AU3748" s="44"/>
    </row>
    <row r="3749" spans="47:47" ht="12" customHeight="1">
      <c r="AU3749" s="44"/>
    </row>
    <row r="3750" spans="47:47" ht="12" customHeight="1">
      <c r="AU3750" s="44"/>
    </row>
    <row r="3751" spans="47:47" ht="12" customHeight="1">
      <c r="AU3751" s="44"/>
    </row>
    <row r="3752" spans="47:47" ht="12" customHeight="1">
      <c r="AU3752" s="44"/>
    </row>
    <row r="3753" spans="47:47" ht="12" customHeight="1">
      <c r="AU3753" s="44"/>
    </row>
    <row r="3754" spans="47:47" ht="12" customHeight="1">
      <c r="AU3754" s="44"/>
    </row>
    <row r="3755" spans="47:47" ht="12" customHeight="1">
      <c r="AU3755" s="44"/>
    </row>
    <row r="3756" spans="47:47" ht="12" customHeight="1">
      <c r="AU3756" s="44"/>
    </row>
    <row r="3757" spans="47:47" ht="12" customHeight="1">
      <c r="AU3757" s="44"/>
    </row>
    <row r="3758" spans="47:47" ht="12" customHeight="1">
      <c r="AU3758" s="44"/>
    </row>
    <row r="3759" spans="47:47" ht="12" customHeight="1">
      <c r="AU3759" s="44"/>
    </row>
    <row r="3760" spans="47:47" ht="12" customHeight="1">
      <c r="AU3760" s="44"/>
    </row>
    <row r="3761" spans="47:47" ht="12" customHeight="1">
      <c r="AU3761" s="44"/>
    </row>
    <row r="3762" spans="47:47" ht="12" customHeight="1">
      <c r="AU3762" s="44"/>
    </row>
    <row r="3763" spans="47:47" ht="12" customHeight="1">
      <c r="AU3763" s="44"/>
    </row>
    <row r="3764" spans="47:47" ht="12" customHeight="1">
      <c r="AU3764" s="44"/>
    </row>
    <row r="3765" spans="47:47" ht="12" customHeight="1">
      <c r="AU3765" s="44"/>
    </row>
    <row r="3766" spans="47:47" ht="12" customHeight="1">
      <c r="AU3766" s="44"/>
    </row>
    <row r="3767" spans="47:47" ht="12" customHeight="1">
      <c r="AU3767" s="44"/>
    </row>
    <row r="3768" spans="47:47" ht="12" customHeight="1">
      <c r="AU3768" s="44"/>
    </row>
    <row r="3769" spans="47:47" ht="12" customHeight="1">
      <c r="AU3769" s="44"/>
    </row>
    <row r="3770" spans="47:47" ht="12" customHeight="1">
      <c r="AU3770" s="44"/>
    </row>
    <row r="3771" spans="47:47" ht="12" customHeight="1">
      <c r="AU3771" s="44"/>
    </row>
    <row r="3772" spans="47:47" ht="12" customHeight="1">
      <c r="AU3772" s="44"/>
    </row>
    <row r="3773" spans="47:47" ht="12" customHeight="1">
      <c r="AU3773" s="44"/>
    </row>
    <row r="3774" spans="47:47" ht="12" customHeight="1">
      <c r="AU3774" s="44"/>
    </row>
    <row r="3775" spans="47:47" ht="12" customHeight="1">
      <c r="AU3775" s="44"/>
    </row>
    <row r="3776" spans="47:47" ht="12" customHeight="1">
      <c r="AU3776" s="44"/>
    </row>
    <row r="3777" spans="47:47" ht="12" customHeight="1">
      <c r="AU3777" s="44"/>
    </row>
    <row r="3778" spans="47:47" ht="12" customHeight="1">
      <c r="AU3778" s="44"/>
    </row>
    <row r="3779" spans="47:47" ht="12" customHeight="1">
      <c r="AU3779" s="44"/>
    </row>
    <row r="3780" spans="47:47" ht="12" customHeight="1">
      <c r="AU3780" s="44"/>
    </row>
    <row r="3781" spans="47:47" ht="12" customHeight="1">
      <c r="AU3781" s="44"/>
    </row>
    <row r="3782" spans="47:47" ht="12" customHeight="1">
      <c r="AU3782" s="44"/>
    </row>
    <row r="3783" spans="47:47" ht="12" customHeight="1">
      <c r="AU3783" s="44"/>
    </row>
    <row r="3784" spans="47:47" ht="12" customHeight="1">
      <c r="AU3784" s="44"/>
    </row>
    <row r="3785" spans="47:47" ht="12" customHeight="1">
      <c r="AU3785" s="44"/>
    </row>
    <row r="3786" spans="47:47" ht="12" customHeight="1">
      <c r="AU3786" s="44"/>
    </row>
    <row r="3787" spans="47:47" ht="12" customHeight="1">
      <c r="AU3787" s="44"/>
    </row>
    <row r="3788" spans="47:47" ht="12" customHeight="1">
      <c r="AU3788" s="44"/>
    </row>
    <row r="3789" spans="47:47" ht="12" customHeight="1">
      <c r="AU3789" s="44"/>
    </row>
    <row r="3790" spans="47:47" ht="12" customHeight="1">
      <c r="AU3790" s="44"/>
    </row>
    <row r="3791" spans="47:47" ht="12" customHeight="1">
      <c r="AU3791" s="44"/>
    </row>
    <row r="3792" spans="47:47" ht="12" customHeight="1">
      <c r="AU3792" s="44"/>
    </row>
    <row r="3793" spans="47:47" ht="12" customHeight="1">
      <c r="AU3793" s="44"/>
    </row>
    <row r="3794" spans="47:47" ht="12" customHeight="1">
      <c r="AU3794" s="44"/>
    </row>
    <row r="3795" spans="47:47" ht="12" customHeight="1">
      <c r="AU3795" s="44"/>
    </row>
    <row r="3796" spans="47:47" ht="12" customHeight="1">
      <c r="AU3796" s="44"/>
    </row>
    <row r="3797" spans="47:47" ht="12" customHeight="1">
      <c r="AU3797" s="44"/>
    </row>
    <row r="3798" spans="47:47" ht="12" customHeight="1">
      <c r="AU3798" s="44"/>
    </row>
    <row r="3799" spans="47:47" ht="12" customHeight="1">
      <c r="AU3799" s="44"/>
    </row>
    <row r="3800" spans="47:47" ht="12" customHeight="1">
      <c r="AU3800" s="44"/>
    </row>
    <row r="3801" spans="47:47" ht="12" customHeight="1">
      <c r="AU3801" s="44"/>
    </row>
    <row r="3802" spans="47:47" ht="12" customHeight="1">
      <c r="AU3802" s="44"/>
    </row>
    <row r="3803" spans="47:47" ht="12" customHeight="1">
      <c r="AU3803" s="44"/>
    </row>
    <row r="3804" spans="47:47" ht="12" customHeight="1">
      <c r="AU3804" s="44"/>
    </row>
    <row r="3805" spans="47:47" ht="12" customHeight="1">
      <c r="AU3805" s="44"/>
    </row>
    <row r="3806" spans="47:47" ht="12" customHeight="1">
      <c r="AU3806" s="44"/>
    </row>
    <row r="3807" spans="47:47" ht="12" customHeight="1">
      <c r="AU3807" s="44"/>
    </row>
    <row r="3808" spans="47:47" ht="12" customHeight="1">
      <c r="AU3808" s="44"/>
    </row>
    <row r="3809" spans="47:47" ht="12" customHeight="1">
      <c r="AU3809" s="44"/>
    </row>
    <row r="3810" spans="47:47" ht="12" customHeight="1">
      <c r="AU3810" s="44"/>
    </row>
    <row r="3811" spans="47:47" ht="12" customHeight="1">
      <c r="AU3811" s="44"/>
    </row>
    <row r="3812" spans="47:47" ht="12" customHeight="1">
      <c r="AU3812" s="44"/>
    </row>
    <row r="3813" spans="47:47" ht="12" customHeight="1">
      <c r="AU3813" s="44"/>
    </row>
    <row r="3814" spans="47:47" ht="12" customHeight="1">
      <c r="AU3814" s="44"/>
    </row>
    <row r="3815" spans="47:47" ht="12" customHeight="1">
      <c r="AU3815" s="44"/>
    </row>
    <row r="3816" spans="47:47" ht="12" customHeight="1">
      <c r="AU3816" s="44"/>
    </row>
    <row r="3817" spans="47:47" ht="12" customHeight="1">
      <c r="AU3817" s="44"/>
    </row>
    <row r="3818" spans="47:47" ht="12" customHeight="1">
      <c r="AU3818" s="44"/>
    </row>
    <row r="3819" spans="47:47" ht="12" customHeight="1">
      <c r="AU3819" s="44"/>
    </row>
    <row r="3820" spans="47:47" ht="12" customHeight="1">
      <c r="AU3820" s="44"/>
    </row>
    <row r="3821" spans="47:47" ht="12" customHeight="1">
      <c r="AU3821" s="44"/>
    </row>
    <row r="3822" spans="47:47" ht="12" customHeight="1">
      <c r="AU3822" s="44"/>
    </row>
    <row r="3823" spans="47:47" ht="12" customHeight="1">
      <c r="AU3823" s="44"/>
    </row>
    <row r="3824" spans="47:47" ht="12" customHeight="1">
      <c r="AU3824" s="44"/>
    </row>
    <row r="3825" spans="47:47" ht="12" customHeight="1">
      <c r="AU3825" s="44"/>
    </row>
    <row r="3826" spans="47:47" ht="12" customHeight="1">
      <c r="AU3826" s="44"/>
    </row>
    <row r="3827" spans="47:47" ht="12" customHeight="1">
      <c r="AU3827" s="44"/>
    </row>
    <row r="3828" spans="47:47" ht="12" customHeight="1">
      <c r="AU3828" s="44"/>
    </row>
    <row r="3829" spans="47:47" ht="12" customHeight="1">
      <c r="AU3829" s="44"/>
    </row>
    <row r="3830" spans="47:47" ht="12" customHeight="1">
      <c r="AU3830" s="44"/>
    </row>
    <row r="3831" spans="47:47" ht="12" customHeight="1">
      <c r="AU3831" s="44"/>
    </row>
    <row r="3832" spans="47:47" ht="12" customHeight="1">
      <c r="AU3832" s="44"/>
    </row>
    <row r="3833" spans="47:47" ht="12" customHeight="1">
      <c r="AU3833" s="44"/>
    </row>
    <row r="3834" spans="47:47" ht="12" customHeight="1">
      <c r="AU3834" s="44"/>
    </row>
    <row r="3835" spans="47:47" ht="12" customHeight="1">
      <c r="AU3835" s="44"/>
    </row>
    <row r="3836" spans="47:47" ht="12" customHeight="1">
      <c r="AU3836" s="44"/>
    </row>
    <row r="3837" spans="47:47" ht="12" customHeight="1">
      <c r="AU3837" s="44"/>
    </row>
    <row r="3838" spans="47:47" ht="12" customHeight="1">
      <c r="AU3838" s="44"/>
    </row>
    <row r="3839" spans="47:47" ht="12" customHeight="1">
      <c r="AU3839" s="44"/>
    </row>
    <row r="3840" spans="47:47" ht="12" customHeight="1">
      <c r="AU3840" s="44"/>
    </row>
    <row r="3841" spans="47:47" ht="12" customHeight="1">
      <c r="AU3841" s="44"/>
    </row>
    <row r="3842" spans="47:47" ht="12" customHeight="1">
      <c r="AU3842" s="44"/>
    </row>
    <row r="3843" spans="47:47" ht="12" customHeight="1">
      <c r="AU3843" s="44"/>
    </row>
    <row r="3844" spans="47:47" ht="12" customHeight="1">
      <c r="AU3844" s="44"/>
    </row>
    <row r="3845" spans="47:47" ht="12" customHeight="1">
      <c r="AU3845" s="44"/>
    </row>
    <row r="3846" spans="47:47" ht="12" customHeight="1">
      <c r="AU3846" s="44"/>
    </row>
    <row r="3847" spans="47:47" ht="12" customHeight="1">
      <c r="AU3847" s="44"/>
    </row>
    <row r="3848" spans="47:47" ht="12" customHeight="1">
      <c r="AU3848" s="44"/>
    </row>
    <row r="3849" spans="47:47" ht="12" customHeight="1">
      <c r="AU3849" s="44"/>
    </row>
    <row r="3850" spans="47:47" ht="12" customHeight="1">
      <c r="AU3850" s="44"/>
    </row>
    <row r="3851" spans="47:47" ht="12" customHeight="1">
      <c r="AU3851" s="44"/>
    </row>
    <row r="3852" spans="47:47" ht="12" customHeight="1">
      <c r="AU3852" s="44"/>
    </row>
    <row r="3853" spans="47:47" ht="12" customHeight="1">
      <c r="AU3853" s="44"/>
    </row>
    <row r="3854" spans="47:47" ht="12" customHeight="1">
      <c r="AU3854" s="44"/>
    </row>
    <row r="3855" spans="47:47" ht="12" customHeight="1">
      <c r="AU3855" s="44"/>
    </row>
    <row r="3856" spans="47:47" ht="12" customHeight="1">
      <c r="AU3856" s="44"/>
    </row>
    <row r="3857" spans="47:47" ht="12" customHeight="1">
      <c r="AU3857" s="44"/>
    </row>
    <row r="3858" spans="47:47" ht="12" customHeight="1">
      <c r="AU3858" s="44"/>
    </row>
    <row r="3859" spans="47:47" ht="12" customHeight="1">
      <c r="AU3859" s="44"/>
    </row>
    <row r="3860" spans="47:47" ht="12" customHeight="1">
      <c r="AU3860" s="44"/>
    </row>
    <row r="3861" spans="47:47" ht="12" customHeight="1">
      <c r="AU3861" s="44"/>
    </row>
    <row r="3862" spans="47:47" ht="12" customHeight="1">
      <c r="AU3862" s="44"/>
    </row>
    <row r="3863" spans="47:47" ht="12" customHeight="1">
      <c r="AU3863" s="44"/>
    </row>
    <row r="3864" spans="47:47" ht="12" customHeight="1">
      <c r="AU3864" s="44"/>
    </row>
    <row r="3865" spans="47:47" ht="12" customHeight="1">
      <c r="AU3865" s="44"/>
    </row>
    <row r="3866" spans="47:47" ht="12" customHeight="1">
      <c r="AU3866" s="44"/>
    </row>
    <row r="3867" spans="47:47" ht="12" customHeight="1">
      <c r="AU3867" s="44"/>
    </row>
    <row r="3868" spans="47:47" ht="12" customHeight="1">
      <c r="AU3868" s="44"/>
    </row>
    <row r="3869" spans="47:47" ht="12" customHeight="1">
      <c r="AU3869" s="44"/>
    </row>
    <row r="3870" spans="47:47" ht="12" customHeight="1">
      <c r="AU3870" s="44"/>
    </row>
    <row r="3871" spans="47:47" ht="12" customHeight="1">
      <c r="AU3871" s="44"/>
    </row>
    <row r="3872" spans="47:47" ht="12" customHeight="1">
      <c r="AU3872" s="44"/>
    </row>
    <row r="3873" spans="47:47" ht="12" customHeight="1">
      <c r="AU3873" s="44"/>
    </row>
    <row r="3874" spans="47:47" ht="12" customHeight="1">
      <c r="AU3874" s="44"/>
    </row>
    <row r="3875" spans="47:47" ht="12" customHeight="1">
      <c r="AU3875" s="44"/>
    </row>
    <row r="3876" spans="47:47" ht="12" customHeight="1">
      <c r="AU3876" s="44"/>
    </row>
    <row r="3877" spans="47:47" ht="12" customHeight="1">
      <c r="AU3877" s="44"/>
    </row>
    <row r="3878" spans="47:47" ht="12" customHeight="1">
      <c r="AU3878" s="44"/>
    </row>
    <row r="3879" spans="47:47" ht="12" customHeight="1">
      <c r="AU3879" s="44"/>
    </row>
    <row r="3880" spans="47:47" ht="12" customHeight="1">
      <c r="AU3880" s="44"/>
    </row>
    <row r="3881" spans="47:47" ht="12" customHeight="1">
      <c r="AU3881" s="44"/>
    </row>
    <row r="3882" spans="47:47" ht="12" customHeight="1">
      <c r="AU3882" s="44"/>
    </row>
    <row r="3883" spans="47:47" ht="12" customHeight="1">
      <c r="AU3883" s="44"/>
    </row>
    <row r="3884" spans="47:47" ht="12" customHeight="1">
      <c r="AU3884" s="44"/>
    </row>
    <row r="3885" spans="47:47" ht="12" customHeight="1">
      <c r="AU3885" s="44"/>
    </row>
    <row r="3886" spans="47:47" ht="12" customHeight="1">
      <c r="AU3886" s="44"/>
    </row>
    <row r="3887" spans="47:47" ht="12" customHeight="1">
      <c r="AU3887" s="44"/>
    </row>
    <row r="3888" spans="47:47" ht="12" customHeight="1">
      <c r="AU3888" s="44"/>
    </row>
    <row r="3889" spans="47:47" ht="12" customHeight="1">
      <c r="AU3889" s="44"/>
    </row>
    <row r="3890" spans="47:47" ht="12" customHeight="1">
      <c r="AU3890" s="44"/>
    </row>
    <row r="3891" spans="47:47" ht="12" customHeight="1">
      <c r="AU3891" s="44"/>
    </row>
    <row r="3892" spans="47:47" ht="12" customHeight="1">
      <c r="AU3892" s="44"/>
    </row>
    <row r="3893" spans="47:47" ht="12" customHeight="1">
      <c r="AU3893" s="44"/>
    </row>
    <row r="3894" spans="47:47" ht="12" customHeight="1">
      <c r="AU3894" s="44"/>
    </row>
    <row r="3895" spans="47:47" ht="12" customHeight="1">
      <c r="AU3895" s="44"/>
    </row>
    <row r="3896" spans="47:47" ht="12" customHeight="1">
      <c r="AU3896" s="44"/>
    </row>
    <row r="3897" spans="47:47" ht="12" customHeight="1">
      <c r="AU3897" s="44"/>
    </row>
    <row r="3898" spans="47:47" ht="12" customHeight="1">
      <c r="AU3898" s="44"/>
    </row>
    <row r="3899" spans="47:47" ht="12" customHeight="1">
      <c r="AU3899" s="44"/>
    </row>
    <row r="3900" spans="47:47" ht="12" customHeight="1">
      <c r="AU3900" s="44"/>
    </row>
    <row r="3901" spans="47:47" ht="12" customHeight="1">
      <c r="AU3901" s="44"/>
    </row>
    <row r="3902" spans="47:47" ht="12" customHeight="1">
      <c r="AU3902" s="44"/>
    </row>
    <row r="3903" spans="47:47" ht="12" customHeight="1">
      <c r="AU3903" s="44"/>
    </row>
    <row r="3904" spans="47:47" ht="12" customHeight="1">
      <c r="AU3904" s="44"/>
    </row>
    <row r="3905" spans="47:47" ht="12" customHeight="1">
      <c r="AU3905" s="44"/>
    </row>
    <row r="3906" spans="47:47" ht="12" customHeight="1">
      <c r="AU3906" s="44"/>
    </row>
    <row r="3907" spans="47:47" ht="12" customHeight="1">
      <c r="AU3907" s="44"/>
    </row>
    <row r="3908" spans="47:47" ht="12" customHeight="1">
      <c r="AU3908" s="44"/>
    </row>
    <row r="3909" spans="47:47" ht="12" customHeight="1">
      <c r="AU3909" s="44"/>
    </row>
    <row r="3910" spans="47:47" ht="12" customHeight="1">
      <c r="AU3910" s="44"/>
    </row>
    <row r="3911" spans="47:47" ht="12" customHeight="1">
      <c r="AU3911" s="44"/>
    </row>
    <row r="3912" spans="47:47" ht="12" customHeight="1">
      <c r="AU3912" s="44"/>
    </row>
    <row r="3913" spans="47:47" ht="12" customHeight="1">
      <c r="AU3913" s="44"/>
    </row>
    <row r="3914" spans="47:47" ht="12" customHeight="1">
      <c r="AU3914" s="44"/>
    </row>
    <row r="3915" spans="47:47" ht="12" customHeight="1">
      <c r="AU3915" s="44"/>
    </row>
    <row r="3916" spans="47:47" ht="12" customHeight="1">
      <c r="AU3916" s="44"/>
    </row>
    <row r="3917" spans="47:47" ht="12" customHeight="1">
      <c r="AU3917" s="44"/>
    </row>
    <row r="3918" spans="47:47" ht="12" customHeight="1">
      <c r="AU3918" s="44"/>
    </row>
    <row r="3919" spans="47:47" ht="12" customHeight="1">
      <c r="AU3919" s="44"/>
    </row>
    <row r="3920" spans="47:47" ht="12" customHeight="1">
      <c r="AU3920" s="44"/>
    </row>
    <row r="3921" spans="47:47" ht="12" customHeight="1">
      <c r="AU3921" s="44"/>
    </row>
    <row r="3922" spans="47:47" ht="12" customHeight="1">
      <c r="AU3922" s="44"/>
    </row>
    <row r="3923" spans="47:47" ht="12" customHeight="1">
      <c r="AU3923" s="44"/>
    </row>
    <row r="3924" spans="47:47" ht="12" customHeight="1">
      <c r="AU3924" s="44"/>
    </row>
    <row r="3925" spans="47:47" ht="12" customHeight="1">
      <c r="AU3925" s="44"/>
    </row>
    <row r="3926" spans="47:47" ht="12" customHeight="1">
      <c r="AU3926" s="44"/>
    </row>
    <row r="3927" spans="47:47" ht="12" customHeight="1">
      <c r="AU3927" s="44"/>
    </row>
    <row r="3928" spans="47:47" ht="12" customHeight="1">
      <c r="AU3928" s="44"/>
    </row>
    <row r="3929" spans="47:47" ht="12" customHeight="1">
      <c r="AU3929" s="44"/>
    </row>
    <row r="3930" spans="47:47" ht="12" customHeight="1">
      <c r="AU3930" s="44"/>
    </row>
    <row r="3931" spans="47:47" ht="12" customHeight="1">
      <c r="AU3931" s="44"/>
    </row>
    <row r="3932" spans="47:47" ht="12" customHeight="1">
      <c r="AU3932" s="44"/>
    </row>
    <row r="3933" spans="47:47" ht="12" customHeight="1">
      <c r="AU3933" s="44"/>
    </row>
    <row r="3934" spans="47:47" ht="12" customHeight="1">
      <c r="AU3934" s="44"/>
    </row>
    <row r="3935" spans="47:47" ht="12" customHeight="1">
      <c r="AU3935" s="44"/>
    </row>
    <row r="3936" spans="47:47" ht="12" customHeight="1">
      <c r="AU3936" s="44"/>
    </row>
    <row r="3937" spans="47:47" ht="12" customHeight="1">
      <c r="AU3937" s="44"/>
    </row>
    <row r="3938" spans="47:47" ht="12" customHeight="1">
      <c r="AU3938" s="44"/>
    </row>
    <row r="3939" spans="47:47" ht="12" customHeight="1">
      <c r="AU3939" s="44"/>
    </row>
    <row r="3940" spans="47:47" ht="12" customHeight="1">
      <c r="AU3940" s="44"/>
    </row>
    <row r="3941" spans="47:47" ht="12" customHeight="1">
      <c r="AU3941" s="44"/>
    </row>
    <row r="3942" spans="47:47" ht="12" customHeight="1">
      <c r="AU3942" s="44"/>
    </row>
    <row r="3943" spans="47:47" ht="12" customHeight="1">
      <c r="AU3943" s="44"/>
    </row>
    <row r="3944" spans="47:47" ht="12" customHeight="1">
      <c r="AU3944" s="44"/>
    </row>
    <row r="3945" spans="47:47" ht="12" customHeight="1">
      <c r="AU3945" s="44"/>
    </row>
    <row r="3946" spans="47:47" ht="12" customHeight="1">
      <c r="AU3946" s="44"/>
    </row>
    <row r="3947" spans="47:47" ht="12" customHeight="1">
      <c r="AU3947" s="44"/>
    </row>
    <row r="3948" spans="47:47" ht="12" customHeight="1">
      <c r="AU3948" s="44"/>
    </row>
    <row r="3949" spans="47:47" ht="12" customHeight="1">
      <c r="AU3949" s="44"/>
    </row>
    <row r="3950" spans="47:47" ht="12" customHeight="1">
      <c r="AU3950" s="44"/>
    </row>
    <row r="3951" spans="47:47" ht="12" customHeight="1">
      <c r="AU3951" s="44"/>
    </row>
    <row r="3952" spans="47:47" ht="12" customHeight="1">
      <c r="AU3952" s="44"/>
    </row>
    <row r="3953" spans="47:47" ht="12" customHeight="1">
      <c r="AU3953" s="44"/>
    </row>
    <row r="3954" spans="47:47" ht="12" customHeight="1">
      <c r="AU3954" s="44"/>
    </row>
    <row r="3955" spans="47:47" ht="12" customHeight="1">
      <c r="AU3955" s="44"/>
    </row>
    <row r="3956" spans="47:47" ht="12" customHeight="1">
      <c r="AU3956" s="44"/>
    </row>
    <row r="3957" spans="47:47" ht="12" customHeight="1">
      <c r="AU3957" s="44"/>
    </row>
    <row r="3958" spans="47:47" ht="12" customHeight="1">
      <c r="AU3958" s="44"/>
    </row>
    <row r="3959" spans="47:47" ht="12" customHeight="1">
      <c r="AU3959" s="44"/>
    </row>
    <row r="3960" spans="47:47" ht="12" customHeight="1">
      <c r="AU3960" s="44"/>
    </row>
    <row r="3961" spans="47:47" ht="12" customHeight="1">
      <c r="AU3961" s="44"/>
    </row>
    <row r="3962" spans="47:47" ht="12" customHeight="1">
      <c r="AU3962" s="44"/>
    </row>
    <row r="3963" spans="47:47" ht="12" customHeight="1">
      <c r="AU3963" s="44"/>
    </row>
    <row r="3964" spans="47:47" ht="12" customHeight="1">
      <c r="AU3964" s="44"/>
    </row>
    <row r="3965" spans="47:47" ht="12" customHeight="1">
      <c r="AU3965" s="44"/>
    </row>
    <row r="3966" spans="47:47" ht="12" customHeight="1">
      <c r="AU3966" s="44"/>
    </row>
    <row r="3967" spans="47:47" ht="12" customHeight="1">
      <c r="AU3967" s="44"/>
    </row>
    <row r="3968" spans="47:47" ht="12" customHeight="1">
      <c r="AU3968" s="44"/>
    </row>
    <row r="3969" spans="47:47" ht="12" customHeight="1">
      <c r="AU3969" s="44"/>
    </row>
    <row r="3970" spans="47:47" ht="12" customHeight="1">
      <c r="AU3970" s="44"/>
    </row>
    <row r="3971" spans="47:47" ht="12" customHeight="1">
      <c r="AU3971" s="44"/>
    </row>
    <row r="3972" spans="47:47" ht="12" customHeight="1">
      <c r="AU3972" s="44"/>
    </row>
    <row r="3973" spans="47:47" ht="12" customHeight="1">
      <c r="AU3973" s="44"/>
    </row>
    <row r="3974" spans="47:47" ht="12" customHeight="1">
      <c r="AU3974" s="44"/>
    </row>
    <row r="3975" spans="47:47" ht="12" customHeight="1">
      <c r="AU3975" s="44"/>
    </row>
    <row r="3976" spans="47:47" ht="12" customHeight="1">
      <c r="AU3976" s="44"/>
    </row>
    <row r="3977" spans="47:47" ht="12" customHeight="1">
      <c r="AU3977" s="44"/>
    </row>
    <row r="3978" spans="47:47" ht="12" customHeight="1">
      <c r="AU3978" s="44"/>
    </row>
    <row r="3979" spans="47:47" ht="12" customHeight="1">
      <c r="AU3979" s="44"/>
    </row>
    <row r="3980" spans="47:47" ht="12" customHeight="1">
      <c r="AU3980" s="44"/>
    </row>
    <row r="3981" spans="47:47" ht="12" customHeight="1">
      <c r="AU3981" s="44"/>
    </row>
    <row r="3982" spans="47:47" ht="12" customHeight="1">
      <c r="AU3982" s="44"/>
    </row>
    <row r="3983" spans="47:47" ht="12" customHeight="1">
      <c r="AU3983" s="44"/>
    </row>
    <row r="3984" spans="47:47" ht="12" customHeight="1">
      <c r="AU3984" s="44"/>
    </row>
    <row r="3985" spans="47:47" ht="12" customHeight="1">
      <c r="AU3985" s="44"/>
    </row>
    <row r="3986" spans="47:47" ht="12" customHeight="1">
      <c r="AU3986" s="44"/>
    </row>
    <row r="3987" spans="47:47" ht="12" customHeight="1">
      <c r="AU3987" s="44"/>
    </row>
    <row r="3988" spans="47:47" ht="12" customHeight="1">
      <c r="AU3988" s="44"/>
    </row>
    <row r="3989" spans="47:47" ht="12" customHeight="1">
      <c r="AU3989" s="44"/>
    </row>
    <row r="3990" spans="47:47" ht="12" customHeight="1">
      <c r="AU3990" s="44"/>
    </row>
    <row r="3991" spans="47:47" ht="12" customHeight="1">
      <c r="AU3991" s="44"/>
    </row>
    <row r="3992" spans="47:47" ht="12" customHeight="1">
      <c r="AU3992" s="44"/>
    </row>
    <row r="3993" spans="47:47" ht="12" customHeight="1">
      <c r="AU3993" s="44"/>
    </row>
    <row r="3994" spans="47:47" ht="12" customHeight="1">
      <c r="AU3994" s="44"/>
    </row>
    <row r="3995" spans="47:47" ht="12" customHeight="1">
      <c r="AU3995" s="44"/>
    </row>
    <row r="3996" spans="47:47" ht="12" customHeight="1">
      <c r="AU3996" s="44"/>
    </row>
    <row r="3997" spans="47:47" ht="12" customHeight="1">
      <c r="AU3997" s="44"/>
    </row>
    <row r="3998" spans="47:47" ht="12" customHeight="1">
      <c r="AU3998" s="44"/>
    </row>
    <row r="3999" spans="47:47" ht="12" customHeight="1">
      <c r="AU3999" s="44"/>
    </row>
    <row r="4000" spans="47:47" ht="12" customHeight="1">
      <c r="AU4000" s="44"/>
    </row>
    <row r="4001" spans="47:47" ht="12" customHeight="1">
      <c r="AU4001" s="44"/>
    </row>
    <row r="4002" spans="47:47" ht="12" customHeight="1">
      <c r="AU4002" s="44"/>
    </row>
    <row r="4003" spans="47:47" ht="12" customHeight="1">
      <c r="AU4003" s="44"/>
    </row>
    <row r="4004" spans="47:47" ht="12" customHeight="1">
      <c r="AU4004" s="44"/>
    </row>
    <row r="4005" spans="47:47" ht="12" customHeight="1">
      <c r="AU4005" s="44"/>
    </row>
    <row r="4006" spans="47:47" ht="12" customHeight="1">
      <c r="AU4006" s="44"/>
    </row>
    <row r="4007" spans="47:47" ht="12" customHeight="1">
      <c r="AU4007" s="44"/>
    </row>
    <row r="4008" spans="47:47" ht="12" customHeight="1">
      <c r="AU4008" s="44"/>
    </row>
    <row r="4009" spans="47:47" ht="12" customHeight="1">
      <c r="AU4009" s="44"/>
    </row>
    <row r="4010" spans="47:47" ht="12" customHeight="1">
      <c r="AU4010" s="44"/>
    </row>
    <row r="4011" spans="47:47" ht="12" customHeight="1">
      <c r="AU4011" s="44"/>
    </row>
    <row r="4012" spans="47:47" ht="12" customHeight="1">
      <c r="AU4012" s="44"/>
    </row>
    <row r="4013" spans="47:47" ht="12" customHeight="1">
      <c r="AU4013" s="44"/>
    </row>
    <row r="4014" spans="47:47" ht="12" customHeight="1">
      <c r="AU4014" s="44"/>
    </row>
    <row r="4015" spans="47:47" ht="12" customHeight="1">
      <c r="AU4015" s="44"/>
    </row>
    <row r="4016" spans="47:47" ht="12" customHeight="1">
      <c r="AU4016" s="44"/>
    </row>
    <row r="4017" spans="47:47" ht="12" customHeight="1">
      <c r="AU4017" s="44"/>
    </row>
    <row r="4018" spans="47:47" ht="12" customHeight="1">
      <c r="AU4018" s="44"/>
    </row>
    <row r="4019" spans="47:47" ht="12" customHeight="1">
      <c r="AU4019" s="44"/>
    </row>
    <row r="4020" spans="47:47" ht="12" customHeight="1">
      <c r="AU4020" s="44"/>
    </row>
    <row r="4021" spans="47:47" ht="12" customHeight="1">
      <c r="AU4021" s="44"/>
    </row>
    <row r="4022" spans="47:47" ht="12" customHeight="1">
      <c r="AU4022" s="44"/>
    </row>
    <row r="4023" spans="47:47" ht="12" customHeight="1">
      <c r="AU4023" s="44"/>
    </row>
    <row r="4024" spans="47:47" ht="12" customHeight="1">
      <c r="AU4024" s="44"/>
    </row>
    <row r="4025" spans="47:47" ht="12" customHeight="1">
      <c r="AU4025" s="44"/>
    </row>
    <row r="4026" spans="47:47" ht="12" customHeight="1">
      <c r="AU4026" s="44"/>
    </row>
    <row r="4027" spans="47:47" ht="12" customHeight="1">
      <c r="AU4027" s="44"/>
    </row>
    <row r="4028" spans="47:47" ht="12" customHeight="1">
      <c r="AU4028" s="44"/>
    </row>
    <row r="4029" spans="47:47" ht="12" customHeight="1">
      <c r="AU4029" s="44"/>
    </row>
    <row r="4030" spans="47:47" ht="12" customHeight="1">
      <c r="AU4030" s="44"/>
    </row>
    <row r="4031" spans="47:47" ht="12" customHeight="1">
      <c r="AU4031" s="44"/>
    </row>
    <row r="4032" spans="47:47" ht="12" customHeight="1">
      <c r="AU4032" s="44"/>
    </row>
    <row r="4033" spans="47:47" ht="12" customHeight="1">
      <c r="AU4033" s="44"/>
    </row>
    <row r="4034" spans="47:47" ht="12" customHeight="1">
      <c r="AU4034" s="44"/>
    </row>
    <row r="4035" spans="47:47" ht="12" customHeight="1">
      <c r="AU4035" s="44"/>
    </row>
    <row r="4036" spans="47:47" ht="12" customHeight="1">
      <c r="AU4036" s="44"/>
    </row>
    <row r="4037" spans="47:47" ht="12" customHeight="1">
      <c r="AU4037" s="44"/>
    </row>
    <row r="4038" spans="47:47" ht="12" customHeight="1">
      <c r="AU4038" s="44"/>
    </row>
    <row r="4039" spans="47:47" ht="12" customHeight="1">
      <c r="AU4039" s="44"/>
    </row>
    <row r="4040" spans="47:47" ht="12" customHeight="1">
      <c r="AU4040" s="44"/>
    </row>
    <row r="4041" spans="47:47" ht="12" customHeight="1">
      <c r="AU4041" s="44"/>
    </row>
    <row r="4042" spans="47:47" ht="12" customHeight="1">
      <c r="AU4042" s="44"/>
    </row>
    <row r="4043" spans="47:47" ht="12" customHeight="1">
      <c r="AU4043" s="44"/>
    </row>
    <row r="4044" spans="47:47" ht="12" customHeight="1">
      <c r="AU4044" s="44"/>
    </row>
    <row r="4045" spans="47:47" ht="12" customHeight="1">
      <c r="AU4045" s="44"/>
    </row>
    <row r="4046" spans="47:47" ht="12" customHeight="1">
      <c r="AU4046" s="44"/>
    </row>
    <row r="4047" spans="47:47" ht="12" customHeight="1">
      <c r="AU4047" s="44"/>
    </row>
    <row r="4048" spans="47:47" ht="12" customHeight="1">
      <c r="AU4048" s="44"/>
    </row>
    <row r="4049" spans="47:47" ht="12" customHeight="1">
      <c r="AU4049" s="44"/>
    </row>
    <row r="4050" spans="47:47" ht="12" customHeight="1">
      <c r="AU4050" s="44"/>
    </row>
    <row r="4051" spans="47:47" ht="12" customHeight="1">
      <c r="AU4051" s="44"/>
    </row>
    <row r="4052" spans="47:47" ht="12" customHeight="1">
      <c r="AU4052" s="44"/>
    </row>
    <row r="4053" spans="47:47" ht="12" customHeight="1">
      <c r="AU4053" s="44"/>
    </row>
    <row r="4054" spans="47:47" ht="12" customHeight="1">
      <c r="AU4054" s="44"/>
    </row>
    <row r="4055" spans="47:47" ht="12" customHeight="1">
      <c r="AU4055" s="44"/>
    </row>
    <row r="4056" spans="47:47" ht="12" customHeight="1">
      <c r="AU4056" s="44"/>
    </row>
    <row r="4057" spans="47:47" ht="12" customHeight="1">
      <c r="AU4057" s="44"/>
    </row>
    <row r="4058" spans="47:47" ht="12" customHeight="1">
      <c r="AU4058" s="44"/>
    </row>
    <row r="4059" spans="47:47" ht="12" customHeight="1">
      <c r="AU4059" s="44"/>
    </row>
    <row r="4060" spans="47:47" ht="12" customHeight="1">
      <c r="AU4060" s="44"/>
    </row>
    <row r="4061" spans="47:47" ht="12" customHeight="1">
      <c r="AU4061" s="44"/>
    </row>
    <row r="4062" spans="47:47" ht="12" customHeight="1">
      <c r="AU4062" s="44"/>
    </row>
    <row r="4063" spans="47:47" ht="12" customHeight="1">
      <c r="AU4063" s="44"/>
    </row>
    <row r="4064" spans="47:47" ht="12" customHeight="1">
      <c r="AU4064" s="44"/>
    </row>
    <row r="4065" spans="47:47" ht="12" customHeight="1">
      <c r="AU4065" s="44"/>
    </row>
    <row r="4066" spans="47:47" ht="12" customHeight="1">
      <c r="AU4066" s="44"/>
    </row>
    <row r="4067" spans="47:47" ht="12" customHeight="1">
      <c r="AU4067" s="44"/>
    </row>
    <row r="4068" spans="47:47" ht="12" customHeight="1">
      <c r="AU4068" s="44"/>
    </row>
    <row r="4069" spans="47:47" ht="12" customHeight="1">
      <c r="AU4069" s="44"/>
    </row>
    <row r="4070" spans="47:47" ht="12" customHeight="1">
      <c r="AU4070" s="44"/>
    </row>
    <row r="4071" spans="47:47" ht="12" customHeight="1">
      <c r="AU4071" s="44"/>
    </row>
    <row r="4072" spans="47:47" ht="12" customHeight="1">
      <c r="AU4072" s="44"/>
    </row>
    <row r="4073" spans="47:47" ht="12" customHeight="1">
      <c r="AU4073" s="44"/>
    </row>
    <row r="4074" spans="47:47" ht="12" customHeight="1">
      <c r="AU4074" s="44"/>
    </row>
    <row r="4075" spans="47:47" ht="12" customHeight="1">
      <c r="AU4075" s="44"/>
    </row>
    <row r="4076" spans="47:47" ht="12" customHeight="1">
      <c r="AU4076" s="44"/>
    </row>
    <row r="4077" spans="47:47" ht="12" customHeight="1">
      <c r="AU4077" s="44"/>
    </row>
    <row r="4078" spans="47:47" ht="12" customHeight="1">
      <c r="AU4078" s="44"/>
    </row>
    <row r="4079" spans="47:47" ht="12" customHeight="1">
      <c r="AU4079" s="44"/>
    </row>
    <row r="4080" spans="47:47" ht="12" customHeight="1">
      <c r="AU4080" s="44"/>
    </row>
    <row r="4081" spans="47:47" ht="12" customHeight="1">
      <c r="AU4081" s="44"/>
    </row>
    <row r="4082" spans="47:47" ht="12" customHeight="1">
      <c r="AU4082" s="44"/>
    </row>
    <row r="4083" spans="47:47" ht="12" customHeight="1">
      <c r="AU4083" s="44"/>
    </row>
    <row r="4084" spans="47:47" ht="12" customHeight="1">
      <c r="AU4084" s="44"/>
    </row>
    <row r="4085" spans="47:47" ht="12" customHeight="1">
      <c r="AU4085" s="44"/>
    </row>
    <row r="4086" spans="47:47" ht="12" customHeight="1">
      <c r="AU4086" s="44"/>
    </row>
    <row r="4087" spans="47:47" ht="12" customHeight="1">
      <c r="AU4087" s="44"/>
    </row>
    <row r="4088" spans="47:47" ht="12" customHeight="1">
      <c r="AU4088" s="44"/>
    </row>
    <row r="4089" spans="47:47" ht="12" customHeight="1">
      <c r="AU4089" s="44"/>
    </row>
    <row r="4090" spans="47:47" ht="12" customHeight="1">
      <c r="AU4090" s="44"/>
    </row>
    <row r="4091" spans="47:47" ht="12" customHeight="1">
      <c r="AU4091" s="44"/>
    </row>
    <row r="4092" spans="47:47" ht="12" customHeight="1">
      <c r="AU4092" s="44"/>
    </row>
    <row r="4093" spans="47:47" ht="12" customHeight="1">
      <c r="AU4093" s="44"/>
    </row>
    <row r="4094" spans="47:47" ht="12" customHeight="1">
      <c r="AU4094" s="44"/>
    </row>
    <row r="4095" spans="47:47" ht="12" customHeight="1">
      <c r="AU4095" s="44"/>
    </row>
    <row r="4096" spans="47:47" ht="12" customHeight="1">
      <c r="AU4096" s="44"/>
    </row>
    <row r="4097" spans="47:47" ht="12" customHeight="1">
      <c r="AU4097" s="44"/>
    </row>
    <row r="4098" spans="47:47" ht="12" customHeight="1">
      <c r="AU4098" s="44"/>
    </row>
    <row r="4099" spans="47:47" ht="12" customHeight="1">
      <c r="AU4099" s="44"/>
    </row>
    <row r="4100" spans="47:47" ht="12" customHeight="1">
      <c r="AU4100" s="44"/>
    </row>
    <row r="4101" spans="47:47" ht="12" customHeight="1">
      <c r="AU4101" s="44"/>
    </row>
    <row r="4102" spans="47:47" ht="12" customHeight="1">
      <c r="AU4102" s="44"/>
    </row>
    <row r="4103" spans="47:47" ht="12" customHeight="1">
      <c r="AU4103" s="44"/>
    </row>
    <row r="4104" spans="47:47" ht="12" customHeight="1">
      <c r="AU4104" s="44"/>
    </row>
    <row r="4105" spans="47:47" ht="12" customHeight="1">
      <c r="AU4105" s="44"/>
    </row>
    <row r="4106" spans="47:47" ht="12" customHeight="1">
      <c r="AU4106" s="44"/>
    </row>
    <row r="4107" spans="47:47" ht="12" customHeight="1">
      <c r="AU4107" s="44"/>
    </row>
    <row r="4108" spans="47:47" ht="12" customHeight="1">
      <c r="AU4108" s="44"/>
    </row>
    <row r="4109" spans="47:47" ht="12" customHeight="1">
      <c r="AU4109" s="44"/>
    </row>
    <row r="4110" spans="47:47" ht="12" customHeight="1">
      <c r="AU4110" s="44"/>
    </row>
    <row r="4111" spans="47:47" ht="12" customHeight="1">
      <c r="AU4111" s="44"/>
    </row>
    <row r="4112" spans="47:47" ht="12" customHeight="1">
      <c r="AU4112" s="44"/>
    </row>
    <row r="4113" spans="47:47" ht="12" customHeight="1">
      <c r="AU4113" s="44"/>
    </row>
    <row r="4114" spans="47:47" ht="12" customHeight="1">
      <c r="AU4114" s="44"/>
    </row>
    <row r="4115" spans="47:47" ht="12" customHeight="1">
      <c r="AU4115" s="44"/>
    </row>
    <row r="4116" spans="47:47" ht="12" customHeight="1">
      <c r="AU4116" s="44"/>
    </row>
    <row r="4117" spans="47:47" ht="12" customHeight="1">
      <c r="AU4117" s="44"/>
    </row>
    <row r="4118" spans="47:47" ht="12" customHeight="1">
      <c r="AU4118" s="44"/>
    </row>
    <row r="4119" spans="47:47" ht="12" customHeight="1">
      <c r="AU4119" s="44"/>
    </row>
    <row r="4120" spans="47:47" ht="12" customHeight="1">
      <c r="AU4120" s="44"/>
    </row>
    <row r="4121" spans="47:47" ht="12" customHeight="1">
      <c r="AU4121" s="44"/>
    </row>
    <row r="4122" spans="47:47" ht="12" customHeight="1">
      <c r="AU4122" s="44"/>
    </row>
    <row r="4123" spans="47:47" ht="12" customHeight="1">
      <c r="AU4123" s="44"/>
    </row>
    <row r="4124" spans="47:47" ht="12" customHeight="1">
      <c r="AU4124" s="44"/>
    </row>
    <row r="4125" spans="47:47" ht="12" customHeight="1">
      <c r="AU4125" s="44"/>
    </row>
    <row r="4126" spans="47:47" ht="12" customHeight="1">
      <c r="AU4126" s="44"/>
    </row>
    <row r="4127" spans="47:47" ht="12" customHeight="1">
      <c r="AU4127" s="44"/>
    </row>
    <row r="4128" spans="47:47" ht="12" customHeight="1">
      <c r="AU4128" s="44"/>
    </row>
    <row r="4129" spans="47:47" ht="12" customHeight="1">
      <c r="AU4129" s="44"/>
    </row>
    <row r="4130" spans="47:47" ht="12" customHeight="1">
      <c r="AU4130" s="44"/>
    </row>
    <row r="4131" spans="47:47" ht="12" customHeight="1">
      <c r="AU4131" s="44"/>
    </row>
    <row r="4132" spans="47:47" ht="12" customHeight="1">
      <c r="AU4132" s="44"/>
    </row>
    <row r="4133" spans="47:47" ht="12" customHeight="1">
      <c r="AU4133" s="44"/>
    </row>
    <row r="4134" spans="47:47" ht="12" customHeight="1">
      <c r="AU4134" s="44"/>
    </row>
    <row r="4135" spans="47:47" ht="12" customHeight="1">
      <c r="AU4135" s="44"/>
    </row>
    <row r="4136" spans="47:47" ht="12" customHeight="1">
      <c r="AU4136" s="44"/>
    </row>
    <row r="4137" spans="47:47" ht="12" customHeight="1">
      <c r="AU4137" s="44"/>
    </row>
    <row r="4138" spans="47:47" ht="12" customHeight="1">
      <c r="AU4138" s="44"/>
    </row>
    <row r="4139" spans="47:47" ht="12" customHeight="1">
      <c r="AU4139" s="44"/>
    </row>
    <row r="4140" spans="47:47" ht="12" customHeight="1">
      <c r="AU4140" s="44"/>
    </row>
    <row r="4141" spans="47:47" ht="12" customHeight="1">
      <c r="AU4141" s="44"/>
    </row>
    <row r="4142" spans="47:47" ht="12" customHeight="1">
      <c r="AU4142" s="44"/>
    </row>
    <row r="4143" spans="47:47" ht="12" customHeight="1">
      <c r="AU4143" s="44"/>
    </row>
    <row r="4144" spans="47:47" ht="12" customHeight="1">
      <c r="AU4144" s="44"/>
    </row>
    <row r="4145" spans="47:47" ht="12" customHeight="1">
      <c r="AU4145" s="44"/>
    </row>
    <row r="4146" spans="47:47" ht="12" customHeight="1">
      <c r="AU4146" s="44"/>
    </row>
    <row r="4147" spans="47:47" ht="12" customHeight="1">
      <c r="AU4147" s="44"/>
    </row>
    <row r="4148" spans="47:47" ht="12" customHeight="1">
      <c r="AU4148" s="44"/>
    </row>
    <row r="4149" spans="47:47" ht="12" customHeight="1">
      <c r="AU4149" s="44"/>
    </row>
    <row r="4150" spans="47:47" ht="12" customHeight="1">
      <c r="AU4150" s="44"/>
    </row>
    <row r="4151" spans="47:47" ht="12" customHeight="1">
      <c r="AU4151" s="44"/>
    </row>
    <row r="4152" spans="47:47" ht="12" customHeight="1">
      <c r="AU4152" s="44"/>
    </row>
    <row r="4153" spans="47:47" ht="12" customHeight="1">
      <c r="AU4153" s="44"/>
    </row>
    <row r="4154" spans="47:47" ht="12" customHeight="1">
      <c r="AU4154" s="44"/>
    </row>
    <row r="4155" spans="47:47" ht="12" customHeight="1">
      <c r="AU4155" s="44"/>
    </row>
    <row r="4156" spans="47:47" ht="12" customHeight="1">
      <c r="AU4156" s="44"/>
    </row>
    <row r="4157" spans="47:47" ht="12" customHeight="1">
      <c r="AU4157" s="44"/>
    </row>
    <row r="4158" spans="47:47" ht="12" customHeight="1">
      <c r="AU4158" s="44"/>
    </row>
    <row r="4159" spans="47:47" ht="12" customHeight="1">
      <c r="AU4159" s="44"/>
    </row>
    <row r="4160" spans="47:47" ht="12" customHeight="1">
      <c r="AU4160" s="44"/>
    </row>
    <row r="4161" spans="47:47" ht="12" customHeight="1">
      <c r="AU4161" s="44"/>
    </row>
    <row r="4162" spans="47:47" ht="12" customHeight="1">
      <c r="AU4162" s="44"/>
    </row>
    <row r="4163" spans="47:47" ht="12" customHeight="1">
      <c r="AU4163" s="44"/>
    </row>
    <row r="4164" spans="47:47" ht="12" customHeight="1">
      <c r="AU4164" s="44"/>
    </row>
    <row r="4165" spans="47:47" ht="12" customHeight="1">
      <c r="AU4165" s="44"/>
    </row>
    <row r="4166" spans="47:47" ht="12" customHeight="1">
      <c r="AU4166" s="44"/>
    </row>
    <row r="4167" spans="47:47" ht="12" customHeight="1">
      <c r="AU4167" s="44"/>
    </row>
    <row r="4168" spans="47:47" ht="12" customHeight="1">
      <c r="AU4168" s="44"/>
    </row>
    <row r="4169" spans="47:47" ht="12" customHeight="1">
      <c r="AU4169" s="44"/>
    </row>
    <row r="4170" spans="47:47" ht="12" customHeight="1">
      <c r="AU4170" s="44"/>
    </row>
    <row r="4171" spans="47:47" ht="12" customHeight="1">
      <c r="AU4171" s="44"/>
    </row>
    <row r="4172" spans="47:47" ht="12" customHeight="1">
      <c r="AU4172" s="44"/>
    </row>
    <row r="4173" spans="47:47" ht="12" customHeight="1">
      <c r="AU4173" s="44"/>
    </row>
    <row r="4174" spans="47:47" ht="12" customHeight="1">
      <c r="AU4174" s="44"/>
    </row>
    <row r="4175" spans="47:47" ht="12" customHeight="1">
      <c r="AU4175" s="44"/>
    </row>
    <row r="4176" spans="47:47" ht="12" customHeight="1">
      <c r="AU4176" s="44"/>
    </row>
    <row r="4177" spans="47:47" ht="12" customHeight="1">
      <c r="AU4177" s="44"/>
    </row>
    <row r="4178" spans="47:47" ht="12" customHeight="1">
      <c r="AU4178" s="44"/>
    </row>
    <row r="4179" spans="47:47" ht="12" customHeight="1">
      <c r="AU4179" s="44"/>
    </row>
    <row r="4180" spans="47:47" ht="12" customHeight="1">
      <c r="AU4180" s="44"/>
    </row>
    <row r="4181" spans="47:47" ht="12" customHeight="1">
      <c r="AU4181" s="44"/>
    </row>
    <row r="4182" spans="47:47" ht="12" customHeight="1">
      <c r="AU4182" s="44"/>
    </row>
    <row r="4183" spans="47:47" ht="12" customHeight="1">
      <c r="AU4183" s="44"/>
    </row>
    <row r="4184" spans="47:47" ht="12" customHeight="1">
      <c r="AU4184" s="44"/>
    </row>
    <row r="4185" spans="47:47" ht="12" customHeight="1">
      <c r="AU4185" s="44"/>
    </row>
    <row r="4186" spans="47:47" ht="12" customHeight="1">
      <c r="AU4186" s="44"/>
    </row>
    <row r="4187" spans="47:47" ht="12" customHeight="1">
      <c r="AU4187" s="44"/>
    </row>
    <row r="4188" spans="47:47" ht="12" customHeight="1">
      <c r="AU4188" s="44"/>
    </row>
    <row r="4189" spans="47:47" ht="12" customHeight="1">
      <c r="AU4189" s="44"/>
    </row>
    <row r="4190" spans="47:47" ht="12" customHeight="1">
      <c r="AU4190" s="44"/>
    </row>
    <row r="4191" spans="47:47" ht="12" customHeight="1">
      <c r="AU4191" s="44"/>
    </row>
    <row r="4192" spans="47:47" ht="12" customHeight="1">
      <c r="AU4192" s="44"/>
    </row>
    <row r="4193" spans="47:47" ht="12" customHeight="1">
      <c r="AU4193" s="44"/>
    </row>
    <row r="4194" spans="47:47" ht="12" customHeight="1">
      <c r="AU4194" s="44"/>
    </row>
    <row r="4195" spans="47:47" ht="12" customHeight="1">
      <c r="AU4195" s="44"/>
    </row>
    <row r="4196" spans="47:47" ht="12" customHeight="1">
      <c r="AU4196" s="44"/>
    </row>
    <row r="4197" spans="47:47" ht="12" customHeight="1">
      <c r="AU4197" s="44"/>
    </row>
    <row r="4198" spans="47:47" ht="12" customHeight="1">
      <c r="AU4198" s="44"/>
    </row>
    <row r="4199" spans="47:47" ht="12" customHeight="1">
      <c r="AU4199" s="44"/>
    </row>
    <row r="4200" spans="47:47" ht="12" customHeight="1">
      <c r="AU4200" s="44"/>
    </row>
    <row r="4201" spans="47:47" ht="12" customHeight="1">
      <c r="AU4201" s="44"/>
    </row>
    <row r="4202" spans="47:47" ht="12" customHeight="1">
      <c r="AU4202" s="44"/>
    </row>
    <row r="4203" spans="47:47" ht="12" customHeight="1">
      <c r="AU4203" s="44"/>
    </row>
    <row r="4204" spans="47:47" ht="12" customHeight="1">
      <c r="AU4204" s="44"/>
    </row>
    <row r="4205" spans="47:47" ht="12" customHeight="1">
      <c r="AU4205" s="44"/>
    </row>
    <row r="4206" spans="47:47" ht="12" customHeight="1">
      <c r="AU4206" s="44"/>
    </row>
    <row r="4207" spans="47:47" ht="12" customHeight="1">
      <c r="AU4207" s="44"/>
    </row>
    <row r="4208" spans="47:47" ht="12" customHeight="1">
      <c r="AU4208" s="44"/>
    </row>
    <row r="4209" spans="47:47" ht="12" customHeight="1">
      <c r="AU4209" s="44"/>
    </row>
    <row r="4210" spans="47:47" ht="12" customHeight="1">
      <c r="AU4210" s="44"/>
    </row>
    <row r="4211" spans="47:47" ht="12" customHeight="1">
      <c r="AU4211" s="44"/>
    </row>
    <row r="4212" spans="47:47" ht="12" customHeight="1">
      <c r="AU4212" s="44"/>
    </row>
    <row r="4213" spans="47:47" ht="12" customHeight="1">
      <c r="AU4213" s="44"/>
    </row>
    <row r="4214" spans="47:47" ht="12" customHeight="1">
      <c r="AU4214" s="44"/>
    </row>
    <row r="4215" spans="47:47" ht="12" customHeight="1">
      <c r="AU4215" s="44"/>
    </row>
    <row r="4216" spans="47:47" ht="12" customHeight="1">
      <c r="AU4216" s="44"/>
    </row>
    <row r="4217" spans="47:47" ht="12" customHeight="1">
      <c r="AU4217" s="44"/>
    </row>
    <row r="4218" spans="47:47" ht="12" customHeight="1">
      <c r="AU4218" s="44"/>
    </row>
    <row r="4219" spans="47:47" ht="12" customHeight="1">
      <c r="AU4219" s="44"/>
    </row>
    <row r="4220" spans="47:47" ht="12" customHeight="1">
      <c r="AU4220" s="44"/>
    </row>
    <row r="4221" spans="47:47" ht="12" customHeight="1">
      <c r="AU4221" s="44"/>
    </row>
    <row r="4222" spans="47:47" ht="12" customHeight="1">
      <c r="AU4222" s="44"/>
    </row>
    <row r="4223" spans="47:47" ht="12" customHeight="1">
      <c r="AU4223" s="44"/>
    </row>
    <row r="4224" spans="47:47" ht="12" customHeight="1">
      <c r="AU4224" s="44"/>
    </row>
    <row r="4225" spans="47:47" ht="12" customHeight="1">
      <c r="AU4225" s="44"/>
    </row>
    <row r="4226" spans="47:47" ht="12" customHeight="1">
      <c r="AU4226" s="44"/>
    </row>
    <row r="4227" spans="47:47" ht="12" customHeight="1">
      <c r="AU4227" s="44"/>
    </row>
    <row r="4228" spans="47:47" ht="12" customHeight="1">
      <c r="AU4228" s="44"/>
    </row>
    <row r="4229" spans="47:47" ht="12" customHeight="1">
      <c r="AU4229" s="44"/>
    </row>
    <row r="4230" spans="47:47" ht="12" customHeight="1">
      <c r="AU4230" s="44"/>
    </row>
    <row r="4231" spans="47:47" ht="12" customHeight="1">
      <c r="AU4231" s="44"/>
    </row>
    <row r="4232" spans="47:47" ht="12" customHeight="1">
      <c r="AU4232" s="44"/>
    </row>
    <row r="4233" spans="47:47" ht="12" customHeight="1">
      <c r="AU4233" s="44"/>
    </row>
    <row r="4234" spans="47:47" ht="12" customHeight="1">
      <c r="AU4234" s="44"/>
    </row>
    <row r="4235" spans="47:47" ht="12" customHeight="1">
      <c r="AU4235" s="44"/>
    </row>
    <row r="4236" spans="47:47" ht="12" customHeight="1">
      <c r="AU4236" s="44"/>
    </row>
    <row r="4237" spans="47:47" ht="12" customHeight="1">
      <c r="AU4237" s="44"/>
    </row>
    <row r="4238" spans="47:47" ht="12" customHeight="1">
      <c r="AU4238" s="44"/>
    </row>
    <row r="4239" spans="47:47" ht="12" customHeight="1">
      <c r="AU4239" s="44"/>
    </row>
    <row r="4240" spans="47:47" ht="12" customHeight="1">
      <c r="AU4240" s="44"/>
    </row>
    <row r="4241" spans="47:47" ht="12" customHeight="1">
      <c r="AU4241" s="44"/>
    </row>
    <row r="4242" spans="47:47" ht="12" customHeight="1">
      <c r="AU4242" s="44"/>
    </row>
    <row r="4243" spans="47:47" ht="12" customHeight="1">
      <c r="AU4243" s="44"/>
    </row>
    <row r="4244" spans="47:47" ht="12" customHeight="1">
      <c r="AU4244" s="44"/>
    </row>
    <row r="4245" spans="47:47" ht="12" customHeight="1">
      <c r="AU4245" s="44"/>
    </row>
    <row r="4246" spans="47:47" ht="12" customHeight="1">
      <c r="AU4246" s="44"/>
    </row>
    <row r="4247" spans="47:47" ht="12" customHeight="1">
      <c r="AU4247" s="44"/>
    </row>
    <row r="4248" spans="47:47" ht="12" customHeight="1">
      <c r="AU4248" s="44"/>
    </row>
    <row r="4249" spans="47:47" ht="12" customHeight="1">
      <c r="AU4249" s="44"/>
    </row>
    <row r="4250" spans="47:47" ht="12" customHeight="1">
      <c r="AU4250" s="44"/>
    </row>
    <row r="4251" spans="47:47" ht="12" customHeight="1">
      <c r="AU4251" s="44"/>
    </row>
    <row r="4252" spans="47:47" ht="12" customHeight="1">
      <c r="AU4252" s="44"/>
    </row>
    <row r="4253" spans="47:47" ht="12" customHeight="1">
      <c r="AU4253" s="44"/>
    </row>
    <row r="4254" spans="47:47" ht="12" customHeight="1">
      <c r="AU4254" s="44"/>
    </row>
    <row r="4255" spans="47:47" ht="12" customHeight="1">
      <c r="AU4255" s="44"/>
    </row>
    <row r="4256" spans="47:47" ht="12" customHeight="1">
      <c r="AU4256" s="44"/>
    </row>
    <row r="4257" spans="47:47" ht="12" customHeight="1">
      <c r="AU4257" s="44"/>
    </row>
    <row r="4258" spans="47:47" ht="12" customHeight="1">
      <c r="AU4258" s="44"/>
    </row>
    <row r="4259" spans="47:47" ht="12" customHeight="1">
      <c r="AU4259" s="44"/>
    </row>
    <row r="4260" spans="47:47" ht="12" customHeight="1">
      <c r="AU4260" s="44"/>
    </row>
    <row r="4261" spans="47:47" ht="12" customHeight="1">
      <c r="AU4261" s="44"/>
    </row>
    <row r="4262" spans="47:47" ht="12" customHeight="1">
      <c r="AU4262" s="44"/>
    </row>
    <row r="4263" spans="47:47" ht="12" customHeight="1">
      <c r="AU4263" s="44"/>
    </row>
    <row r="4264" spans="47:47" ht="12" customHeight="1">
      <c r="AU4264" s="44"/>
    </row>
    <row r="4265" spans="47:47" ht="12" customHeight="1">
      <c r="AU4265" s="44"/>
    </row>
    <row r="4266" spans="47:47" ht="12" customHeight="1">
      <c r="AU4266" s="44"/>
    </row>
    <row r="4267" spans="47:47" ht="12" customHeight="1">
      <c r="AU4267" s="44"/>
    </row>
    <row r="4268" spans="47:47" ht="12" customHeight="1">
      <c r="AU4268" s="44"/>
    </row>
    <row r="4269" spans="47:47" ht="12" customHeight="1">
      <c r="AU4269" s="44"/>
    </row>
    <row r="4270" spans="47:47" ht="12" customHeight="1">
      <c r="AU4270" s="44"/>
    </row>
    <row r="4271" spans="47:47" ht="12" customHeight="1">
      <c r="AU4271" s="44"/>
    </row>
    <row r="4272" spans="47:47" ht="12" customHeight="1">
      <c r="AU4272" s="44"/>
    </row>
    <row r="4273" spans="47:47" ht="12" customHeight="1">
      <c r="AU4273" s="44"/>
    </row>
    <row r="4274" spans="47:47" ht="12" customHeight="1">
      <c r="AU4274" s="44"/>
    </row>
    <row r="4275" spans="47:47" ht="12" customHeight="1">
      <c r="AU4275" s="44"/>
    </row>
    <row r="4276" spans="47:47" ht="12" customHeight="1">
      <c r="AU4276" s="44"/>
    </row>
    <row r="4277" spans="47:47" ht="12" customHeight="1">
      <c r="AU4277" s="44"/>
    </row>
    <row r="4278" spans="47:47" ht="12" customHeight="1">
      <c r="AU4278" s="44"/>
    </row>
    <row r="4279" spans="47:47" ht="12" customHeight="1">
      <c r="AU4279" s="44"/>
    </row>
    <row r="4280" spans="47:47" ht="12" customHeight="1">
      <c r="AU4280" s="44"/>
    </row>
    <row r="4281" spans="47:47" ht="12" customHeight="1">
      <c r="AU4281" s="44"/>
    </row>
    <row r="4282" spans="47:47" ht="12" customHeight="1">
      <c r="AU4282" s="44"/>
    </row>
    <row r="4283" spans="47:47" ht="12" customHeight="1">
      <c r="AU4283" s="44"/>
    </row>
    <row r="4284" spans="47:47" ht="12" customHeight="1">
      <c r="AU4284" s="44"/>
    </row>
    <row r="4285" spans="47:47" ht="12" customHeight="1">
      <c r="AU4285" s="44"/>
    </row>
    <row r="4286" spans="47:47" ht="12" customHeight="1">
      <c r="AU4286" s="44"/>
    </row>
    <row r="4287" spans="47:47" ht="12" customHeight="1">
      <c r="AU4287" s="44"/>
    </row>
    <row r="4288" spans="47:47" ht="12" customHeight="1">
      <c r="AU4288" s="44"/>
    </row>
    <row r="4289" spans="47:47" ht="12" customHeight="1">
      <c r="AU4289" s="44"/>
    </row>
    <row r="4290" spans="47:47" ht="12" customHeight="1">
      <c r="AU4290" s="44"/>
    </row>
    <row r="4291" spans="47:47" ht="12" customHeight="1">
      <c r="AU4291" s="44"/>
    </row>
    <row r="4292" spans="47:47" ht="12" customHeight="1">
      <c r="AU4292" s="44"/>
    </row>
    <row r="4293" spans="47:47" ht="12" customHeight="1">
      <c r="AU4293" s="44"/>
    </row>
    <row r="4294" spans="47:47" ht="12" customHeight="1">
      <c r="AU4294" s="44"/>
    </row>
    <row r="4295" spans="47:47" ht="12" customHeight="1">
      <c r="AU4295" s="44"/>
    </row>
    <row r="4296" spans="47:47" ht="12" customHeight="1">
      <c r="AU4296" s="44"/>
    </row>
    <row r="4297" spans="47:47" ht="12" customHeight="1">
      <c r="AU4297" s="44"/>
    </row>
    <row r="4298" spans="47:47" ht="12" customHeight="1">
      <c r="AU4298" s="44"/>
    </row>
    <row r="4299" spans="47:47" ht="12" customHeight="1">
      <c r="AU4299" s="44"/>
    </row>
    <row r="4300" spans="47:47" ht="12" customHeight="1">
      <c r="AU4300" s="44"/>
    </row>
    <row r="4301" spans="47:47" ht="12" customHeight="1">
      <c r="AU4301" s="44"/>
    </row>
    <row r="4302" spans="47:47" ht="12" customHeight="1">
      <c r="AU4302" s="44"/>
    </row>
    <row r="4303" spans="47:47" ht="12" customHeight="1">
      <c r="AU4303" s="44"/>
    </row>
    <row r="4304" spans="47:47" ht="12" customHeight="1">
      <c r="AU4304" s="44"/>
    </row>
    <row r="4305" spans="47:47" ht="12" customHeight="1">
      <c r="AU4305" s="44"/>
    </row>
    <row r="4306" spans="47:47" ht="12" customHeight="1">
      <c r="AU4306" s="44"/>
    </row>
    <row r="4307" spans="47:47" ht="12" customHeight="1">
      <c r="AU4307" s="44"/>
    </row>
    <row r="4308" spans="47:47" ht="12" customHeight="1">
      <c r="AU4308" s="44"/>
    </row>
    <row r="4309" spans="47:47" ht="12" customHeight="1">
      <c r="AU4309" s="44"/>
    </row>
    <row r="4310" spans="47:47" ht="12" customHeight="1">
      <c r="AU4310" s="44"/>
    </row>
    <row r="4311" spans="47:47" ht="12" customHeight="1">
      <c r="AU4311" s="44"/>
    </row>
    <row r="4312" spans="47:47" ht="12" customHeight="1">
      <c r="AU4312" s="44"/>
    </row>
    <row r="4313" spans="47:47" ht="12" customHeight="1">
      <c r="AU4313" s="44"/>
    </row>
    <row r="4314" spans="47:47" ht="12" customHeight="1">
      <c r="AU4314" s="44"/>
    </row>
    <row r="4315" spans="47:47" ht="12" customHeight="1">
      <c r="AU4315" s="44"/>
    </row>
    <row r="4316" spans="47:47" ht="12" customHeight="1">
      <c r="AU4316" s="44"/>
    </row>
    <row r="4317" spans="47:47" ht="12" customHeight="1">
      <c r="AU4317" s="44"/>
    </row>
    <row r="4318" spans="47:47" ht="12" customHeight="1">
      <c r="AU4318" s="44"/>
    </row>
    <row r="4319" spans="47:47" ht="12" customHeight="1">
      <c r="AU4319" s="44"/>
    </row>
    <row r="4320" spans="47:47" ht="12" customHeight="1">
      <c r="AU4320" s="44"/>
    </row>
    <row r="4321" spans="47:47" ht="12" customHeight="1">
      <c r="AU4321" s="44"/>
    </row>
    <row r="4322" spans="47:47" ht="12" customHeight="1">
      <c r="AU4322" s="44"/>
    </row>
    <row r="4323" spans="47:47" ht="12" customHeight="1">
      <c r="AU4323" s="44"/>
    </row>
    <row r="4324" spans="47:47" ht="12" customHeight="1">
      <c r="AU4324" s="44"/>
    </row>
    <row r="4325" spans="47:47" ht="12" customHeight="1">
      <c r="AU4325" s="44"/>
    </row>
    <row r="4326" spans="47:47" ht="12" customHeight="1">
      <c r="AU4326" s="44"/>
    </row>
    <row r="4327" spans="47:47" ht="12" customHeight="1">
      <c r="AU4327" s="44"/>
    </row>
    <row r="4328" spans="47:47" ht="12" customHeight="1">
      <c r="AU4328" s="44"/>
    </row>
    <row r="4329" spans="47:47" ht="12" customHeight="1">
      <c r="AU4329" s="44"/>
    </row>
    <row r="4330" spans="47:47" ht="12" customHeight="1">
      <c r="AU4330" s="44"/>
    </row>
    <row r="4331" spans="47:47" ht="12" customHeight="1">
      <c r="AU4331" s="44"/>
    </row>
    <row r="4332" spans="47:47" ht="12" customHeight="1">
      <c r="AU4332" s="44"/>
    </row>
    <row r="4333" spans="47:47" ht="12" customHeight="1">
      <c r="AU4333" s="44"/>
    </row>
    <row r="4334" spans="47:47" ht="12" customHeight="1">
      <c r="AU4334" s="44"/>
    </row>
    <row r="4335" spans="47:47" ht="12" customHeight="1">
      <c r="AU4335" s="44"/>
    </row>
    <row r="4336" spans="47:47" ht="12" customHeight="1">
      <c r="AU4336" s="44"/>
    </row>
    <row r="4337" spans="47:47" ht="12" customHeight="1">
      <c r="AU4337" s="44"/>
    </row>
    <row r="4338" spans="47:47" ht="12" customHeight="1">
      <c r="AU4338" s="44"/>
    </row>
    <row r="4339" spans="47:47" ht="12" customHeight="1">
      <c r="AU4339" s="44"/>
    </row>
    <row r="4340" spans="47:47" ht="12" customHeight="1">
      <c r="AU4340" s="44"/>
    </row>
    <row r="4341" spans="47:47" ht="12" customHeight="1">
      <c r="AU4341" s="44"/>
    </row>
    <row r="4342" spans="47:47" ht="12" customHeight="1">
      <c r="AU4342" s="44"/>
    </row>
    <row r="4343" spans="47:47" ht="12" customHeight="1">
      <c r="AU4343" s="44"/>
    </row>
    <row r="4344" spans="47:47" ht="12" customHeight="1">
      <c r="AU4344" s="44"/>
    </row>
    <row r="4345" spans="47:47" ht="12" customHeight="1">
      <c r="AU4345" s="44"/>
    </row>
    <row r="4346" spans="47:47" ht="12" customHeight="1">
      <c r="AU4346" s="44"/>
    </row>
    <row r="4347" spans="47:47" ht="12" customHeight="1">
      <c r="AU4347" s="44"/>
    </row>
    <row r="4348" spans="47:47" ht="12" customHeight="1">
      <c r="AU4348" s="44"/>
    </row>
    <row r="4349" spans="47:47" ht="12" customHeight="1">
      <c r="AU4349" s="44"/>
    </row>
    <row r="4350" spans="47:47" ht="12" customHeight="1">
      <c r="AU4350" s="44"/>
    </row>
    <row r="4351" spans="47:47" ht="12" customHeight="1">
      <c r="AU4351" s="44"/>
    </row>
    <row r="4352" spans="47:47" ht="12" customHeight="1">
      <c r="AU4352" s="44"/>
    </row>
    <row r="4353" spans="47:47" ht="12" customHeight="1">
      <c r="AU4353" s="44"/>
    </row>
    <row r="4354" spans="47:47" ht="12" customHeight="1">
      <c r="AU4354" s="44"/>
    </row>
    <row r="4355" spans="47:47" ht="12" customHeight="1">
      <c r="AU4355" s="44"/>
    </row>
    <row r="4356" spans="47:47" ht="12" customHeight="1">
      <c r="AU4356" s="44"/>
    </row>
    <row r="4357" spans="47:47" ht="12" customHeight="1">
      <c r="AU4357" s="44"/>
    </row>
    <row r="4358" spans="47:47" ht="12" customHeight="1">
      <c r="AU4358" s="44"/>
    </row>
    <row r="4359" spans="47:47" ht="12" customHeight="1">
      <c r="AU4359" s="44"/>
    </row>
    <row r="4360" spans="47:47" ht="12" customHeight="1">
      <c r="AU4360" s="44"/>
    </row>
    <row r="4361" spans="47:47" ht="12" customHeight="1">
      <c r="AU4361" s="44"/>
    </row>
    <row r="4362" spans="47:47" ht="12" customHeight="1">
      <c r="AU4362" s="44"/>
    </row>
    <row r="4363" spans="47:47" ht="12" customHeight="1">
      <c r="AU4363" s="44"/>
    </row>
    <row r="4364" spans="47:47" ht="12" customHeight="1">
      <c r="AU4364" s="44"/>
    </row>
    <row r="4365" spans="47:47" ht="12" customHeight="1">
      <c r="AU4365" s="44"/>
    </row>
    <row r="4366" spans="47:47" ht="12" customHeight="1">
      <c r="AU4366" s="44"/>
    </row>
    <row r="4367" spans="47:47" ht="12" customHeight="1">
      <c r="AU4367" s="44"/>
    </row>
    <row r="4368" spans="47:47" ht="12" customHeight="1">
      <c r="AU4368" s="44"/>
    </row>
    <row r="4369" spans="47:47" ht="12" customHeight="1">
      <c r="AU4369" s="44"/>
    </row>
    <row r="4370" spans="47:47" ht="12" customHeight="1">
      <c r="AU4370" s="44"/>
    </row>
    <row r="4371" spans="47:47" ht="12" customHeight="1">
      <c r="AU4371" s="44"/>
    </row>
    <row r="4372" spans="47:47" ht="12" customHeight="1">
      <c r="AU4372" s="44"/>
    </row>
    <row r="4373" spans="47:47" ht="12" customHeight="1">
      <c r="AU4373" s="44"/>
    </row>
    <row r="4374" spans="47:47" ht="12" customHeight="1">
      <c r="AU4374" s="44"/>
    </row>
    <row r="4375" spans="47:47" ht="12" customHeight="1">
      <c r="AU4375" s="44"/>
    </row>
    <row r="4376" spans="47:47" ht="12" customHeight="1">
      <c r="AU4376" s="44"/>
    </row>
    <row r="4377" spans="47:47" ht="12" customHeight="1">
      <c r="AU4377" s="44"/>
    </row>
    <row r="4378" spans="47:47" ht="12" customHeight="1">
      <c r="AU4378" s="44"/>
    </row>
    <row r="4379" spans="47:47" ht="12" customHeight="1">
      <c r="AU4379" s="44"/>
    </row>
    <row r="4380" spans="47:47" ht="12" customHeight="1">
      <c r="AU4380" s="44"/>
    </row>
    <row r="4381" spans="47:47" ht="12" customHeight="1">
      <c r="AU4381" s="44"/>
    </row>
    <row r="4382" spans="47:47" ht="12" customHeight="1">
      <c r="AU4382" s="44"/>
    </row>
    <row r="4383" spans="47:47" ht="12" customHeight="1">
      <c r="AU4383" s="44"/>
    </row>
    <row r="4384" spans="47:47" ht="12" customHeight="1">
      <c r="AU4384" s="44"/>
    </row>
    <row r="4385" spans="47:47" ht="12" customHeight="1">
      <c r="AU4385" s="44"/>
    </row>
    <row r="4386" spans="47:47" ht="12" customHeight="1">
      <c r="AU4386" s="44"/>
    </row>
    <row r="4387" spans="47:47" ht="12" customHeight="1">
      <c r="AU4387" s="44"/>
    </row>
    <row r="4388" spans="47:47" ht="12" customHeight="1">
      <c r="AU4388" s="44"/>
    </row>
    <row r="4389" spans="47:47" ht="12" customHeight="1">
      <c r="AU4389" s="44"/>
    </row>
    <row r="4390" spans="47:47" ht="12" customHeight="1">
      <c r="AU4390" s="44"/>
    </row>
    <row r="4391" spans="47:47" ht="12" customHeight="1">
      <c r="AU4391" s="44"/>
    </row>
    <row r="4392" spans="47:47" ht="12" customHeight="1">
      <c r="AU4392" s="44"/>
    </row>
    <row r="4393" spans="47:47" ht="12" customHeight="1">
      <c r="AU4393" s="44"/>
    </row>
    <row r="4394" spans="47:47" ht="12" customHeight="1">
      <c r="AU4394" s="44"/>
    </row>
    <row r="4395" spans="47:47" ht="12" customHeight="1">
      <c r="AU4395" s="44"/>
    </row>
    <row r="4396" spans="47:47" ht="12" customHeight="1">
      <c r="AU4396" s="44"/>
    </row>
    <row r="4397" spans="47:47" ht="12" customHeight="1">
      <c r="AU4397" s="44"/>
    </row>
    <row r="4398" spans="47:47" ht="12" customHeight="1">
      <c r="AU4398" s="44"/>
    </row>
    <row r="4399" spans="47:47" ht="12" customHeight="1">
      <c r="AU4399" s="44"/>
    </row>
    <row r="4400" spans="47:47" ht="12" customHeight="1">
      <c r="AU4400" s="44"/>
    </row>
    <row r="4401" spans="47:47" ht="12" customHeight="1">
      <c r="AU4401" s="44"/>
    </row>
    <row r="4402" spans="47:47" ht="12" customHeight="1">
      <c r="AU4402" s="44"/>
    </row>
    <row r="4403" spans="47:47" ht="12" customHeight="1">
      <c r="AU4403" s="44"/>
    </row>
    <row r="4404" spans="47:47" ht="12" customHeight="1">
      <c r="AU4404" s="44"/>
    </row>
    <row r="4405" spans="47:47" ht="12" customHeight="1">
      <c r="AU4405" s="44"/>
    </row>
    <row r="4406" spans="47:47" ht="12" customHeight="1">
      <c r="AU4406" s="44"/>
    </row>
    <row r="4407" spans="47:47" ht="12" customHeight="1">
      <c r="AU4407" s="44"/>
    </row>
    <row r="4408" spans="47:47" ht="12" customHeight="1">
      <c r="AU4408" s="44"/>
    </row>
    <row r="4409" spans="47:47" ht="12" customHeight="1">
      <c r="AU4409" s="44"/>
    </row>
    <row r="4410" spans="47:47" ht="12" customHeight="1">
      <c r="AU4410" s="44"/>
    </row>
    <row r="4411" spans="47:47" ht="12" customHeight="1">
      <c r="AU4411" s="44"/>
    </row>
    <row r="4412" spans="47:47" ht="12" customHeight="1">
      <c r="AU4412" s="44"/>
    </row>
    <row r="4413" spans="47:47" ht="12" customHeight="1">
      <c r="AU4413" s="44"/>
    </row>
    <row r="4414" spans="47:47" ht="12" customHeight="1">
      <c r="AU4414" s="44"/>
    </row>
    <row r="4415" spans="47:47" ht="12" customHeight="1">
      <c r="AU4415" s="44"/>
    </row>
    <row r="4416" spans="47:47" ht="12" customHeight="1">
      <c r="AU4416" s="44"/>
    </row>
    <row r="4417" spans="47:47" ht="12" customHeight="1">
      <c r="AU4417" s="44"/>
    </row>
    <row r="4418" spans="47:47" ht="12" customHeight="1">
      <c r="AU4418" s="44"/>
    </row>
    <row r="4419" spans="47:47" ht="12" customHeight="1">
      <c r="AU4419" s="44"/>
    </row>
    <row r="4420" spans="47:47" ht="12" customHeight="1">
      <c r="AU4420" s="44"/>
    </row>
    <row r="4421" spans="47:47" ht="12" customHeight="1">
      <c r="AU4421" s="44"/>
    </row>
    <row r="4422" spans="47:47" ht="12" customHeight="1">
      <c r="AU4422" s="44"/>
    </row>
    <row r="4423" spans="47:47" ht="12" customHeight="1">
      <c r="AU4423" s="44"/>
    </row>
    <row r="4424" spans="47:47" ht="12" customHeight="1">
      <c r="AU4424" s="44"/>
    </row>
    <row r="4425" spans="47:47" ht="12" customHeight="1">
      <c r="AU4425" s="44"/>
    </row>
    <row r="4426" spans="47:47" ht="12" customHeight="1">
      <c r="AU4426" s="44"/>
    </row>
    <row r="4427" spans="47:47" ht="12" customHeight="1">
      <c r="AU4427" s="44"/>
    </row>
    <row r="4428" spans="47:47" ht="12" customHeight="1">
      <c r="AU4428" s="44"/>
    </row>
    <row r="4429" spans="47:47" ht="12" customHeight="1">
      <c r="AU4429" s="44"/>
    </row>
    <row r="4430" spans="47:47" ht="12" customHeight="1">
      <c r="AU4430" s="44"/>
    </row>
    <row r="4431" spans="47:47" ht="12" customHeight="1">
      <c r="AU4431" s="44"/>
    </row>
    <row r="4432" spans="47:47" ht="12" customHeight="1">
      <c r="AU4432" s="44"/>
    </row>
    <row r="4433" spans="47:47" ht="12" customHeight="1">
      <c r="AU4433" s="44"/>
    </row>
    <row r="4434" spans="47:47" ht="12" customHeight="1">
      <c r="AU4434" s="44"/>
    </row>
    <row r="4435" spans="47:47" ht="12" customHeight="1">
      <c r="AU4435" s="44"/>
    </row>
    <row r="4436" spans="47:47" ht="12" customHeight="1">
      <c r="AU4436" s="44"/>
    </row>
    <row r="4437" spans="47:47" ht="12" customHeight="1">
      <c r="AU4437" s="44"/>
    </row>
    <row r="4438" spans="47:47" ht="12" customHeight="1">
      <c r="AU4438" s="44"/>
    </row>
    <row r="4439" spans="47:47" ht="12" customHeight="1">
      <c r="AU4439" s="44"/>
    </row>
    <row r="4440" spans="47:47" ht="12" customHeight="1">
      <c r="AU4440" s="44"/>
    </row>
    <row r="4441" spans="47:47" ht="12" customHeight="1">
      <c r="AU4441" s="44"/>
    </row>
    <row r="4442" spans="47:47" ht="12" customHeight="1">
      <c r="AU4442" s="44"/>
    </row>
    <row r="4443" spans="47:47" ht="12" customHeight="1">
      <c r="AU4443" s="44"/>
    </row>
    <row r="4444" spans="47:47" ht="12" customHeight="1">
      <c r="AU4444" s="44"/>
    </row>
    <row r="4445" spans="47:47" ht="12" customHeight="1">
      <c r="AU4445" s="44"/>
    </row>
    <row r="4446" spans="47:47" ht="12" customHeight="1">
      <c r="AU4446" s="44"/>
    </row>
    <row r="4447" spans="47:47" ht="12" customHeight="1">
      <c r="AU4447" s="44"/>
    </row>
    <row r="4448" spans="47:47" ht="12" customHeight="1">
      <c r="AU4448" s="44"/>
    </row>
    <row r="4449" spans="47:47" ht="12" customHeight="1">
      <c r="AU4449" s="44"/>
    </row>
    <row r="4450" spans="47:47" ht="12" customHeight="1">
      <c r="AU4450" s="44"/>
    </row>
    <row r="4451" spans="47:47" ht="12" customHeight="1">
      <c r="AU4451" s="44"/>
    </row>
    <row r="4452" spans="47:47" ht="12" customHeight="1">
      <c r="AU4452" s="44"/>
    </row>
    <row r="4453" spans="47:47" ht="12" customHeight="1">
      <c r="AU4453" s="44"/>
    </row>
    <row r="4454" spans="47:47" ht="12" customHeight="1">
      <c r="AU4454" s="44"/>
    </row>
    <row r="4455" spans="47:47" ht="12" customHeight="1">
      <c r="AU4455" s="44"/>
    </row>
    <row r="4456" spans="47:47" ht="12" customHeight="1">
      <c r="AU4456" s="44"/>
    </row>
    <row r="4457" spans="47:47" ht="12" customHeight="1">
      <c r="AU4457" s="44"/>
    </row>
    <row r="4458" spans="47:47" ht="12" customHeight="1">
      <c r="AU4458" s="44"/>
    </row>
    <row r="4459" spans="47:47" ht="12" customHeight="1">
      <c r="AU4459" s="44"/>
    </row>
    <row r="4460" spans="47:47" ht="12" customHeight="1">
      <c r="AU4460" s="44"/>
    </row>
    <row r="4461" spans="47:47" ht="12" customHeight="1">
      <c r="AU4461" s="44"/>
    </row>
    <row r="4462" spans="47:47" ht="12" customHeight="1">
      <c r="AU4462" s="44"/>
    </row>
    <row r="4463" spans="47:47" ht="12" customHeight="1">
      <c r="AU4463" s="44"/>
    </row>
    <row r="4464" spans="47:47" ht="12" customHeight="1">
      <c r="AU4464" s="44"/>
    </row>
    <row r="4465" spans="47:47" ht="12" customHeight="1">
      <c r="AU4465" s="44"/>
    </row>
    <row r="4466" spans="47:47" ht="12" customHeight="1">
      <c r="AU4466" s="44"/>
    </row>
    <row r="4467" spans="47:47" ht="12" customHeight="1">
      <c r="AU4467" s="44"/>
    </row>
    <row r="4468" spans="47:47" ht="12" customHeight="1">
      <c r="AU4468" s="44"/>
    </row>
    <row r="4469" spans="47:47" ht="12" customHeight="1">
      <c r="AU4469" s="44"/>
    </row>
    <row r="4470" spans="47:47" ht="12" customHeight="1">
      <c r="AU4470" s="44"/>
    </row>
    <row r="4471" spans="47:47" ht="12" customHeight="1">
      <c r="AU4471" s="44"/>
    </row>
    <row r="4472" spans="47:47" ht="12" customHeight="1">
      <c r="AU4472" s="44"/>
    </row>
    <row r="4473" spans="47:47" ht="12" customHeight="1">
      <c r="AU4473" s="44"/>
    </row>
    <row r="4474" spans="47:47" ht="12" customHeight="1">
      <c r="AU4474" s="44"/>
    </row>
    <row r="4475" spans="47:47" ht="12" customHeight="1">
      <c r="AU4475" s="44"/>
    </row>
    <row r="4476" spans="47:47" ht="12" customHeight="1">
      <c r="AU4476" s="44"/>
    </row>
    <row r="4477" spans="47:47" ht="12" customHeight="1">
      <c r="AU4477" s="44"/>
    </row>
    <row r="4478" spans="47:47" ht="12" customHeight="1">
      <c r="AU4478" s="44"/>
    </row>
    <row r="4479" spans="47:47" ht="12" customHeight="1">
      <c r="AU4479" s="44"/>
    </row>
    <row r="4480" spans="47:47" ht="12" customHeight="1">
      <c r="AU4480" s="44"/>
    </row>
    <row r="4481" spans="47:47" ht="12" customHeight="1">
      <c r="AU4481" s="44"/>
    </row>
    <row r="4482" spans="47:47" ht="12" customHeight="1">
      <c r="AU4482" s="44"/>
    </row>
    <row r="4483" spans="47:47" ht="12" customHeight="1">
      <c r="AU4483" s="44"/>
    </row>
    <row r="4484" spans="47:47" ht="12" customHeight="1">
      <c r="AU4484" s="44"/>
    </row>
    <row r="4485" spans="47:47" ht="12" customHeight="1">
      <c r="AU4485" s="44"/>
    </row>
    <row r="4486" spans="47:47" ht="12" customHeight="1">
      <c r="AU4486" s="44"/>
    </row>
    <row r="4487" spans="47:47" ht="12" customHeight="1">
      <c r="AU4487" s="44"/>
    </row>
    <row r="4488" spans="47:47" ht="12" customHeight="1">
      <c r="AU4488" s="44"/>
    </row>
    <row r="4489" spans="47:47" ht="12" customHeight="1">
      <c r="AU4489" s="44"/>
    </row>
    <row r="4490" spans="47:47" ht="12" customHeight="1">
      <c r="AU4490" s="44"/>
    </row>
    <row r="4491" spans="47:47" ht="12" customHeight="1">
      <c r="AU4491" s="44"/>
    </row>
    <row r="4492" spans="47:47" ht="12" customHeight="1">
      <c r="AU4492" s="44"/>
    </row>
    <row r="4493" spans="47:47" ht="12" customHeight="1">
      <c r="AU4493" s="44"/>
    </row>
    <row r="4494" spans="47:47" ht="12" customHeight="1">
      <c r="AU4494" s="44"/>
    </row>
    <row r="4495" spans="47:47" ht="12" customHeight="1">
      <c r="AU4495" s="44"/>
    </row>
    <row r="4496" spans="47:47" ht="12" customHeight="1">
      <c r="AU4496" s="44"/>
    </row>
    <row r="4497" spans="47:47" ht="12" customHeight="1">
      <c r="AU4497" s="44"/>
    </row>
    <row r="4498" spans="47:47" ht="12" customHeight="1">
      <c r="AU4498" s="44"/>
    </row>
    <row r="4499" spans="47:47" ht="12" customHeight="1">
      <c r="AU4499" s="44"/>
    </row>
    <row r="4500" spans="47:47" ht="12" customHeight="1">
      <c r="AU4500" s="44"/>
    </row>
    <row r="4501" spans="47:47" ht="12" customHeight="1">
      <c r="AU4501" s="44"/>
    </row>
    <row r="4502" spans="47:47" ht="12" customHeight="1">
      <c r="AU4502" s="44"/>
    </row>
    <row r="4503" spans="47:47" ht="12" customHeight="1">
      <c r="AU4503" s="44"/>
    </row>
    <row r="4504" spans="47:47" ht="12" customHeight="1">
      <c r="AU4504" s="44"/>
    </row>
    <row r="4505" spans="47:47" ht="12" customHeight="1">
      <c r="AU4505" s="44"/>
    </row>
    <row r="4506" spans="47:47" ht="12" customHeight="1">
      <c r="AU4506" s="44"/>
    </row>
    <row r="4507" spans="47:47" ht="12" customHeight="1">
      <c r="AU4507" s="44"/>
    </row>
    <row r="4508" spans="47:47" ht="12" customHeight="1">
      <c r="AU4508" s="44"/>
    </row>
    <row r="4509" spans="47:47" ht="12" customHeight="1">
      <c r="AU4509" s="44"/>
    </row>
    <row r="4510" spans="47:47" ht="12" customHeight="1">
      <c r="AU4510" s="44"/>
    </row>
    <row r="4511" spans="47:47" ht="12" customHeight="1">
      <c r="AU4511" s="44"/>
    </row>
    <row r="4512" spans="47:47" ht="12" customHeight="1">
      <c r="AU4512" s="44"/>
    </row>
    <row r="4513" spans="47:47" ht="12" customHeight="1">
      <c r="AU4513" s="44"/>
    </row>
    <row r="4514" spans="47:47" ht="12" customHeight="1">
      <c r="AU4514" s="44"/>
    </row>
    <row r="4515" spans="47:47" ht="12" customHeight="1">
      <c r="AU4515" s="44"/>
    </row>
    <row r="4516" spans="47:47" ht="12" customHeight="1">
      <c r="AU4516" s="44"/>
    </row>
    <row r="4517" spans="47:47" ht="12" customHeight="1">
      <c r="AU4517" s="44"/>
    </row>
    <row r="4518" spans="47:47" ht="12" customHeight="1">
      <c r="AU4518" s="44"/>
    </row>
    <row r="4519" spans="47:47" ht="12" customHeight="1">
      <c r="AU4519" s="44"/>
    </row>
    <row r="4520" spans="47:47" ht="12" customHeight="1">
      <c r="AU4520" s="44"/>
    </row>
    <row r="4521" spans="47:47" ht="12" customHeight="1">
      <c r="AU4521" s="44"/>
    </row>
    <row r="4522" spans="47:47" ht="12" customHeight="1">
      <c r="AU4522" s="44"/>
    </row>
    <row r="4523" spans="47:47" ht="12" customHeight="1">
      <c r="AU4523" s="44"/>
    </row>
    <row r="4524" spans="47:47" ht="12" customHeight="1">
      <c r="AU4524" s="44"/>
    </row>
    <row r="4525" spans="47:47" ht="12" customHeight="1">
      <c r="AU4525" s="44"/>
    </row>
    <row r="4526" spans="47:47" ht="12" customHeight="1">
      <c r="AU4526" s="44"/>
    </row>
    <row r="4527" spans="47:47" ht="12" customHeight="1">
      <c r="AU4527" s="44"/>
    </row>
    <row r="4528" spans="47:47" ht="12" customHeight="1">
      <c r="AU4528" s="44"/>
    </row>
    <row r="4529" spans="47:47" ht="12" customHeight="1">
      <c r="AU4529" s="44"/>
    </row>
    <row r="4530" spans="47:47" ht="12" customHeight="1">
      <c r="AU4530" s="44"/>
    </row>
    <row r="4531" spans="47:47" ht="12" customHeight="1">
      <c r="AU4531" s="44"/>
    </row>
    <row r="4532" spans="47:47" ht="12" customHeight="1">
      <c r="AU4532" s="44"/>
    </row>
    <row r="4533" spans="47:47" ht="12" customHeight="1">
      <c r="AU4533" s="44"/>
    </row>
    <row r="4534" spans="47:47" ht="12" customHeight="1">
      <c r="AU4534" s="44"/>
    </row>
    <row r="4535" spans="47:47" ht="12" customHeight="1">
      <c r="AU4535" s="44"/>
    </row>
    <row r="4536" spans="47:47" ht="12" customHeight="1">
      <c r="AU4536" s="44"/>
    </row>
    <row r="4537" spans="47:47" ht="12" customHeight="1">
      <c r="AU4537" s="44"/>
    </row>
    <row r="4538" spans="47:47" ht="12" customHeight="1">
      <c r="AU4538" s="44"/>
    </row>
    <row r="4539" spans="47:47" ht="12" customHeight="1">
      <c r="AU4539" s="44"/>
    </row>
    <row r="4540" spans="47:47" ht="12" customHeight="1">
      <c r="AU4540" s="44"/>
    </row>
    <row r="4541" spans="47:47" ht="12" customHeight="1">
      <c r="AU4541" s="44"/>
    </row>
    <row r="4542" spans="47:47" ht="12" customHeight="1">
      <c r="AU4542" s="44"/>
    </row>
    <row r="4543" spans="47:47" ht="12" customHeight="1">
      <c r="AU4543" s="44"/>
    </row>
    <row r="4544" spans="47:47" ht="12" customHeight="1">
      <c r="AU4544" s="44"/>
    </row>
    <row r="4545" spans="47:47" ht="12" customHeight="1">
      <c r="AU4545" s="44"/>
    </row>
    <row r="4546" spans="47:47" ht="12" customHeight="1">
      <c r="AU4546" s="44"/>
    </row>
    <row r="4547" spans="47:47" ht="12" customHeight="1">
      <c r="AU4547" s="44"/>
    </row>
    <row r="4548" spans="47:47" ht="12" customHeight="1">
      <c r="AU4548" s="44"/>
    </row>
    <row r="4549" spans="47:47" ht="12" customHeight="1">
      <c r="AU4549" s="44"/>
    </row>
    <row r="4550" spans="47:47" ht="12" customHeight="1">
      <c r="AU4550" s="44"/>
    </row>
    <row r="4551" spans="47:47" ht="12" customHeight="1">
      <c r="AU4551" s="44"/>
    </row>
    <row r="4552" spans="47:47" ht="12" customHeight="1">
      <c r="AU4552" s="44"/>
    </row>
    <row r="4553" spans="47:47" ht="12" customHeight="1">
      <c r="AU4553" s="44"/>
    </row>
    <row r="4554" spans="47:47" ht="12" customHeight="1">
      <c r="AU4554" s="44"/>
    </row>
    <row r="4555" spans="47:47" ht="12" customHeight="1">
      <c r="AU4555" s="44"/>
    </row>
    <row r="4556" spans="47:47" ht="12" customHeight="1">
      <c r="AU4556" s="44"/>
    </row>
    <row r="4557" spans="47:47" ht="12" customHeight="1">
      <c r="AU4557" s="44"/>
    </row>
    <row r="4558" spans="47:47" ht="12" customHeight="1">
      <c r="AU4558" s="44"/>
    </row>
    <row r="4559" spans="47:47" ht="12" customHeight="1">
      <c r="AU4559" s="44"/>
    </row>
    <row r="4560" spans="47:47" ht="12" customHeight="1">
      <c r="AU4560" s="44"/>
    </row>
    <row r="4561" spans="47:47" ht="12" customHeight="1">
      <c r="AU4561" s="44"/>
    </row>
    <row r="4562" spans="47:47" ht="12" customHeight="1">
      <c r="AU4562" s="44"/>
    </row>
    <row r="4563" spans="47:47" ht="12" customHeight="1">
      <c r="AU4563" s="44"/>
    </row>
    <row r="4564" spans="47:47" ht="12" customHeight="1">
      <c r="AU4564" s="44"/>
    </row>
    <row r="4565" spans="47:47" ht="12" customHeight="1">
      <c r="AU4565" s="44"/>
    </row>
    <row r="4566" spans="47:47" ht="12" customHeight="1">
      <c r="AU4566" s="44"/>
    </row>
    <row r="4567" spans="47:47" ht="12" customHeight="1">
      <c r="AU4567" s="44"/>
    </row>
    <row r="4568" spans="47:47" ht="12" customHeight="1">
      <c r="AU4568" s="44"/>
    </row>
    <row r="4569" spans="47:47" ht="12" customHeight="1">
      <c r="AU4569" s="44"/>
    </row>
    <row r="4570" spans="47:47" ht="12" customHeight="1">
      <c r="AU4570" s="44"/>
    </row>
    <row r="4571" spans="47:47" ht="12" customHeight="1">
      <c r="AU4571" s="44"/>
    </row>
    <row r="4572" spans="47:47" ht="12" customHeight="1">
      <c r="AU4572" s="44"/>
    </row>
    <row r="4573" spans="47:47" ht="12" customHeight="1">
      <c r="AU4573" s="44"/>
    </row>
    <row r="4574" spans="47:47" ht="12" customHeight="1">
      <c r="AU4574" s="44"/>
    </row>
    <row r="4575" spans="47:47" ht="12" customHeight="1">
      <c r="AU4575" s="44"/>
    </row>
    <row r="4576" spans="47:47" ht="12" customHeight="1">
      <c r="AU4576" s="44"/>
    </row>
    <row r="4577" spans="47:47" ht="12" customHeight="1">
      <c r="AU4577" s="44"/>
    </row>
    <row r="4578" spans="47:47" ht="12" customHeight="1">
      <c r="AU4578" s="44"/>
    </row>
    <row r="4579" spans="47:47" ht="12" customHeight="1">
      <c r="AU4579" s="44"/>
    </row>
    <row r="4580" spans="47:47" ht="12" customHeight="1">
      <c r="AU4580" s="44"/>
    </row>
    <row r="4581" spans="47:47" ht="12" customHeight="1">
      <c r="AU4581" s="44"/>
    </row>
    <row r="4582" spans="47:47" ht="12" customHeight="1">
      <c r="AU4582" s="44"/>
    </row>
    <row r="4583" spans="47:47" ht="12" customHeight="1">
      <c r="AU4583" s="44"/>
    </row>
    <row r="4584" spans="47:47" ht="12" customHeight="1">
      <c r="AU4584" s="44"/>
    </row>
    <row r="4585" spans="47:47" ht="12" customHeight="1">
      <c r="AU4585" s="44"/>
    </row>
    <row r="4586" spans="47:47" ht="12" customHeight="1">
      <c r="AU4586" s="44"/>
    </row>
    <row r="4587" spans="47:47" ht="12" customHeight="1">
      <c r="AU4587" s="44"/>
    </row>
    <row r="4588" spans="47:47" ht="12" customHeight="1">
      <c r="AU4588" s="44"/>
    </row>
    <row r="4589" spans="47:47" ht="12" customHeight="1">
      <c r="AU4589" s="44"/>
    </row>
    <row r="4590" spans="47:47" ht="12" customHeight="1">
      <c r="AU4590" s="44"/>
    </row>
    <row r="4591" spans="47:47" ht="12" customHeight="1">
      <c r="AU4591" s="44"/>
    </row>
    <row r="4592" spans="47:47" ht="12" customHeight="1">
      <c r="AU4592" s="44"/>
    </row>
    <row r="4593" spans="47:47" ht="12" customHeight="1">
      <c r="AU4593" s="44"/>
    </row>
    <row r="4594" spans="47:47" ht="12" customHeight="1">
      <c r="AU4594" s="44"/>
    </row>
    <row r="4595" spans="47:47" ht="12" customHeight="1">
      <c r="AU4595" s="44"/>
    </row>
    <row r="4596" spans="47:47" ht="12" customHeight="1">
      <c r="AU4596" s="44"/>
    </row>
    <row r="4597" spans="47:47" ht="12" customHeight="1">
      <c r="AU4597" s="44"/>
    </row>
    <row r="4598" spans="47:47" ht="12" customHeight="1">
      <c r="AU4598" s="44"/>
    </row>
    <row r="4599" spans="47:47" ht="12" customHeight="1">
      <c r="AU4599" s="44"/>
    </row>
    <row r="4600" spans="47:47" ht="12" customHeight="1">
      <c r="AU4600" s="44"/>
    </row>
    <row r="4601" spans="47:47" ht="12" customHeight="1">
      <c r="AU4601" s="44"/>
    </row>
    <row r="4602" spans="47:47" ht="12" customHeight="1">
      <c r="AU4602" s="44"/>
    </row>
    <row r="4603" spans="47:47" ht="12" customHeight="1">
      <c r="AU4603" s="44"/>
    </row>
    <row r="4604" spans="47:47" ht="12" customHeight="1">
      <c r="AU4604" s="44"/>
    </row>
    <row r="4605" spans="47:47" ht="12" customHeight="1">
      <c r="AU4605" s="44"/>
    </row>
    <row r="4606" spans="47:47" ht="12" customHeight="1">
      <c r="AU4606" s="44"/>
    </row>
    <row r="4607" spans="47:47" ht="12" customHeight="1">
      <c r="AU4607" s="44"/>
    </row>
    <row r="4608" spans="47:47" ht="12" customHeight="1">
      <c r="AU4608" s="44"/>
    </row>
    <row r="4609" spans="47:47" ht="12" customHeight="1">
      <c r="AU4609" s="44"/>
    </row>
    <row r="4610" spans="47:47" ht="12" customHeight="1">
      <c r="AU4610" s="44"/>
    </row>
    <row r="4611" spans="47:47" ht="12" customHeight="1">
      <c r="AU4611" s="44"/>
    </row>
    <row r="4612" spans="47:47" ht="12" customHeight="1">
      <c r="AU4612" s="44"/>
    </row>
    <row r="4613" spans="47:47" ht="12" customHeight="1">
      <c r="AU4613" s="44"/>
    </row>
    <row r="4614" spans="47:47" ht="12" customHeight="1">
      <c r="AU4614" s="44"/>
    </row>
    <row r="4615" spans="47:47" ht="12" customHeight="1">
      <c r="AU4615" s="44"/>
    </row>
    <row r="4616" spans="47:47" ht="12" customHeight="1">
      <c r="AU4616" s="44"/>
    </row>
    <row r="4617" spans="47:47" ht="12" customHeight="1">
      <c r="AU4617" s="44"/>
    </row>
    <row r="4618" spans="47:47" ht="12" customHeight="1">
      <c r="AU4618" s="44"/>
    </row>
    <row r="4619" spans="47:47" ht="12" customHeight="1">
      <c r="AU4619" s="44"/>
    </row>
    <row r="4620" spans="47:47" ht="12" customHeight="1">
      <c r="AU4620" s="44"/>
    </row>
    <row r="4621" spans="47:47" ht="12" customHeight="1">
      <c r="AU4621" s="44"/>
    </row>
    <row r="4622" spans="47:47" ht="12" customHeight="1">
      <c r="AU4622" s="44"/>
    </row>
    <row r="4623" spans="47:47" ht="12" customHeight="1">
      <c r="AU4623" s="44"/>
    </row>
    <row r="4624" spans="47:47" ht="12" customHeight="1">
      <c r="AU4624" s="44"/>
    </row>
    <row r="4625" spans="47:47" ht="12" customHeight="1">
      <c r="AU4625" s="44"/>
    </row>
    <row r="4626" spans="47:47" ht="12" customHeight="1">
      <c r="AU4626" s="44"/>
    </row>
    <row r="4627" spans="47:47" ht="12" customHeight="1">
      <c r="AU4627" s="44"/>
    </row>
    <row r="4628" spans="47:47" ht="12" customHeight="1">
      <c r="AU4628" s="44"/>
    </row>
    <row r="4629" spans="47:47" ht="12" customHeight="1">
      <c r="AU4629" s="44"/>
    </row>
    <row r="4630" spans="47:47" ht="12" customHeight="1">
      <c r="AU4630" s="44"/>
    </row>
    <row r="4631" spans="47:47" ht="12" customHeight="1">
      <c r="AU4631" s="44"/>
    </row>
    <row r="4632" spans="47:47" ht="12" customHeight="1">
      <c r="AU4632" s="44"/>
    </row>
    <row r="4633" spans="47:47" ht="12" customHeight="1">
      <c r="AU4633" s="44"/>
    </row>
    <row r="4634" spans="47:47" ht="12" customHeight="1">
      <c r="AU4634" s="44"/>
    </row>
    <row r="4635" spans="47:47" ht="12" customHeight="1">
      <c r="AU4635" s="44"/>
    </row>
    <row r="4636" spans="47:47" ht="12" customHeight="1">
      <c r="AU4636" s="44"/>
    </row>
    <row r="4637" spans="47:47" ht="12" customHeight="1">
      <c r="AU4637" s="44"/>
    </row>
    <row r="4638" spans="47:47" ht="12" customHeight="1">
      <c r="AU4638" s="44"/>
    </row>
    <row r="4639" spans="47:47" ht="12" customHeight="1">
      <c r="AU4639" s="44"/>
    </row>
    <row r="4640" spans="47:47" ht="12" customHeight="1">
      <c r="AU4640" s="44"/>
    </row>
    <row r="4641" spans="47:47" ht="12" customHeight="1">
      <c r="AU4641" s="44"/>
    </row>
    <row r="4642" spans="47:47" ht="12" customHeight="1">
      <c r="AU4642" s="44"/>
    </row>
    <row r="4643" spans="47:47" ht="12" customHeight="1">
      <c r="AU4643" s="44"/>
    </row>
    <row r="4644" spans="47:47" ht="12" customHeight="1">
      <c r="AU4644" s="44"/>
    </row>
    <row r="4645" spans="47:47" ht="12" customHeight="1">
      <c r="AU4645" s="44"/>
    </row>
    <row r="4646" spans="47:47" ht="12" customHeight="1">
      <c r="AU4646" s="44"/>
    </row>
    <row r="4647" spans="47:47" ht="12" customHeight="1">
      <c r="AU4647" s="44"/>
    </row>
    <row r="4648" spans="47:47" ht="12" customHeight="1">
      <c r="AU4648" s="44"/>
    </row>
    <row r="4649" spans="47:47" ht="12" customHeight="1">
      <c r="AU4649" s="44"/>
    </row>
    <row r="4650" spans="47:47" ht="12" customHeight="1">
      <c r="AU4650" s="44"/>
    </row>
    <row r="4651" spans="47:47" ht="12" customHeight="1">
      <c r="AU4651" s="44"/>
    </row>
    <row r="4652" spans="47:47" ht="12" customHeight="1">
      <c r="AU4652" s="44"/>
    </row>
    <row r="4653" spans="47:47" ht="12" customHeight="1">
      <c r="AU4653" s="44"/>
    </row>
    <row r="4654" spans="47:47" ht="12" customHeight="1">
      <c r="AU4654" s="44"/>
    </row>
    <row r="4655" spans="47:47" ht="12" customHeight="1">
      <c r="AU4655" s="44"/>
    </row>
    <row r="4656" spans="47:47" ht="12" customHeight="1">
      <c r="AU4656" s="44"/>
    </row>
    <row r="4657" spans="47:47" ht="12" customHeight="1">
      <c r="AU4657" s="44"/>
    </row>
    <row r="4658" spans="47:47" ht="12" customHeight="1">
      <c r="AU4658" s="44"/>
    </row>
    <row r="4659" spans="47:47" ht="12" customHeight="1">
      <c r="AU4659" s="44"/>
    </row>
    <row r="4660" spans="47:47" ht="12" customHeight="1">
      <c r="AU4660" s="44"/>
    </row>
    <row r="4661" spans="47:47" ht="12" customHeight="1">
      <c r="AU4661" s="44"/>
    </row>
    <row r="4662" spans="47:47" ht="12" customHeight="1">
      <c r="AU4662" s="44"/>
    </row>
    <row r="4663" spans="47:47" ht="12" customHeight="1">
      <c r="AU4663" s="44"/>
    </row>
    <row r="4664" spans="47:47" ht="12" customHeight="1">
      <c r="AU4664" s="44"/>
    </row>
    <row r="4665" spans="47:47" ht="12" customHeight="1">
      <c r="AU4665" s="44"/>
    </row>
    <row r="4666" spans="47:47" ht="12" customHeight="1">
      <c r="AU4666" s="44"/>
    </row>
    <row r="4667" spans="47:47" ht="12" customHeight="1">
      <c r="AU4667" s="44"/>
    </row>
    <row r="4668" spans="47:47" ht="12" customHeight="1">
      <c r="AU4668" s="44"/>
    </row>
    <row r="4669" spans="47:47" ht="12" customHeight="1">
      <c r="AU4669" s="44"/>
    </row>
    <row r="4670" spans="47:47" ht="12" customHeight="1">
      <c r="AU4670" s="44"/>
    </row>
    <row r="4671" spans="47:47" ht="12" customHeight="1">
      <c r="AU4671" s="44"/>
    </row>
    <row r="4672" spans="47:47" ht="12" customHeight="1">
      <c r="AU4672" s="44"/>
    </row>
    <row r="4673" spans="47:47" ht="12" customHeight="1">
      <c r="AU4673" s="44"/>
    </row>
    <row r="4674" spans="47:47" ht="12" customHeight="1">
      <c r="AU4674" s="44"/>
    </row>
    <row r="4675" spans="47:47" ht="12" customHeight="1">
      <c r="AU4675" s="44"/>
    </row>
    <row r="4676" spans="47:47" ht="12" customHeight="1">
      <c r="AU4676" s="44"/>
    </row>
    <row r="4677" spans="47:47" ht="12" customHeight="1">
      <c r="AU4677" s="44"/>
    </row>
    <row r="4678" spans="47:47" ht="12" customHeight="1">
      <c r="AU4678" s="44"/>
    </row>
    <row r="4679" spans="47:47" ht="12" customHeight="1">
      <c r="AU4679" s="44"/>
    </row>
    <row r="4680" spans="47:47" ht="12" customHeight="1">
      <c r="AU4680" s="44"/>
    </row>
    <row r="4681" spans="47:47" ht="12" customHeight="1">
      <c r="AU4681" s="44"/>
    </row>
    <row r="4682" spans="47:47" ht="12" customHeight="1">
      <c r="AU4682" s="44"/>
    </row>
    <row r="4683" spans="47:47" ht="12" customHeight="1">
      <c r="AU4683" s="44"/>
    </row>
    <row r="4684" spans="47:47" ht="12" customHeight="1">
      <c r="AU4684" s="44"/>
    </row>
    <row r="4685" spans="47:47" ht="12" customHeight="1">
      <c r="AU4685" s="44"/>
    </row>
    <row r="4686" spans="47:47" ht="12" customHeight="1">
      <c r="AU4686" s="44"/>
    </row>
    <row r="4687" spans="47:47" ht="12" customHeight="1">
      <c r="AU4687" s="44"/>
    </row>
    <row r="4688" spans="47:47" ht="12" customHeight="1">
      <c r="AU4688" s="44"/>
    </row>
    <row r="4689" spans="47:47" ht="12" customHeight="1">
      <c r="AU4689" s="44"/>
    </row>
    <row r="4690" spans="47:47" ht="12" customHeight="1">
      <c r="AU4690" s="44"/>
    </row>
    <row r="4691" spans="47:47" ht="12" customHeight="1">
      <c r="AU4691" s="44"/>
    </row>
    <row r="4692" spans="47:47" ht="12" customHeight="1">
      <c r="AU4692" s="44"/>
    </row>
    <row r="4693" spans="47:47" ht="12" customHeight="1">
      <c r="AU4693" s="44"/>
    </row>
    <row r="4694" spans="47:47" ht="12" customHeight="1">
      <c r="AU4694" s="44"/>
    </row>
    <row r="4695" spans="47:47" ht="12" customHeight="1">
      <c r="AU4695" s="44"/>
    </row>
    <row r="4696" spans="47:47" ht="12" customHeight="1">
      <c r="AU4696" s="44"/>
    </row>
    <row r="4697" spans="47:47" ht="12" customHeight="1">
      <c r="AU4697" s="44"/>
    </row>
    <row r="4698" spans="47:47" ht="12" customHeight="1">
      <c r="AU4698" s="44"/>
    </row>
    <row r="4699" spans="47:47" ht="12" customHeight="1">
      <c r="AU4699" s="44"/>
    </row>
    <row r="4700" spans="47:47" ht="12" customHeight="1">
      <c r="AU4700" s="44"/>
    </row>
    <row r="4701" spans="47:47" ht="12" customHeight="1">
      <c r="AU4701" s="44"/>
    </row>
    <row r="4702" spans="47:47" ht="12" customHeight="1">
      <c r="AU4702" s="44"/>
    </row>
    <row r="4703" spans="47:47" ht="12" customHeight="1">
      <c r="AU4703" s="44"/>
    </row>
    <row r="4704" spans="47:47" ht="12" customHeight="1">
      <c r="AU4704" s="44"/>
    </row>
    <row r="4705" spans="47:47" ht="12" customHeight="1">
      <c r="AU4705" s="44"/>
    </row>
    <row r="4706" spans="47:47" ht="12" customHeight="1">
      <c r="AU4706" s="44"/>
    </row>
    <row r="4707" spans="47:47" ht="12" customHeight="1">
      <c r="AU4707" s="44"/>
    </row>
    <row r="4708" spans="47:47" ht="12" customHeight="1">
      <c r="AU4708" s="44"/>
    </row>
    <row r="4709" spans="47:47" ht="12" customHeight="1">
      <c r="AU4709" s="44"/>
    </row>
    <row r="4710" spans="47:47" ht="12" customHeight="1">
      <c r="AU4710" s="44"/>
    </row>
    <row r="4711" spans="47:47" ht="12" customHeight="1">
      <c r="AU4711" s="44"/>
    </row>
    <row r="4712" spans="47:47" ht="12" customHeight="1">
      <c r="AU4712" s="44"/>
    </row>
    <row r="4713" spans="47:47" ht="12" customHeight="1">
      <c r="AU4713" s="44"/>
    </row>
    <row r="4714" spans="47:47" ht="12" customHeight="1">
      <c r="AU4714" s="44"/>
    </row>
    <row r="4715" spans="47:47" ht="12" customHeight="1">
      <c r="AU4715" s="44"/>
    </row>
    <row r="4716" spans="47:47" ht="12" customHeight="1">
      <c r="AU4716" s="44"/>
    </row>
    <row r="4717" spans="47:47" ht="12" customHeight="1">
      <c r="AU4717" s="44"/>
    </row>
    <row r="4718" spans="47:47" ht="12" customHeight="1">
      <c r="AU4718" s="44"/>
    </row>
    <row r="4719" spans="47:47" ht="12" customHeight="1">
      <c r="AU4719" s="44"/>
    </row>
    <row r="4720" spans="47:47" ht="12" customHeight="1">
      <c r="AU4720" s="44"/>
    </row>
    <row r="4721" spans="47:47" ht="12" customHeight="1">
      <c r="AU4721" s="44"/>
    </row>
    <row r="4722" spans="47:47" ht="12" customHeight="1">
      <c r="AU4722" s="44"/>
    </row>
    <row r="4723" spans="47:47" ht="12" customHeight="1">
      <c r="AU4723" s="44"/>
    </row>
    <row r="4724" spans="47:47" ht="12" customHeight="1">
      <c r="AU4724" s="44"/>
    </row>
    <row r="4725" spans="47:47" ht="12" customHeight="1">
      <c r="AU4725" s="44"/>
    </row>
    <row r="4726" spans="47:47" ht="12" customHeight="1">
      <c r="AU4726" s="44"/>
    </row>
    <row r="4727" spans="47:47" ht="12" customHeight="1">
      <c r="AU4727" s="44"/>
    </row>
    <row r="4728" spans="47:47" ht="12" customHeight="1">
      <c r="AU4728" s="44"/>
    </row>
    <row r="4729" spans="47:47" ht="12" customHeight="1">
      <c r="AU4729" s="44"/>
    </row>
    <row r="4730" spans="47:47" ht="12" customHeight="1">
      <c r="AU4730" s="44"/>
    </row>
    <row r="4731" spans="47:47" ht="12" customHeight="1">
      <c r="AU4731" s="44"/>
    </row>
    <row r="4732" spans="47:47" ht="12" customHeight="1">
      <c r="AU4732" s="44"/>
    </row>
    <row r="4733" spans="47:47" ht="12" customHeight="1">
      <c r="AU4733" s="44"/>
    </row>
    <row r="4734" spans="47:47" ht="12" customHeight="1">
      <c r="AU4734" s="44"/>
    </row>
    <row r="4735" spans="47:47" ht="12" customHeight="1">
      <c r="AU4735" s="44"/>
    </row>
    <row r="4736" spans="47:47" ht="12" customHeight="1">
      <c r="AU4736" s="44"/>
    </row>
    <row r="4737" spans="47:47" ht="12" customHeight="1">
      <c r="AU4737" s="44"/>
    </row>
    <row r="4738" spans="47:47" ht="12" customHeight="1">
      <c r="AU4738" s="44"/>
    </row>
    <row r="4739" spans="47:47" ht="12" customHeight="1">
      <c r="AU4739" s="44"/>
    </row>
    <row r="4740" spans="47:47" ht="12" customHeight="1">
      <c r="AU4740" s="44"/>
    </row>
    <row r="4741" spans="47:47" ht="12" customHeight="1">
      <c r="AU4741" s="44"/>
    </row>
    <row r="4742" spans="47:47" ht="12" customHeight="1">
      <c r="AU4742" s="44"/>
    </row>
    <row r="4743" spans="47:47" ht="12" customHeight="1">
      <c r="AU4743" s="44"/>
    </row>
    <row r="4744" spans="47:47" ht="12" customHeight="1">
      <c r="AU4744" s="44"/>
    </row>
    <row r="4745" spans="47:47" ht="12" customHeight="1">
      <c r="AU4745" s="44"/>
    </row>
    <row r="4746" spans="47:47" ht="12" customHeight="1">
      <c r="AU4746" s="44"/>
    </row>
    <row r="4747" spans="47:47" ht="12" customHeight="1">
      <c r="AU4747" s="44"/>
    </row>
    <row r="4748" spans="47:47" ht="12" customHeight="1">
      <c r="AU4748" s="44"/>
    </row>
    <row r="4749" spans="47:47" ht="12" customHeight="1">
      <c r="AU4749" s="44"/>
    </row>
    <row r="4750" spans="47:47" ht="12" customHeight="1">
      <c r="AU4750" s="44"/>
    </row>
    <row r="4751" spans="47:47" ht="12" customHeight="1">
      <c r="AU4751" s="44"/>
    </row>
    <row r="4752" spans="47:47" ht="12" customHeight="1">
      <c r="AU4752" s="44"/>
    </row>
    <row r="4753" spans="47:47" ht="12" customHeight="1">
      <c r="AU4753" s="44"/>
    </row>
    <row r="4754" spans="47:47" ht="12" customHeight="1">
      <c r="AU4754" s="44"/>
    </row>
    <row r="4755" spans="47:47" ht="12" customHeight="1">
      <c r="AU4755" s="44"/>
    </row>
    <row r="4756" spans="47:47" ht="12" customHeight="1">
      <c r="AU4756" s="44"/>
    </row>
    <row r="4757" spans="47:47" ht="12" customHeight="1">
      <c r="AU4757" s="44"/>
    </row>
    <row r="4758" spans="47:47" ht="12" customHeight="1">
      <c r="AU4758" s="44"/>
    </row>
    <row r="4759" spans="47:47" ht="12" customHeight="1">
      <c r="AU4759" s="44"/>
    </row>
    <row r="4760" spans="47:47" ht="12" customHeight="1">
      <c r="AU4760" s="44"/>
    </row>
    <row r="4761" spans="47:47" ht="12" customHeight="1">
      <c r="AU4761" s="44"/>
    </row>
    <row r="4762" spans="47:47" ht="12" customHeight="1">
      <c r="AU4762" s="44"/>
    </row>
    <row r="4763" spans="47:47" ht="12" customHeight="1">
      <c r="AU4763" s="44"/>
    </row>
    <row r="4764" spans="47:47" ht="12" customHeight="1">
      <c r="AU4764" s="44"/>
    </row>
    <row r="4765" spans="47:47" ht="12" customHeight="1">
      <c r="AU4765" s="44"/>
    </row>
    <row r="4766" spans="47:47" ht="12" customHeight="1">
      <c r="AU4766" s="44"/>
    </row>
    <row r="4767" spans="47:47" ht="12" customHeight="1">
      <c r="AU4767" s="44"/>
    </row>
    <row r="4768" spans="47:47" ht="12" customHeight="1">
      <c r="AU4768" s="44"/>
    </row>
    <row r="4769" spans="47:47" ht="12" customHeight="1">
      <c r="AU4769" s="44"/>
    </row>
    <row r="4770" spans="47:47" ht="12" customHeight="1">
      <c r="AU4770" s="44"/>
    </row>
    <row r="4771" spans="47:47" ht="12" customHeight="1">
      <c r="AU4771" s="44"/>
    </row>
    <row r="4772" spans="47:47" ht="12" customHeight="1">
      <c r="AU4772" s="44"/>
    </row>
    <row r="4773" spans="47:47" ht="12" customHeight="1">
      <c r="AU4773" s="44"/>
    </row>
    <row r="4774" spans="47:47" ht="12" customHeight="1">
      <c r="AU4774" s="44"/>
    </row>
    <row r="4775" spans="47:47" ht="12" customHeight="1">
      <c r="AU4775" s="44"/>
    </row>
    <row r="4776" spans="47:47" ht="12" customHeight="1">
      <c r="AU4776" s="44"/>
    </row>
    <row r="4777" spans="47:47" ht="12" customHeight="1">
      <c r="AU4777" s="44"/>
    </row>
    <row r="4778" spans="47:47" ht="12" customHeight="1">
      <c r="AU4778" s="44"/>
    </row>
    <row r="4779" spans="47:47" ht="12" customHeight="1">
      <c r="AU4779" s="44"/>
    </row>
    <row r="4780" spans="47:47" ht="12" customHeight="1">
      <c r="AU4780" s="44"/>
    </row>
    <row r="4781" spans="47:47" ht="12" customHeight="1">
      <c r="AU4781" s="44"/>
    </row>
    <row r="4782" spans="47:47" ht="12" customHeight="1">
      <c r="AU4782" s="44"/>
    </row>
    <row r="4783" spans="47:47" ht="12" customHeight="1">
      <c r="AU4783" s="44"/>
    </row>
    <row r="4784" spans="47:47" ht="12" customHeight="1">
      <c r="AU4784" s="44"/>
    </row>
    <row r="4785" spans="47:47" ht="12" customHeight="1">
      <c r="AU4785" s="44"/>
    </row>
    <row r="4786" spans="47:47" ht="12" customHeight="1">
      <c r="AU4786" s="44"/>
    </row>
    <row r="4787" spans="47:47" ht="12" customHeight="1">
      <c r="AU4787" s="44"/>
    </row>
    <row r="4788" spans="47:47" ht="12" customHeight="1">
      <c r="AU4788" s="44"/>
    </row>
    <row r="4789" spans="47:47" ht="12" customHeight="1">
      <c r="AU4789" s="44"/>
    </row>
    <row r="4790" spans="47:47" ht="12" customHeight="1">
      <c r="AU4790" s="44"/>
    </row>
    <row r="4791" spans="47:47" ht="12" customHeight="1">
      <c r="AU4791" s="44"/>
    </row>
    <row r="4792" spans="47:47" ht="12" customHeight="1">
      <c r="AU4792" s="44"/>
    </row>
    <row r="4793" spans="47:47" ht="12" customHeight="1">
      <c r="AU4793" s="44"/>
    </row>
    <row r="4794" spans="47:47" ht="12" customHeight="1">
      <c r="AU4794" s="44"/>
    </row>
    <row r="4795" spans="47:47" ht="12" customHeight="1">
      <c r="AU4795" s="44"/>
    </row>
    <row r="4796" spans="47:47" ht="12" customHeight="1">
      <c r="AU4796" s="44"/>
    </row>
    <row r="4797" spans="47:47" ht="12" customHeight="1">
      <c r="AU4797" s="44"/>
    </row>
    <row r="4798" spans="47:47" ht="12" customHeight="1">
      <c r="AU4798" s="44"/>
    </row>
    <row r="4799" spans="47:47" ht="12" customHeight="1">
      <c r="AU4799" s="44"/>
    </row>
    <row r="4800" spans="47:47" ht="12" customHeight="1">
      <c r="AU4800" s="44"/>
    </row>
    <row r="4801" spans="47:47" ht="12" customHeight="1">
      <c r="AU4801" s="44"/>
    </row>
    <row r="4802" spans="47:47" ht="12" customHeight="1">
      <c r="AU4802" s="44"/>
    </row>
    <row r="4803" spans="47:47" ht="12" customHeight="1">
      <c r="AU4803" s="44"/>
    </row>
    <row r="4804" spans="47:47" ht="12" customHeight="1">
      <c r="AU4804" s="44"/>
    </row>
    <row r="4805" spans="47:47" ht="12" customHeight="1">
      <c r="AU4805" s="44"/>
    </row>
    <row r="4806" spans="47:47" ht="12" customHeight="1">
      <c r="AU4806" s="44"/>
    </row>
    <row r="4807" spans="47:47" ht="12" customHeight="1">
      <c r="AU4807" s="44"/>
    </row>
    <row r="4808" spans="47:47" ht="12" customHeight="1">
      <c r="AU4808" s="44"/>
    </row>
    <row r="4809" spans="47:47" ht="12" customHeight="1">
      <c r="AU4809" s="44"/>
    </row>
    <row r="4810" spans="47:47" ht="12" customHeight="1">
      <c r="AU4810" s="44"/>
    </row>
    <row r="4811" spans="47:47" ht="12" customHeight="1">
      <c r="AU4811" s="44"/>
    </row>
    <row r="4812" spans="47:47" ht="12" customHeight="1">
      <c r="AU4812" s="44"/>
    </row>
    <row r="4813" spans="47:47" ht="12" customHeight="1">
      <c r="AU4813" s="44"/>
    </row>
    <row r="4814" spans="47:47" ht="12" customHeight="1">
      <c r="AU4814" s="44"/>
    </row>
    <row r="4815" spans="47:47" ht="12" customHeight="1">
      <c r="AU4815" s="44"/>
    </row>
    <row r="4816" spans="47:47" ht="12" customHeight="1">
      <c r="AU4816" s="44"/>
    </row>
    <row r="4817" spans="47:47" ht="12" customHeight="1">
      <c r="AU4817" s="44"/>
    </row>
    <row r="4818" spans="47:47" ht="12" customHeight="1">
      <c r="AU4818" s="44"/>
    </row>
    <row r="4819" spans="47:47" ht="12" customHeight="1">
      <c r="AU4819" s="44"/>
    </row>
    <row r="4820" spans="47:47" ht="12" customHeight="1">
      <c r="AU4820" s="44"/>
    </row>
    <row r="4821" spans="47:47" ht="12" customHeight="1">
      <c r="AU4821" s="44"/>
    </row>
    <row r="4822" spans="47:47" ht="12" customHeight="1">
      <c r="AU4822" s="44"/>
    </row>
    <row r="4823" spans="47:47" ht="12" customHeight="1">
      <c r="AU4823" s="44"/>
    </row>
    <row r="4824" spans="47:47" ht="12" customHeight="1">
      <c r="AU4824" s="44"/>
    </row>
    <row r="4825" spans="47:47" ht="12" customHeight="1">
      <c r="AU4825" s="44"/>
    </row>
    <row r="4826" spans="47:47" ht="12" customHeight="1">
      <c r="AU4826" s="44"/>
    </row>
    <row r="4827" spans="47:47" ht="12" customHeight="1">
      <c r="AU4827" s="44"/>
    </row>
    <row r="4828" spans="47:47" ht="12" customHeight="1">
      <c r="AU4828" s="44"/>
    </row>
    <row r="4829" spans="47:47" ht="12" customHeight="1">
      <c r="AU4829" s="44"/>
    </row>
    <row r="4830" spans="47:47" ht="12" customHeight="1">
      <c r="AU4830" s="44"/>
    </row>
    <row r="4831" spans="47:47" ht="12" customHeight="1">
      <c r="AU4831" s="44"/>
    </row>
    <row r="4832" spans="47:47" ht="12" customHeight="1">
      <c r="AU4832" s="44"/>
    </row>
    <row r="4833" spans="47:47" ht="12" customHeight="1">
      <c r="AU4833" s="44"/>
    </row>
    <row r="4834" spans="47:47" ht="12" customHeight="1">
      <c r="AU4834" s="44"/>
    </row>
    <row r="4835" spans="47:47" ht="12" customHeight="1">
      <c r="AU4835" s="44"/>
    </row>
    <row r="4836" spans="47:47" ht="12" customHeight="1">
      <c r="AU4836" s="44"/>
    </row>
    <row r="4837" spans="47:47" ht="12" customHeight="1">
      <c r="AU4837" s="44"/>
    </row>
    <row r="4838" spans="47:47" ht="12" customHeight="1">
      <c r="AU4838" s="44"/>
    </row>
    <row r="4839" spans="47:47" ht="12" customHeight="1">
      <c r="AU4839" s="44"/>
    </row>
    <row r="4840" spans="47:47" ht="12" customHeight="1">
      <c r="AU4840" s="44"/>
    </row>
    <row r="4841" spans="47:47" ht="12" customHeight="1">
      <c r="AU4841" s="44"/>
    </row>
    <row r="4842" spans="47:47" ht="12" customHeight="1">
      <c r="AU4842" s="44"/>
    </row>
    <row r="4843" spans="47:47" ht="12" customHeight="1">
      <c r="AU4843" s="44"/>
    </row>
    <row r="4844" spans="47:47" ht="12" customHeight="1">
      <c r="AU4844" s="44"/>
    </row>
    <row r="4845" spans="47:47" ht="12" customHeight="1">
      <c r="AU4845" s="44"/>
    </row>
    <row r="4846" spans="47:47" ht="12" customHeight="1">
      <c r="AU4846" s="44"/>
    </row>
    <row r="4847" spans="47:47" ht="12" customHeight="1">
      <c r="AU4847" s="44"/>
    </row>
    <row r="4848" spans="47:47" ht="12" customHeight="1">
      <c r="AU4848" s="44"/>
    </row>
    <row r="4849" spans="47:47" ht="12" customHeight="1">
      <c r="AU4849" s="44"/>
    </row>
    <row r="4850" spans="47:47" ht="12" customHeight="1">
      <c r="AU4850" s="44"/>
    </row>
    <row r="4851" spans="47:47" ht="12" customHeight="1">
      <c r="AU4851" s="44"/>
    </row>
    <row r="4852" spans="47:47" ht="12" customHeight="1">
      <c r="AU4852" s="44"/>
    </row>
    <row r="4853" spans="47:47" ht="12" customHeight="1">
      <c r="AU4853" s="44"/>
    </row>
    <row r="4854" spans="47:47" ht="12" customHeight="1">
      <c r="AU4854" s="44"/>
    </row>
    <row r="4855" spans="47:47" ht="12" customHeight="1">
      <c r="AU4855" s="44"/>
    </row>
    <row r="4856" spans="47:47" ht="12" customHeight="1">
      <c r="AU4856" s="44"/>
    </row>
    <row r="4857" spans="47:47" ht="12" customHeight="1">
      <c r="AU4857" s="44"/>
    </row>
    <row r="4858" spans="47:47" ht="12" customHeight="1">
      <c r="AU4858" s="44"/>
    </row>
    <row r="4859" spans="47:47" ht="12" customHeight="1">
      <c r="AU4859" s="44"/>
    </row>
    <row r="4860" spans="47:47" ht="12" customHeight="1">
      <c r="AU4860" s="44"/>
    </row>
    <row r="4861" spans="47:47" ht="12" customHeight="1">
      <c r="AU4861" s="44"/>
    </row>
    <row r="4862" spans="47:47" ht="12" customHeight="1">
      <c r="AU4862" s="44"/>
    </row>
    <row r="4863" spans="47:47" ht="12" customHeight="1">
      <c r="AU4863" s="44"/>
    </row>
    <row r="4864" spans="47:47" ht="12" customHeight="1">
      <c r="AU4864" s="44"/>
    </row>
    <row r="4865" spans="47:47" ht="12" customHeight="1">
      <c r="AU4865" s="44"/>
    </row>
    <row r="4866" spans="47:47" ht="12" customHeight="1">
      <c r="AU4866" s="44"/>
    </row>
    <row r="4867" spans="47:47" ht="12" customHeight="1">
      <c r="AU4867" s="44"/>
    </row>
    <row r="4868" spans="47:47" ht="12" customHeight="1">
      <c r="AU4868" s="44"/>
    </row>
    <row r="4869" spans="47:47" ht="12" customHeight="1">
      <c r="AU4869" s="44"/>
    </row>
    <row r="4870" spans="47:47" ht="12" customHeight="1">
      <c r="AU4870" s="44"/>
    </row>
    <row r="4871" spans="47:47" ht="12" customHeight="1">
      <c r="AU4871" s="44"/>
    </row>
    <row r="4872" spans="47:47" ht="12" customHeight="1">
      <c r="AU4872" s="44"/>
    </row>
    <row r="4873" spans="47:47" ht="12" customHeight="1">
      <c r="AU4873" s="44"/>
    </row>
    <row r="4874" spans="47:47" ht="12" customHeight="1">
      <c r="AU4874" s="44"/>
    </row>
    <row r="4875" spans="47:47" ht="12" customHeight="1">
      <c r="AU4875" s="44"/>
    </row>
    <row r="4876" spans="47:47" ht="12" customHeight="1">
      <c r="AU4876" s="44"/>
    </row>
    <row r="4877" spans="47:47" ht="12" customHeight="1">
      <c r="AU4877" s="44"/>
    </row>
    <row r="4878" spans="47:47" ht="12" customHeight="1">
      <c r="AU4878" s="44"/>
    </row>
    <row r="4879" spans="47:47" ht="12" customHeight="1">
      <c r="AU4879" s="44"/>
    </row>
    <row r="4880" spans="47:47" ht="12" customHeight="1">
      <c r="AU4880" s="44"/>
    </row>
    <row r="4881" spans="47:47" ht="12" customHeight="1">
      <c r="AU4881" s="44"/>
    </row>
    <row r="4882" spans="47:47" ht="12" customHeight="1">
      <c r="AU4882" s="44"/>
    </row>
    <row r="4883" spans="47:47" ht="12" customHeight="1">
      <c r="AU4883" s="44"/>
    </row>
    <row r="4884" spans="47:47" ht="12" customHeight="1">
      <c r="AU4884" s="44"/>
    </row>
    <row r="4885" spans="47:47" ht="12" customHeight="1">
      <c r="AU4885" s="44"/>
    </row>
    <row r="4886" spans="47:47" ht="12" customHeight="1">
      <c r="AU4886" s="44"/>
    </row>
    <row r="4887" spans="47:47" ht="12" customHeight="1">
      <c r="AU4887" s="44"/>
    </row>
    <row r="4888" spans="47:47" ht="12" customHeight="1">
      <c r="AU4888" s="44"/>
    </row>
    <row r="4889" spans="47:47" ht="12" customHeight="1">
      <c r="AU4889" s="44"/>
    </row>
    <row r="4890" spans="47:47" ht="12" customHeight="1">
      <c r="AU4890" s="44"/>
    </row>
    <row r="4891" spans="47:47" ht="12" customHeight="1">
      <c r="AU4891" s="44"/>
    </row>
    <row r="4892" spans="47:47" ht="12" customHeight="1">
      <c r="AU4892" s="44"/>
    </row>
    <row r="4893" spans="47:47" ht="12" customHeight="1">
      <c r="AU4893" s="44"/>
    </row>
    <row r="4894" spans="47:47" ht="12" customHeight="1">
      <c r="AU4894" s="44"/>
    </row>
    <row r="4895" spans="47:47" ht="12" customHeight="1">
      <c r="AU4895" s="44"/>
    </row>
    <row r="4896" spans="47:47" ht="12" customHeight="1">
      <c r="AU4896" s="44"/>
    </row>
    <row r="4897" spans="47:47" ht="12" customHeight="1">
      <c r="AU4897" s="44"/>
    </row>
    <row r="4898" spans="47:47" ht="12" customHeight="1">
      <c r="AU4898" s="44"/>
    </row>
    <row r="4899" spans="47:47" ht="12" customHeight="1">
      <c r="AU4899" s="44"/>
    </row>
    <row r="4900" spans="47:47" ht="12" customHeight="1">
      <c r="AU4900" s="44"/>
    </row>
    <row r="4901" spans="47:47" ht="12" customHeight="1">
      <c r="AU4901" s="44"/>
    </row>
    <row r="4902" spans="47:47" ht="12" customHeight="1">
      <c r="AU4902" s="44"/>
    </row>
    <row r="4903" spans="47:47" ht="12" customHeight="1">
      <c r="AU4903" s="44"/>
    </row>
    <row r="4904" spans="47:47" ht="12" customHeight="1">
      <c r="AU4904" s="44"/>
    </row>
    <row r="4905" spans="47:47" ht="12" customHeight="1">
      <c r="AU4905" s="44"/>
    </row>
    <row r="4906" spans="47:47" ht="12" customHeight="1">
      <c r="AU4906" s="44"/>
    </row>
    <row r="4907" spans="47:47" ht="12" customHeight="1">
      <c r="AU4907" s="44"/>
    </row>
    <row r="4908" spans="47:47" ht="12" customHeight="1">
      <c r="AU4908" s="44"/>
    </row>
    <row r="4909" spans="47:47" ht="12" customHeight="1">
      <c r="AU4909" s="44"/>
    </row>
    <row r="4910" spans="47:47" ht="12" customHeight="1">
      <c r="AU4910" s="44"/>
    </row>
    <row r="4911" spans="47:47" ht="12" customHeight="1">
      <c r="AU4911" s="44"/>
    </row>
    <row r="4912" spans="47:47" ht="12" customHeight="1">
      <c r="AU4912" s="44"/>
    </row>
    <row r="4913" spans="47:47" ht="12" customHeight="1">
      <c r="AU4913" s="44"/>
    </row>
    <row r="4914" spans="47:47" ht="12" customHeight="1">
      <c r="AU4914" s="44"/>
    </row>
    <row r="4915" spans="47:47" ht="12" customHeight="1">
      <c r="AU4915" s="44"/>
    </row>
    <row r="4916" spans="47:47" ht="12" customHeight="1">
      <c r="AU4916" s="44"/>
    </row>
    <row r="4917" spans="47:47" ht="12" customHeight="1">
      <c r="AU4917" s="44"/>
    </row>
    <row r="4918" spans="47:47" ht="12" customHeight="1">
      <c r="AU4918" s="44"/>
    </row>
    <row r="4919" spans="47:47" ht="12" customHeight="1">
      <c r="AU4919" s="44"/>
    </row>
    <row r="4920" spans="47:47" ht="12" customHeight="1">
      <c r="AU4920" s="44"/>
    </row>
    <row r="4921" spans="47:47" ht="12" customHeight="1">
      <c r="AU4921" s="44"/>
    </row>
    <row r="4922" spans="47:47" ht="12" customHeight="1">
      <c r="AU4922" s="44"/>
    </row>
    <row r="4923" spans="47:47" ht="12" customHeight="1">
      <c r="AU4923" s="44"/>
    </row>
    <row r="4924" spans="47:47" ht="12" customHeight="1">
      <c r="AU4924" s="44"/>
    </row>
    <row r="4925" spans="47:47" ht="12" customHeight="1">
      <c r="AU4925" s="44"/>
    </row>
    <row r="4926" spans="47:47" ht="12" customHeight="1">
      <c r="AU4926" s="44"/>
    </row>
    <row r="4927" spans="47:47" ht="12" customHeight="1">
      <c r="AU4927" s="44"/>
    </row>
    <row r="4928" spans="47:47" ht="12" customHeight="1">
      <c r="AU4928" s="44"/>
    </row>
    <row r="4929" spans="47:47" ht="12" customHeight="1">
      <c r="AU4929" s="44"/>
    </row>
    <row r="4930" spans="47:47" ht="12" customHeight="1">
      <c r="AU4930" s="44"/>
    </row>
    <row r="4931" spans="47:47" ht="12" customHeight="1">
      <c r="AU4931" s="44"/>
    </row>
    <row r="4932" spans="47:47" ht="12" customHeight="1">
      <c r="AU4932" s="44"/>
    </row>
    <row r="4933" spans="47:47" ht="12" customHeight="1">
      <c r="AU4933" s="44"/>
    </row>
    <row r="4934" spans="47:47" ht="12" customHeight="1">
      <c r="AU4934" s="44"/>
    </row>
    <row r="4935" spans="47:47" ht="12" customHeight="1">
      <c r="AU4935" s="44"/>
    </row>
    <row r="4936" spans="47:47" ht="12" customHeight="1">
      <c r="AU4936" s="44"/>
    </row>
    <row r="4937" spans="47:47" ht="12" customHeight="1">
      <c r="AU4937" s="44"/>
    </row>
    <row r="4938" spans="47:47" ht="12" customHeight="1">
      <c r="AU4938" s="44"/>
    </row>
    <row r="4939" spans="47:47" ht="12" customHeight="1">
      <c r="AU4939" s="44"/>
    </row>
    <row r="4940" spans="47:47" ht="12" customHeight="1">
      <c r="AU4940" s="44"/>
    </row>
    <row r="4941" spans="47:47" ht="12" customHeight="1">
      <c r="AU4941" s="44"/>
    </row>
    <row r="4942" spans="47:47" ht="12" customHeight="1">
      <c r="AU4942" s="44"/>
    </row>
    <row r="4943" spans="47:47" ht="12" customHeight="1">
      <c r="AU4943" s="44"/>
    </row>
    <row r="4944" spans="47:47" ht="12" customHeight="1">
      <c r="AU4944" s="44"/>
    </row>
    <row r="4945" spans="47:47" ht="12" customHeight="1">
      <c r="AU4945" s="44"/>
    </row>
    <row r="4946" spans="47:47" ht="12" customHeight="1">
      <c r="AU4946" s="44"/>
    </row>
    <row r="4947" spans="47:47" ht="12" customHeight="1">
      <c r="AU4947" s="44"/>
    </row>
    <row r="4948" spans="47:47" ht="12" customHeight="1">
      <c r="AU4948" s="44"/>
    </row>
    <row r="4949" spans="47:47" ht="12" customHeight="1">
      <c r="AU4949" s="44"/>
    </row>
    <row r="4950" spans="47:47" ht="12" customHeight="1">
      <c r="AU4950" s="44"/>
    </row>
    <row r="4951" spans="47:47" ht="12" customHeight="1">
      <c r="AU4951" s="44"/>
    </row>
    <row r="4952" spans="47:47" ht="12" customHeight="1">
      <c r="AU4952" s="44"/>
    </row>
    <row r="4953" spans="47:47" ht="12" customHeight="1">
      <c r="AU4953" s="44"/>
    </row>
    <row r="4954" spans="47:47" ht="12" customHeight="1">
      <c r="AU4954" s="44"/>
    </row>
    <row r="4955" spans="47:47" ht="12" customHeight="1">
      <c r="AU4955" s="44"/>
    </row>
    <row r="4956" spans="47:47" ht="12" customHeight="1">
      <c r="AU4956" s="44"/>
    </row>
    <row r="4957" spans="47:47" ht="12" customHeight="1">
      <c r="AU4957" s="44"/>
    </row>
    <row r="4958" spans="47:47" ht="12" customHeight="1">
      <c r="AU4958" s="44"/>
    </row>
    <row r="4959" spans="47:47" ht="12" customHeight="1">
      <c r="AU4959" s="44"/>
    </row>
    <row r="4960" spans="47:47" ht="12" customHeight="1">
      <c r="AU4960" s="44"/>
    </row>
    <row r="4961" spans="47:47" ht="12" customHeight="1">
      <c r="AU4961" s="44"/>
    </row>
    <row r="4962" spans="47:47" ht="12" customHeight="1">
      <c r="AU4962" s="44"/>
    </row>
    <row r="4963" spans="47:47" ht="12" customHeight="1">
      <c r="AU4963" s="44"/>
    </row>
    <row r="4964" spans="47:47" ht="12" customHeight="1">
      <c r="AU4964" s="44"/>
    </row>
    <row r="4965" spans="47:47" ht="12" customHeight="1">
      <c r="AU4965" s="44"/>
    </row>
    <row r="4966" spans="47:47" ht="12" customHeight="1">
      <c r="AU4966" s="44"/>
    </row>
    <row r="4967" spans="47:47" ht="12" customHeight="1">
      <c r="AU4967" s="44"/>
    </row>
    <row r="4968" spans="47:47" ht="12" customHeight="1">
      <c r="AU4968" s="44"/>
    </row>
    <row r="4969" spans="47:47" ht="12" customHeight="1">
      <c r="AU4969" s="44"/>
    </row>
    <row r="4970" spans="47:47" ht="12" customHeight="1">
      <c r="AU4970" s="44"/>
    </row>
    <row r="4971" spans="47:47" ht="12" customHeight="1">
      <c r="AU4971" s="44"/>
    </row>
    <row r="4972" spans="47:47" ht="12" customHeight="1">
      <c r="AU4972" s="44"/>
    </row>
    <row r="4973" spans="47:47" ht="12" customHeight="1">
      <c r="AU4973" s="44"/>
    </row>
    <row r="4974" spans="47:47" ht="12" customHeight="1">
      <c r="AU4974" s="44"/>
    </row>
    <row r="4975" spans="47:47" ht="12" customHeight="1">
      <c r="AU4975" s="44"/>
    </row>
    <row r="4976" spans="47:47" ht="12" customHeight="1">
      <c r="AU4976" s="44"/>
    </row>
    <row r="4977" spans="47:47" ht="12" customHeight="1">
      <c r="AU4977" s="44"/>
    </row>
    <row r="4978" spans="47:47" ht="12" customHeight="1">
      <c r="AU4978" s="44"/>
    </row>
    <row r="4979" spans="47:47" ht="12" customHeight="1">
      <c r="AU4979" s="44"/>
    </row>
    <row r="4980" spans="47:47" ht="12" customHeight="1">
      <c r="AU4980" s="44"/>
    </row>
    <row r="4981" spans="47:47" ht="12" customHeight="1">
      <c r="AU4981" s="44"/>
    </row>
    <row r="4982" spans="47:47" ht="12" customHeight="1">
      <c r="AU4982" s="44"/>
    </row>
    <row r="4983" spans="47:47" ht="12" customHeight="1">
      <c r="AU4983" s="44"/>
    </row>
    <row r="4984" spans="47:47" ht="12" customHeight="1">
      <c r="AU4984" s="44"/>
    </row>
    <row r="4985" spans="47:47" ht="12" customHeight="1">
      <c r="AU4985" s="44"/>
    </row>
    <row r="4986" spans="47:47" ht="12" customHeight="1">
      <c r="AU4986" s="44"/>
    </row>
    <row r="4987" spans="47:47" ht="12" customHeight="1">
      <c r="AU4987" s="44"/>
    </row>
    <row r="4988" spans="47:47" ht="12" customHeight="1">
      <c r="AU4988" s="44"/>
    </row>
    <row r="4989" spans="47:47" ht="12" customHeight="1">
      <c r="AU4989" s="44"/>
    </row>
    <row r="4990" spans="47:47" ht="12" customHeight="1">
      <c r="AU4990" s="44"/>
    </row>
    <row r="4991" spans="47:47" ht="12" customHeight="1">
      <c r="AU4991" s="44"/>
    </row>
    <row r="4992" spans="47:47" ht="12" customHeight="1">
      <c r="AU4992" s="44"/>
    </row>
    <row r="4993" spans="47:47" ht="12" customHeight="1">
      <c r="AU4993" s="44"/>
    </row>
    <row r="4994" spans="47:47" ht="12" customHeight="1">
      <c r="AU4994" s="44"/>
    </row>
    <row r="4995" spans="47:47" ht="12" customHeight="1">
      <c r="AU4995" s="44"/>
    </row>
    <row r="4996" spans="47:47" ht="12" customHeight="1">
      <c r="AU4996" s="44"/>
    </row>
    <row r="4997" spans="47:47" ht="12" customHeight="1">
      <c r="AU4997" s="44"/>
    </row>
    <row r="4998" spans="47:47" ht="12" customHeight="1">
      <c r="AU4998" s="44"/>
    </row>
    <row r="4999" spans="47:47" ht="12" customHeight="1">
      <c r="AU4999" s="44"/>
    </row>
    <row r="5000" spans="47:47" ht="12" customHeight="1">
      <c r="AU5000" s="44"/>
    </row>
    <row r="5001" spans="47:47" ht="12" customHeight="1">
      <c r="AU5001" s="44"/>
    </row>
    <row r="5002" spans="47:47" ht="12" customHeight="1">
      <c r="AU5002" s="44"/>
    </row>
    <row r="5003" spans="47:47" ht="12" customHeight="1">
      <c r="AU5003" s="44"/>
    </row>
    <row r="5004" spans="47:47" ht="12" customHeight="1">
      <c r="AU5004" s="44"/>
    </row>
    <row r="5005" spans="47:47" ht="12" customHeight="1">
      <c r="AU5005" s="44"/>
    </row>
    <row r="5006" spans="47:47" ht="12" customHeight="1">
      <c r="AU5006" s="44"/>
    </row>
    <row r="5007" spans="47:47" ht="12" customHeight="1">
      <c r="AU5007" s="44"/>
    </row>
    <row r="5008" spans="47:47" ht="12" customHeight="1">
      <c r="AU5008" s="44"/>
    </row>
    <row r="5009" spans="47:47" ht="12" customHeight="1">
      <c r="AU5009" s="44"/>
    </row>
    <row r="5010" spans="47:47" ht="12" customHeight="1">
      <c r="AU5010" s="44"/>
    </row>
    <row r="5011" spans="47:47" ht="12" customHeight="1">
      <c r="AU5011" s="44"/>
    </row>
    <row r="5012" spans="47:47" ht="12" customHeight="1">
      <c r="AU5012" s="44"/>
    </row>
    <row r="5013" spans="47:47" ht="12" customHeight="1">
      <c r="AU5013" s="44"/>
    </row>
    <row r="5014" spans="47:47" ht="12" customHeight="1">
      <c r="AU5014" s="44"/>
    </row>
    <row r="5015" spans="47:47" ht="12" customHeight="1">
      <c r="AU5015" s="44"/>
    </row>
    <row r="5016" spans="47:47" ht="12" customHeight="1">
      <c r="AU5016" s="44"/>
    </row>
    <row r="5017" spans="47:47" ht="12" customHeight="1">
      <c r="AU5017" s="44"/>
    </row>
    <row r="5018" spans="47:47" ht="12" customHeight="1">
      <c r="AU5018" s="44"/>
    </row>
    <row r="5019" spans="47:47" ht="12" customHeight="1">
      <c r="AU5019" s="44"/>
    </row>
    <row r="5020" spans="47:47" ht="12" customHeight="1">
      <c r="AU5020" s="44"/>
    </row>
    <row r="5021" spans="47:47" ht="12" customHeight="1">
      <c r="AU5021" s="44"/>
    </row>
    <row r="5022" spans="47:47" ht="12" customHeight="1">
      <c r="AU5022" s="44"/>
    </row>
    <row r="5023" spans="47:47" ht="12" customHeight="1">
      <c r="AU5023" s="44"/>
    </row>
    <row r="5024" spans="47:47" ht="12" customHeight="1">
      <c r="AU5024" s="44"/>
    </row>
    <row r="5025" spans="47:47" ht="12" customHeight="1">
      <c r="AU5025" s="44"/>
    </row>
    <row r="5026" spans="47:47" ht="12" customHeight="1">
      <c r="AU5026" s="44"/>
    </row>
    <row r="5027" spans="47:47" ht="12" customHeight="1">
      <c r="AU5027" s="44"/>
    </row>
    <row r="5028" spans="47:47" ht="12" customHeight="1">
      <c r="AU5028" s="44"/>
    </row>
    <row r="5029" spans="47:47" ht="12" customHeight="1">
      <c r="AU5029" s="44"/>
    </row>
    <row r="5030" spans="47:47" ht="12" customHeight="1">
      <c r="AU5030" s="44"/>
    </row>
    <row r="5031" spans="47:47" ht="12" customHeight="1">
      <c r="AU5031" s="44"/>
    </row>
    <row r="5032" spans="47:47" ht="12" customHeight="1">
      <c r="AU5032" s="44"/>
    </row>
    <row r="5033" spans="47:47" ht="12" customHeight="1">
      <c r="AU5033" s="44"/>
    </row>
    <row r="5034" spans="47:47" ht="12" customHeight="1">
      <c r="AU5034" s="44"/>
    </row>
    <row r="5035" spans="47:47" ht="12" customHeight="1">
      <c r="AU5035" s="44"/>
    </row>
    <row r="5036" spans="47:47" ht="12" customHeight="1">
      <c r="AU5036" s="44"/>
    </row>
    <row r="5037" spans="47:47" ht="12" customHeight="1">
      <c r="AU5037" s="44"/>
    </row>
    <row r="5038" spans="47:47" ht="12" customHeight="1">
      <c r="AU5038" s="44"/>
    </row>
    <row r="5039" spans="47:47" ht="12" customHeight="1">
      <c r="AU5039" s="44"/>
    </row>
    <row r="5040" spans="47:47" ht="12" customHeight="1">
      <c r="AU5040" s="44"/>
    </row>
    <row r="5041" spans="47:47" ht="12" customHeight="1">
      <c r="AU5041" s="44"/>
    </row>
    <row r="5042" spans="47:47" ht="12" customHeight="1">
      <c r="AU5042" s="44"/>
    </row>
    <row r="5043" spans="47:47" ht="12" customHeight="1">
      <c r="AU5043" s="44"/>
    </row>
    <row r="5044" spans="47:47" ht="12" customHeight="1">
      <c r="AU5044" s="44"/>
    </row>
    <row r="5045" spans="47:47" ht="12" customHeight="1">
      <c r="AU5045" s="44"/>
    </row>
    <row r="5046" spans="47:47" ht="12" customHeight="1">
      <c r="AU5046" s="44"/>
    </row>
    <row r="5047" spans="47:47" ht="12" customHeight="1">
      <c r="AU5047" s="44"/>
    </row>
    <row r="5048" spans="47:47" ht="12" customHeight="1">
      <c r="AU5048" s="44"/>
    </row>
    <row r="5049" spans="47:47" ht="12" customHeight="1">
      <c r="AU5049" s="44"/>
    </row>
    <row r="5050" spans="47:47" ht="12" customHeight="1">
      <c r="AU5050" s="44"/>
    </row>
    <row r="5051" spans="47:47" ht="12" customHeight="1">
      <c r="AU5051" s="44"/>
    </row>
    <row r="5052" spans="47:47" ht="12" customHeight="1">
      <c r="AU5052" s="44"/>
    </row>
    <row r="5053" spans="47:47" ht="12" customHeight="1">
      <c r="AU5053" s="44"/>
    </row>
    <row r="5054" spans="47:47" ht="12" customHeight="1">
      <c r="AU5054" s="44"/>
    </row>
    <row r="5055" spans="47:47" ht="12" customHeight="1">
      <c r="AU5055" s="44"/>
    </row>
    <row r="5056" spans="47:47" ht="12" customHeight="1">
      <c r="AU5056" s="44"/>
    </row>
    <row r="5057" spans="47:47" ht="12" customHeight="1">
      <c r="AU5057" s="44"/>
    </row>
    <row r="5058" spans="47:47" ht="12" customHeight="1">
      <c r="AU5058" s="44"/>
    </row>
    <row r="5059" spans="47:47" ht="12" customHeight="1">
      <c r="AU5059" s="44"/>
    </row>
    <row r="5060" spans="47:47" ht="12" customHeight="1">
      <c r="AU5060" s="44"/>
    </row>
    <row r="5061" spans="47:47" ht="12" customHeight="1">
      <c r="AU5061" s="44"/>
    </row>
    <row r="5062" spans="47:47" ht="12" customHeight="1">
      <c r="AU5062" s="44"/>
    </row>
    <row r="5063" spans="47:47" ht="12" customHeight="1">
      <c r="AU5063" s="44"/>
    </row>
    <row r="5064" spans="47:47" ht="12" customHeight="1">
      <c r="AU5064" s="44"/>
    </row>
    <row r="5065" spans="47:47" ht="12" customHeight="1">
      <c r="AU5065" s="44"/>
    </row>
    <row r="5066" spans="47:47" ht="12" customHeight="1">
      <c r="AU5066" s="44"/>
    </row>
    <row r="5067" spans="47:47" ht="12" customHeight="1">
      <c r="AU5067" s="44"/>
    </row>
    <row r="5068" spans="47:47" ht="12" customHeight="1">
      <c r="AU5068" s="44"/>
    </row>
    <row r="5069" spans="47:47" ht="12" customHeight="1">
      <c r="AU5069" s="44"/>
    </row>
    <row r="5070" spans="47:47" ht="12" customHeight="1">
      <c r="AU5070" s="44"/>
    </row>
    <row r="5071" spans="47:47" ht="12" customHeight="1">
      <c r="AU5071" s="44"/>
    </row>
    <row r="5072" spans="47:47" ht="12" customHeight="1">
      <c r="AU5072" s="44"/>
    </row>
    <row r="5073" spans="47:47" ht="12" customHeight="1">
      <c r="AU5073" s="44"/>
    </row>
    <row r="5074" spans="47:47" ht="12" customHeight="1">
      <c r="AU5074" s="44"/>
    </row>
    <row r="5075" spans="47:47" ht="12" customHeight="1">
      <c r="AU5075" s="44"/>
    </row>
    <row r="5076" spans="47:47" ht="12" customHeight="1">
      <c r="AU5076" s="44"/>
    </row>
    <row r="5077" spans="47:47" ht="12" customHeight="1">
      <c r="AU5077" s="44"/>
    </row>
    <row r="5078" spans="47:47" ht="12" customHeight="1">
      <c r="AU5078" s="44"/>
    </row>
    <row r="5079" spans="47:47" ht="12" customHeight="1">
      <c r="AU5079" s="44"/>
    </row>
    <row r="5080" spans="47:47" ht="12" customHeight="1">
      <c r="AU5080" s="44"/>
    </row>
    <row r="5081" spans="47:47" ht="12" customHeight="1">
      <c r="AU5081" s="44"/>
    </row>
    <row r="5082" spans="47:47" ht="12" customHeight="1">
      <c r="AU5082" s="44"/>
    </row>
    <row r="5083" spans="47:47" ht="12" customHeight="1">
      <c r="AU5083" s="44"/>
    </row>
    <row r="5084" spans="47:47" ht="12" customHeight="1">
      <c r="AU5084" s="44"/>
    </row>
    <row r="5085" spans="47:47" ht="12" customHeight="1">
      <c r="AU5085" s="44"/>
    </row>
    <row r="5086" spans="47:47" ht="12" customHeight="1">
      <c r="AU5086" s="44"/>
    </row>
    <row r="5087" spans="47:47" ht="12" customHeight="1">
      <c r="AU5087" s="44"/>
    </row>
    <row r="5088" spans="47:47" ht="12" customHeight="1">
      <c r="AU5088" s="44"/>
    </row>
    <row r="5089" spans="47:47" ht="12" customHeight="1">
      <c r="AU5089" s="44"/>
    </row>
    <row r="5090" spans="47:47" ht="12" customHeight="1">
      <c r="AU5090" s="44"/>
    </row>
    <row r="5091" spans="47:47" ht="12" customHeight="1">
      <c r="AU5091" s="44"/>
    </row>
    <row r="5092" spans="47:47" ht="12" customHeight="1">
      <c r="AU5092" s="44"/>
    </row>
    <row r="5093" spans="47:47" ht="12" customHeight="1">
      <c r="AU5093" s="44"/>
    </row>
    <row r="5094" spans="47:47" ht="12" customHeight="1">
      <c r="AU5094" s="44"/>
    </row>
    <row r="5095" spans="47:47" ht="12" customHeight="1">
      <c r="AU5095" s="44"/>
    </row>
    <row r="5096" spans="47:47" ht="12" customHeight="1">
      <c r="AU5096" s="44"/>
    </row>
    <row r="5097" spans="47:47" ht="12" customHeight="1">
      <c r="AU5097" s="44"/>
    </row>
    <row r="5098" spans="47:47" ht="12" customHeight="1">
      <c r="AU5098" s="44"/>
    </row>
    <row r="5099" spans="47:47" ht="12" customHeight="1">
      <c r="AU5099" s="44"/>
    </row>
    <row r="5100" spans="47:47" ht="12" customHeight="1">
      <c r="AU5100" s="44"/>
    </row>
    <row r="5101" spans="47:47" ht="12" customHeight="1">
      <c r="AU5101" s="44"/>
    </row>
    <row r="5102" spans="47:47" ht="12" customHeight="1">
      <c r="AU5102" s="44"/>
    </row>
    <row r="5103" spans="47:47" ht="12" customHeight="1">
      <c r="AU5103" s="44"/>
    </row>
    <row r="5104" spans="47:47" ht="12" customHeight="1">
      <c r="AU5104" s="44"/>
    </row>
    <row r="5105" spans="47:47" ht="12" customHeight="1">
      <c r="AU5105" s="44"/>
    </row>
    <row r="5106" spans="47:47" ht="12" customHeight="1">
      <c r="AU5106" s="44"/>
    </row>
    <row r="5107" spans="47:47" ht="12" customHeight="1">
      <c r="AU5107" s="44"/>
    </row>
    <row r="5108" spans="47:47" ht="12" customHeight="1">
      <c r="AU5108" s="44"/>
    </row>
    <row r="5109" spans="47:47" ht="12" customHeight="1">
      <c r="AU5109" s="44"/>
    </row>
    <row r="5110" spans="47:47" ht="12" customHeight="1">
      <c r="AU5110" s="44"/>
    </row>
    <row r="5111" spans="47:47" ht="12" customHeight="1">
      <c r="AU5111" s="44"/>
    </row>
    <row r="5112" spans="47:47" ht="12" customHeight="1">
      <c r="AU5112" s="44"/>
    </row>
    <row r="5113" spans="47:47" ht="12" customHeight="1">
      <c r="AU5113" s="44"/>
    </row>
    <row r="5114" spans="47:47" ht="12" customHeight="1">
      <c r="AU5114" s="44"/>
    </row>
    <row r="5115" spans="47:47" ht="12" customHeight="1">
      <c r="AU5115" s="44"/>
    </row>
    <row r="5116" spans="47:47" ht="12" customHeight="1">
      <c r="AU5116" s="44"/>
    </row>
    <row r="5117" spans="47:47" ht="12" customHeight="1">
      <c r="AU5117" s="44"/>
    </row>
    <row r="5118" spans="47:47" ht="12" customHeight="1">
      <c r="AU5118" s="44"/>
    </row>
    <row r="5119" spans="47:47" ht="12" customHeight="1">
      <c r="AU5119" s="44"/>
    </row>
    <row r="5120" spans="47:47" ht="12" customHeight="1">
      <c r="AU5120" s="44"/>
    </row>
    <row r="5121" spans="47:47" ht="12" customHeight="1">
      <c r="AU5121" s="44"/>
    </row>
    <row r="5122" spans="47:47" ht="12" customHeight="1">
      <c r="AU5122" s="44"/>
    </row>
    <row r="5123" spans="47:47" ht="12" customHeight="1">
      <c r="AU5123" s="44"/>
    </row>
    <row r="5124" spans="47:47" ht="12" customHeight="1">
      <c r="AU5124" s="44"/>
    </row>
    <row r="5125" spans="47:47" ht="12" customHeight="1">
      <c r="AU5125" s="44"/>
    </row>
    <row r="5126" spans="47:47" ht="12" customHeight="1">
      <c r="AU5126" s="44"/>
    </row>
    <row r="5127" spans="47:47" ht="12" customHeight="1">
      <c r="AU5127" s="44"/>
    </row>
    <row r="5128" spans="47:47" ht="12" customHeight="1">
      <c r="AU5128" s="44"/>
    </row>
    <row r="5129" spans="47:47" ht="12" customHeight="1">
      <c r="AU5129" s="44"/>
    </row>
    <row r="5130" spans="47:47" ht="12" customHeight="1">
      <c r="AU5130" s="44"/>
    </row>
    <row r="5131" spans="47:47" ht="12" customHeight="1">
      <c r="AU5131" s="44"/>
    </row>
    <row r="5132" spans="47:47" ht="12" customHeight="1">
      <c r="AU5132" s="44"/>
    </row>
    <row r="5133" spans="47:47" ht="12" customHeight="1">
      <c r="AU5133" s="44"/>
    </row>
    <row r="5134" spans="47:47" ht="12" customHeight="1">
      <c r="AU5134" s="44"/>
    </row>
    <row r="5135" spans="47:47" ht="12" customHeight="1">
      <c r="AU5135" s="44"/>
    </row>
    <row r="5136" spans="47:47" ht="12" customHeight="1">
      <c r="AU5136" s="44"/>
    </row>
    <row r="5137" spans="47:47" ht="12" customHeight="1">
      <c r="AU5137" s="44"/>
    </row>
    <row r="5138" spans="47:47" ht="12" customHeight="1">
      <c r="AU5138" s="44"/>
    </row>
    <row r="5139" spans="47:47" ht="12" customHeight="1">
      <c r="AU5139" s="44"/>
    </row>
    <row r="5140" spans="47:47" ht="12" customHeight="1">
      <c r="AU5140" s="44"/>
    </row>
    <row r="5141" spans="47:47" ht="12" customHeight="1">
      <c r="AU5141" s="44"/>
    </row>
    <row r="5142" spans="47:47" ht="12" customHeight="1">
      <c r="AU5142" s="44"/>
    </row>
    <row r="5143" spans="47:47" ht="12" customHeight="1">
      <c r="AU5143" s="44"/>
    </row>
    <row r="5144" spans="47:47" ht="12" customHeight="1">
      <c r="AU5144" s="44"/>
    </row>
    <row r="5145" spans="47:47" ht="12" customHeight="1">
      <c r="AU5145" s="44"/>
    </row>
    <row r="5146" spans="47:47" ht="12" customHeight="1">
      <c r="AU5146" s="44"/>
    </row>
    <row r="5147" spans="47:47" ht="12" customHeight="1">
      <c r="AU5147" s="44"/>
    </row>
    <row r="5148" spans="47:47" ht="12" customHeight="1">
      <c r="AU5148" s="44"/>
    </row>
    <row r="5149" spans="47:47" ht="12" customHeight="1">
      <c r="AU5149" s="44"/>
    </row>
    <row r="5150" spans="47:47" ht="12" customHeight="1">
      <c r="AU5150" s="44"/>
    </row>
    <row r="5151" spans="47:47" ht="12" customHeight="1">
      <c r="AU5151" s="44"/>
    </row>
    <row r="5152" spans="47:47" ht="12" customHeight="1">
      <c r="AU5152" s="44"/>
    </row>
    <row r="5153" spans="47:47" ht="12" customHeight="1">
      <c r="AU5153" s="44"/>
    </row>
    <row r="5154" spans="47:47" ht="12" customHeight="1">
      <c r="AU5154" s="44"/>
    </row>
    <row r="5155" spans="47:47" ht="12" customHeight="1">
      <c r="AU5155" s="44"/>
    </row>
    <row r="5156" spans="47:47" ht="12" customHeight="1">
      <c r="AU5156" s="44"/>
    </row>
    <row r="5157" spans="47:47" ht="12" customHeight="1">
      <c r="AU5157" s="44"/>
    </row>
    <row r="5158" spans="47:47" ht="12" customHeight="1">
      <c r="AU5158" s="44"/>
    </row>
    <row r="5159" spans="47:47" ht="12" customHeight="1">
      <c r="AU5159" s="44"/>
    </row>
    <row r="5160" spans="47:47" ht="12" customHeight="1">
      <c r="AU5160" s="44"/>
    </row>
    <row r="5161" spans="47:47" ht="12" customHeight="1">
      <c r="AU5161" s="44"/>
    </row>
    <row r="5162" spans="47:47" ht="12" customHeight="1">
      <c r="AU5162" s="44"/>
    </row>
    <row r="5163" spans="47:47" ht="12" customHeight="1">
      <c r="AU5163" s="44"/>
    </row>
    <row r="5164" spans="47:47" ht="12" customHeight="1">
      <c r="AU5164" s="44"/>
    </row>
    <row r="5165" spans="47:47" ht="12" customHeight="1">
      <c r="AU5165" s="44"/>
    </row>
    <row r="5166" spans="47:47" ht="12" customHeight="1">
      <c r="AU5166" s="44"/>
    </row>
    <row r="5167" spans="47:47" ht="12" customHeight="1">
      <c r="AU5167" s="44"/>
    </row>
    <row r="5168" spans="47:47" ht="12" customHeight="1">
      <c r="AU5168" s="44"/>
    </row>
    <row r="5169" spans="47:47" ht="12" customHeight="1">
      <c r="AU5169" s="44"/>
    </row>
    <row r="5170" spans="47:47" ht="12" customHeight="1">
      <c r="AU5170" s="44"/>
    </row>
    <row r="5171" spans="47:47" ht="12" customHeight="1">
      <c r="AU5171" s="44"/>
    </row>
    <row r="5172" spans="47:47" ht="12" customHeight="1">
      <c r="AU5172" s="44"/>
    </row>
    <row r="5173" spans="47:47" ht="12" customHeight="1">
      <c r="AU5173" s="44"/>
    </row>
    <row r="5174" spans="47:47" ht="12" customHeight="1">
      <c r="AU5174" s="44"/>
    </row>
    <row r="5175" spans="47:47" ht="12" customHeight="1">
      <c r="AU5175" s="44"/>
    </row>
    <row r="5176" spans="47:47" ht="12" customHeight="1">
      <c r="AU5176" s="44"/>
    </row>
    <row r="5177" spans="47:47" ht="12" customHeight="1">
      <c r="AU5177" s="44"/>
    </row>
    <row r="5178" spans="47:47" ht="12" customHeight="1">
      <c r="AU5178" s="44"/>
    </row>
    <row r="5179" spans="47:47" ht="12" customHeight="1">
      <c r="AU5179" s="44"/>
    </row>
    <row r="5180" spans="47:47" ht="12" customHeight="1">
      <c r="AU5180" s="44"/>
    </row>
    <row r="5181" spans="47:47" ht="12" customHeight="1">
      <c r="AU5181" s="44"/>
    </row>
    <row r="5182" spans="47:47" ht="12" customHeight="1">
      <c r="AU5182" s="44"/>
    </row>
    <row r="5183" spans="47:47" ht="12" customHeight="1">
      <c r="AU5183" s="44"/>
    </row>
    <row r="5184" spans="47:47" ht="12" customHeight="1">
      <c r="AU5184" s="44"/>
    </row>
    <row r="5185" spans="47:47" ht="12" customHeight="1">
      <c r="AU5185" s="44"/>
    </row>
    <row r="5186" spans="47:47" ht="12" customHeight="1">
      <c r="AU5186" s="44"/>
    </row>
    <row r="5187" spans="47:47" ht="12" customHeight="1">
      <c r="AU5187" s="44"/>
    </row>
    <row r="5188" spans="47:47" ht="12" customHeight="1">
      <c r="AU5188" s="44"/>
    </row>
    <row r="5189" spans="47:47" ht="12" customHeight="1">
      <c r="AU5189" s="44"/>
    </row>
    <row r="5190" spans="47:47" ht="12" customHeight="1">
      <c r="AU5190" s="44"/>
    </row>
    <row r="5191" spans="47:47" ht="12" customHeight="1">
      <c r="AU5191" s="44"/>
    </row>
    <row r="5192" spans="47:47" ht="12" customHeight="1">
      <c r="AU5192" s="44"/>
    </row>
    <row r="5193" spans="47:47" ht="12" customHeight="1">
      <c r="AU5193" s="44"/>
    </row>
    <row r="5194" spans="47:47" ht="12" customHeight="1">
      <c r="AU5194" s="44"/>
    </row>
    <row r="5195" spans="47:47" ht="12" customHeight="1">
      <c r="AU5195" s="44"/>
    </row>
    <row r="5196" spans="47:47" ht="12" customHeight="1">
      <c r="AU5196" s="44"/>
    </row>
    <row r="5197" spans="47:47" ht="12" customHeight="1">
      <c r="AU5197" s="44"/>
    </row>
    <row r="5198" spans="47:47" ht="12" customHeight="1">
      <c r="AU5198" s="44"/>
    </row>
    <row r="5199" spans="47:47" ht="12" customHeight="1">
      <c r="AU5199" s="44"/>
    </row>
    <row r="5200" spans="47:47" ht="12" customHeight="1">
      <c r="AU5200" s="44"/>
    </row>
    <row r="5201" spans="47:47" ht="12" customHeight="1">
      <c r="AU5201" s="44"/>
    </row>
    <row r="5202" spans="47:47" ht="12" customHeight="1">
      <c r="AU5202" s="44"/>
    </row>
    <row r="5203" spans="47:47" ht="12" customHeight="1">
      <c r="AU5203" s="44"/>
    </row>
    <row r="5204" spans="47:47" ht="12" customHeight="1">
      <c r="AU5204" s="44"/>
    </row>
    <row r="5205" spans="47:47" ht="12" customHeight="1">
      <c r="AU5205" s="44"/>
    </row>
    <row r="5206" spans="47:47" ht="12" customHeight="1">
      <c r="AU5206" s="44"/>
    </row>
    <row r="5207" spans="47:47" ht="12" customHeight="1">
      <c r="AU5207" s="44"/>
    </row>
    <row r="5208" spans="47:47" ht="12" customHeight="1">
      <c r="AU5208" s="44"/>
    </row>
    <row r="5209" spans="47:47" ht="12" customHeight="1">
      <c r="AU5209" s="44"/>
    </row>
    <row r="5210" spans="47:47" ht="12" customHeight="1">
      <c r="AU5210" s="44"/>
    </row>
    <row r="5211" spans="47:47" ht="12" customHeight="1">
      <c r="AU5211" s="44"/>
    </row>
    <row r="5212" spans="47:47" ht="12" customHeight="1">
      <c r="AU5212" s="44"/>
    </row>
    <row r="5213" spans="47:47" ht="12" customHeight="1">
      <c r="AU5213" s="44"/>
    </row>
    <row r="5214" spans="47:47" ht="12" customHeight="1">
      <c r="AU5214" s="44"/>
    </row>
    <row r="5215" spans="47:47" ht="12" customHeight="1">
      <c r="AU5215" s="44"/>
    </row>
    <row r="5216" spans="47:47" ht="12" customHeight="1">
      <c r="AU5216" s="44"/>
    </row>
    <row r="5217" spans="47:47" ht="12" customHeight="1">
      <c r="AU5217" s="44"/>
    </row>
    <row r="5218" spans="47:47" ht="12" customHeight="1">
      <c r="AU5218" s="44"/>
    </row>
    <row r="5219" spans="47:47" ht="12" customHeight="1">
      <c r="AU5219" s="44"/>
    </row>
    <row r="5220" spans="47:47" ht="12" customHeight="1">
      <c r="AU5220" s="44"/>
    </row>
    <row r="5221" spans="47:47" ht="12" customHeight="1">
      <c r="AU5221" s="44"/>
    </row>
    <row r="5222" spans="47:47" ht="12" customHeight="1">
      <c r="AU5222" s="44"/>
    </row>
    <row r="5223" spans="47:47" ht="12" customHeight="1">
      <c r="AU5223" s="44"/>
    </row>
    <row r="5224" spans="47:47" ht="12" customHeight="1">
      <c r="AU5224" s="44"/>
    </row>
    <row r="5225" spans="47:47" ht="12" customHeight="1">
      <c r="AU5225" s="44"/>
    </row>
    <row r="5226" spans="47:47" ht="12" customHeight="1">
      <c r="AU5226" s="44"/>
    </row>
    <row r="5227" spans="47:47" ht="12" customHeight="1">
      <c r="AU5227" s="44"/>
    </row>
    <row r="5228" spans="47:47" ht="12" customHeight="1">
      <c r="AU5228" s="44"/>
    </row>
    <row r="5229" spans="47:47" ht="12" customHeight="1">
      <c r="AU5229" s="44"/>
    </row>
    <row r="5230" spans="47:47" ht="12" customHeight="1">
      <c r="AU5230" s="44"/>
    </row>
    <row r="5231" spans="47:47" ht="12" customHeight="1">
      <c r="AU5231" s="44"/>
    </row>
    <row r="5232" spans="47:47" ht="12" customHeight="1">
      <c r="AU5232" s="44"/>
    </row>
    <row r="5233" spans="47:47" ht="12" customHeight="1">
      <c r="AU5233" s="44"/>
    </row>
    <row r="5234" spans="47:47" ht="12" customHeight="1">
      <c r="AU5234" s="44"/>
    </row>
    <row r="5235" spans="47:47" ht="12" customHeight="1">
      <c r="AU5235" s="44"/>
    </row>
    <row r="5236" spans="47:47" ht="12" customHeight="1">
      <c r="AU5236" s="44"/>
    </row>
    <row r="5237" spans="47:47" ht="12" customHeight="1">
      <c r="AU5237" s="44"/>
    </row>
    <row r="5238" spans="47:47" ht="12" customHeight="1">
      <c r="AU5238" s="44"/>
    </row>
    <row r="5239" spans="47:47" ht="12" customHeight="1">
      <c r="AU5239" s="44"/>
    </row>
    <row r="5240" spans="47:47" ht="12" customHeight="1">
      <c r="AU5240" s="44"/>
    </row>
    <row r="5241" spans="47:47" ht="12" customHeight="1">
      <c r="AU5241" s="44"/>
    </row>
    <row r="5242" spans="47:47" ht="12" customHeight="1">
      <c r="AU5242" s="44"/>
    </row>
    <row r="5243" spans="47:47" ht="12" customHeight="1">
      <c r="AU5243" s="44"/>
    </row>
    <row r="5244" spans="47:47" ht="12" customHeight="1">
      <c r="AU5244" s="44"/>
    </row>
    <row r="5245" spans="47:47" ht="12" customHeight="1">
      <c r="AU5245" s="44"/>
    </row>
    <row r="5246" spans="47:47" ht="12" customHeight="1">
      <c r="AU5246" s="44"/>
    </row>
    <row r="5247" spans="47:47" ht="12" customHeight="1">
      <c r="AU5247" s="44"/>
    </row>
    <row r="5248" spans="47:47" ht="12" customHeight="1">
      <c r="AU5248" s="44"/>
    </row>
    <row r="5249" spans="47:47" ht="12" customHeight="1">
      <c r="AU5249" s="44"/>
    </row>
    <row r="5250" spans="47:47" ht="12" customHeight="1">
      <c r="AU5250" s="44"/>
    </row>
    <row r="5251" spans="47:47" ht="12" customHeight="1">
      <c r="AU5251" s="44"/>
    </row>
    <row r="5252" spans="47:47" ht="12" customHeight="1">
      <c r="AU5252" s="44"/>
    </row>
    <row r="5253" spans="47:47" ht="12" customHeight="1">
      <c r="AU5253" s="44"/>
    </row>
    <row r="5254" spans="47:47" ht="12" customHeight="1">
      <c r="AU5254" s="44"/>
    </row>
    <row r="5255" spans="47:47" ht="12" customHeight="1">
      <c r="AU5255" s="44"/>
    </row>
    <row r="5256" spans="47:47" ht="12" customHeight="1">
      <c r="AU5256" s="44"/>
    </row>
    <row r="5257" spans="47:47" ht="12" customHeight="1">
      <c r="AU5257" s="44"/>
    </row>
    <row r="5258" spans="47:47" ht="12" customHeight="1">
      <c r="AU5258" s="44"/>
    </row>
    <row r="5259" spans="47:47" ht="12" customHeight="1">
      <c r="AU5259" s="44"/>
    </row>
    <row r="5260" spans="47:47" ht="12" customHeight="1">
      <c r="AU5260" s="44"/>
    </row>
    <row r="5261" spans="47:47" ht="12" customHeight="1">
      <c r="AU5261" s="44"/>
    </row>
    <row r="5262" spans="47:47" ht="12" customHeight="1">
      <c r="AU5262" s="44"/>
    </row>
    <row r="5263" spans="47:47" ht="12" customHeight="1">
      <c r="AU5263" s="44"/>
    </row>
    <row r="5264" spans="47:47" ht="12" customHeight="1">
      <c r="AU5264" s="44"/>
    </row>
    <row r="5265" spans="47:47" ht="12" customHeight="1">
      <c r="AU5265" s="44"/>
    </row>
    <row r="5266" spans="47:47" ht="12" customHeight="1">
      <c r="AU5266" s="44"/>
    </row>
    <row r="5267" spans="47:47" ht="12" customHeight="1">
      <c r="AU5267" s="44"/>
    </row>
    <row r="5268" spans="47:47" ht="12" customHeight="1">
      <c r="AU5268" s="44"/>
    </row>
    <row r="5269" spans="47:47" ht="12" customHeight="1">
      <c r="AU5269" s="44"/>
    </row>
    <row r="5270" spans="47:47" ht="12" customHeight="1">
      <c r="AU5270" s="44"/>
    </row>
    <row r="5271" spans="47:47" ht="12" customHeight="1">
      <c r="AU5271" s="44"/>
    </row>
    <row r="5272" spans="47:47" ht="12" customHeight="1">
      <c r="AU5272" s="44"/>
    </row>
    <row r="5273" spans="47:47" ht="12" customHeight="1">
      <c r="AU5273" s="44"/>
    </row>
    <row r="5274" spans="47:47" ht="12" customHeight="1">
      <c r="AU5274" s="44"/>
    </row>
    <row r="5275" spans="47:47" ht="12" customHeight="1">
      <c r="AU5275" s="44"/>
    </row>
    <row r="5276" spans="47:47" ht="12" customHeight="1">
      <c r="AU5276" s="44"/>
    </row>
    <row r="5277" spans="47:47" ht="12" customHeight="1">
      <c r="AU5277" s="44"/>
    </row>
    <row r="5278" spans="47:47" ht="12" customHeight="1">
      <c r="AU5278" s="44"/>
    </row>
    <row r="5279" spans="47:47" ht="12" customHeight="1">
      <c r="AU5279" s="44"/>
    </row>
    <row r="5280" spans="47:47" ht="12" customHeight="1">
      <c r="AU5280" s="44"/>
    </row>
    <row r="5281" spans="47:47" ht="12" customHeight="1">
      <c r="AU5281" s="44"/>
    </row>
    <row r="5282" spans="47:47" ht="12" customHeight="1">
      <c r="AU5282" s="44"/>
    </row>
    <row r="5283" spans="47:47" ht="12" customHeight="1">
      <c r="AU5283" s="44"/>
    </row>
    <row r="5284" spans="47:47" ht="12" customHeight="1">
      <c r="AU5284" s="44"/>
    </row>
    <row r="5285" spans="47:47" ht="12" customHeight="1">
      <c r="AU5285" s="44"/>
    </row>
    <row r="5286" spans="47:47" ht="12" customHeight="1">
      <c r="AU5286" s="44"/>
    </row>
    <row r="5287" spans="47:47" ht="12" customHeight="1">
      <c r="AU5287" s="44"/>
    </row>
    <row r="5288" spans="47:47" ht="12" customHeight="1">
      <c r="AU5288" s="44"/>
    </row>
    <row r="5289" spans="47:47" ht="12" customHeight="1">
      <c r="AU5289" s="44"/>
    </row>
    <row r="5290" spans="47:47" ht="12" customHeight="1">
      <c r="AU5290" s="44"/>
    </row>
    <row r="5291" spans="47:47" ht="12" customHeight="1">
      <c r="AU5291" s="44"/>
    </row>
    <row r="5292" spans="47:47" ht="12" customHeight="1">
      <c r="AU5292" s="44"/>
    </row>
    <row r="5293" spans="47:47" ht="12" customHeight="1">
      <c r="AU5293" s="44"/>
    </row>
    <row r="5294" spans="47:47" ht="12" customHeight="1">
      <c r="AU5294" s="44"/>
    </row>
    <row r="5295" spans="47:47" ht="12" customHeight="1">
      <c r="AU5295" s="44"/>
    </row>
    <row r="5296" spans="47:47" ht="12" customHeight="1">
      <c r="AU5296" s="44"/>
    </row>
    <row r="5297" spans="47:47" ht="12" customHeight="1">
      <c r="AU5297" s="44"/>
    </row>
    <row r="5298" spans="47:47" ht="12" customHeight="1">
      <c r="AU5298" s="44"/>
    </row>
    <row r="5299" spans="47:47" ht="12" customHeight="1">
      <c r="AU5299" s="44"/>
    </row>
    <row r="5300" spans="47:47" ht="12" customHeight="1">
      <c r="AU5300" s="44"/>
    </row>
    <row r="5301" spans="47:47" ht="12" customHeight="1">
      <c r="AU5301" s="44"/>
    </row>
    <row r="5302" spans="47:47" ht="12" customHeight="1">
      <c r="AU5302" s="44"/>
    </row>
    <row r="5303" spans="47:47" ht="12" customHeight="1">
      <c r="AU5303" s="44"/>
    </row>
    <row r="5304" spans="47:47" ht="12" customHeight="1">
      <c r="AU5304" s="44"/>
    </row>
    <row r="5305" spans="47:47" ht="12" customHeight="1">
      <c r="AU5305" s="44"/>
    </row>
    <row r="5306" spans="47:47" ht="12" customHeight="1">
      <c r="AU5306" s="44"/>
    </row>
    <row r="5307" spans="47:47" ht="12" customHeight="1">
      <c r="AU5307" s="44"/>
    </row>
    <row r="5308" spans="47:47" ht="12" customHeight="1">
      <c r="AU5308" s="44"/>
    </row>
    <row r="5309" spans="47:47" ht="12" customHeight="1">
      <c r="AU5309" s="44"/>
    </row>
    <row r="5310" spans="47:47" ht="12" customHeight="1">
      <c r="AU5310" s="44"/>
    </row>
    <row r="5311" spans="47:47" ht="12" customHeight="1">
      <c r="AU5311" s="44"/>
    </row>
    <row r="5312" spans="47:47" ht="12" customHeight="1">
      <c r="AU5312" s="44"/>
    </row>
    <row r="5313" spans="47:47" ht="12" customHeight="1">
      <c r="AU5313" s="44"/>
    </row>
    <row r="5314" spans="47:47" ht="12" customHeight="1">
      <c r="AU5314" s="44"/>
    </row>
    <row r="5315" spans="47:47" ht="12" customHeight="1">
      <c r="AU5315" s="44"/>
    </row>
    <row r="5316" spans="47:47" ht="12" customHeight="1">
      <c r="AU5316" s="44"/>
    </row>
    <row r="5317" spans="47:47" ht="12" customHeight="1">
      <c r="AU5317" s="44"/>
    </row>
    <row r="5318" spans="47:47" ht="12" customHeight="1">
      <c r="AU5318" s="44"/>
    </row>
    <row r="5319" spans="47:47" ht="12" customHeight="1">
      <c r="AU5319" s="44"/>
    </row>
    <row r="5320" spans="47:47" ht="12" customHeight="1">
      <c r="AU5320" s="44"/>
    </row>
    <row r="5321" spans="47:47" ht="12" customHeight="1">
      <c r="AU5321" s="44"/>
    </row>
    <row r="5322" spans="47:47" ht="12" customHeight="1">
      <c r="AU5322" s="44"/>
    </row>
    <row r="5323" spans="47:47" ht="12" customHeight="1">
      <c r="AU5323" s="44"/>
    </row>
    <row r="5324" spans="47:47" ht="12" customHeight="1">
      <c r="AU5324" s="44"/>
    </row>
    <row r="5325" spans="47:47" ht="12" customHeight="1">
      <c r="AU5325" s="44"/>
    </row>
    <row r="5326" spans="47:47" ht="12" customHeight="1">
      <c r="AU5326" s="44"/>
    </row>
    <row r="5327" spans="47:47" ht="12" customHeight="1">
      <c r="AU5327" s="44"/>
    </row>
    <row r="5328" spans="47:47" ht="12" customHeight="1">
      <c r="AU5328" s="44"/>
    </row>
    <row r="5329" spans="47:47" ht="12" customHeight="1">
      <c r="AU5329" s="44"/>
    </row>
    <row r="5330" spans="47:47" ht="12" customHeight="1">
      <c r="AU5330" s="44"/>
    </row>
    <row r="5331" spans="47:47" ht="12" customHeight="1">
      <c r="AU5331" s="44"/>
    </row>
    <row r="5332" spans="47:47" ht="12" customHeight="1">
      <c r="AU5332" s="44"/>
    </row>
    <row r="5333" spans="47:47" ht="12" customHeight="1">
      <c r="AU5333" s="44"/>
    </row>
    <row r="5334" spans="47:47" ht="12" customHeight="1">
      <c r="AU5334" s="44"/>
    </row>
    <row r="5335" spans="47:47" ht="12" customHeight="1">
      <c r="AU5335" s="44"/>
    </row>
    <row r="5336" spans="47:47" ht="12" customHeight="1">
      <c r="AU5336" s="44"/>
    </row>
    <row r="5337" spans="47:47" ht="12" customHeight="1">
      <c r="AU5337" s="44"/>
    </row>
    <row r="5338" spans="47:47" ht="12" customHeight="1">
      <c r="AU5338" s="44"/>
    </row>
    <row r="5339" spans="47:47" ht="12" customHeight="1">
      <c r="AU5339" s="44"/>
    </row>
    <row r="5340" spans="47:47" ht="12" customHeight="1">
      <c r="AU5340" s="44"/>
    </row>
    <row r="5341" spans="47:47" ht="12" customHeight="1">
      <c r="AU5341" s="44"/>
    </row>
    <row r="5342" spans="47:47" ht="12" customHeight="1">
      <c r="AU5342" s="44"/>
    </row>
    <row r="5343" spans="47:47" ht="12" customHeight="1">
      <c r="AU5343" s="44"/>
    </row>
    <row r="5344" spans="47:47" ht="12" customHeight="1">
      <c r="AU5344" s="44"/>
    </row>
    <row r="5345" spans="47:47" ht="12" customHeight="1">
      <c r="AU5345" s="44"/>
    </row>
    <row r="5346" spans="47:47" ht="12" customHeight="1">
      <c r="AU5346" s="44"/>
    </row>
    <row r="5347" spans="47:47" ht="12" customHeight="1">
      <c r="AU5347" s="44"/>
    </row>
    <row r="5348" spans="47:47" ht="12" customHeight="1">
      <c r="AU5348" s="44"/>
    </row>
    <row r="5349" spans="47:47" ht="12" customHeight="1">
      <c r="AU5349" s="44"/>
    </row>
    <row r="5350" spans="47:47" ht="12" customHeight="1">
      <c r="AU5350" s="44"/>
    </row>
    <row r="5351" spans="47:47" ht="12" customHeight="1">
      <c r="AU5351" s="44"/>
    </row>
    <row r="5352" spans="47:47" ht="12" customHeight="1">
      <c r="AU5352" s="44"/>
    </row>
    <row r="5353" spans="47:47" ht="12" customHeight="1">
      <c r="AU5353" s="44"/>
    </row>
    <row r="5354" spans="47:47" ht="12" customHeight="1">
      <c r="AU5354" s="44"/>
    </row>
    <row r="5355" spans="47:47" ht="12" customHeight="1">
      <c r="AU5355" s="44"/>
    </row>
    <row r="5356" spans="47:47" ht="12" customHeight="1">
      <c r="AU5356" s="44"/>
    </row>
    <row r="5357" spans="47:47" ht="12" customHeight="1">
      <c r="AU5357" s="44"/>
    </row>
    <row r="5358" spans="47:47" ht="12" customHeight="1">
      <c r="AU5358" s="44"/>
    </row>
    <row r="5359" spans="47:47" ht="12" customHeight="1">
      <c r="AU5359" s="44"/>
    </row>
    <row r="5360" spans="47:47" ht="12" customHeight="1">
      <c r="AU5360" s="44"/>
    </row>
    <row r="5361" spans="47:47" ht="12" customHeight="1">
      <c r="AU5361" s="44"/>
    </row>
    <row r="5362" spans="47:47" ht="12" customHeight="1">
      <c r="AU5362" s="44"/>
    </row>
    <row r="5363" spans="47:47" ht="12" customHeight="1">
      <c r="AU5363" s="44"/>
    </row>
    <row r="5364" spans="47:47" ht="12" customHeight="1">
      <c r="AU5364" s="44"/>
    </row>
    <row r="5365" spans="47:47" ht="12" customHeight="1">
      <c r="AU5365" s="44"/>
    </row>
    <row r="5366" spans="47:47" ht="12" customHeight="1">
      <c r="AU5366" s="44"/>
    </row>
    <row r="5367" spans="47:47" ht="12" customHeight="1">
      <c r="AU5367" s="44"/>
    </row>
    <row r="5368" spans="47:47" ht="12" customHeight="1">
      <c r="AU5368" s="44"/>
    </row>
    <row r="5369" spans="47:47" ht="12" customHeight="1">
      <c r="AU5369" s="44"/>
    </row>
    <row r="5370" spans="47:47" ht="12" customHeight="1">
      <c r="AU5370" s="44"/>
    </row>
    <row r="5371" spans="47:47" ht="12" customHeight="1">
      <c r="AU5371" s="44"/>
    </row>
    <row r="5372" spans="47:47" ht="12" customHeight="1">
      <c r="AU5372" s="44"/>
    </row>
    <row r="5373" spans="47:47" ht="12" customHeight="1">
      <c r="AU5373" s="44"/>
    </row>
    <row r="5374" spans="47:47" ht="12" customHeight="1">
      <c r="AU5374" s="44"/>
    </row>
    <row r="5375" spans="47:47" ht="12" customHeight="1">
      <c r="AU5375" s="44"/>
    </row>
    <row r="5376" spans="47:47" ht="12" customHeight="1">
      <c r="AU5376" s="44"/>
    </row>
    <row r="5377" spans="47:47" ht="12" customHeight="1">
      <c r="AU5377" s="44"/>
    </row>
    <row r="5378" spans="47:47" ht="12" customHeight="1">
      <c r="AU5378" s="44"/>
    </row>
    <row r="5379" spans="47:47" ht="12" customHeight="1">
      <c r="AU5379" s="44"/>
    </row>
    <row r="5380" spans="47:47" ht="12" customHeight="1">
      <c r="AU5380" s="44"/>
    </row>
    <row r="5381" spans="47:47" ht="12" customHeight="1">
      <c r="AU5381" s="44"/>
    </row>
    <row r="5382" spans="47:47" ht="12" customHeight="1">
      <c r="AU5382" s="44"/>
    </row>
    <row r="5383" spans="47:47" ht="12" customHeight="1">
      <c r="AU5383" s="44"/>
    </row>
    <row r="5384" spans="47:47" ht="12" customHeight="1">
      <c r="AU5384" s="44"/>
    </row>
    <row r="5385" spans="47:47" ht="12" customHeight="1">
      <c r="AU5385" s="44"/>
    </row>
    <row r="5386" spans="47:47" ht="12" customHeight="1">
      <c r="AU5386" s="44"/>
    </row>
    <row r="5387" spans="47:47" ht="12" customHeight="1">
      <c r="AU5387" s="44"/>
    </row>
    <row r="5388" spans="47:47" ht="12" customHeight="1">
      <c r="AU5388" s="44"/>
    </row>
    <row r="5389" spans="47:47" ht="12" customHeight="1">
      <c r="AU5389" s="44"/>
    </row>
    <row r="5390" spans="47:47" ht="12" customHeight="1">
      <c r="AU5390" s="44"/>
    </row>
    <row r="5391" spans="47:47" ht="12" customHeight="1">
      <c r="AU5391" s="44"/>
    </row>
    <row r="5392" spans="47:47" ht="12" customHeight="1">
      <c r="AU5392" s="44"/>
    </row>
    <row r="5393" spans="47:47" ht="12" customHeight="1">
      <c r="AU5393" s="44"/>
    </row>
    <row r="5394" spans="47:47" ht="12" customHeight="1">
      <c r="AU5394" s="44"/>
    </row>
    <row r="5395" spans="47:47" ht="12" customHeight="1">
      <c r="AU5395" s="44"/>
    </row>
    <row r="5396" spans="47:47" ht="12" customHeight="1">
      <c r="AU5396" s="44"/>
    </row>
    <row r="5397" spans="47:47" ht="12" customHeight="1">
      <c r="AU5397" s="44"/>
    </row>
    <row r="5398" spans="47:47" ht="12" customHeight="1">
      <c r="AU5398" s="44"/>
    </row>
    <row r="5399" spans="47:47" ht="12" customHeight="1">
      <c r="AU5399" s="44"/>
    </row>
    <row r="5400" spans="47:47" ht="12" customHeight="1">
      <c r="AU5400" s="44"/>
    </row>
    <row r="5401" spans="47:47" ht="12" customHeight="1">
      <c r="AU5401" s="44"/>
    </row>
    <row r="5402" spans="47:47" ht="12" customHeight="1">
      <c r="AU5402" s="44"/>
    </row>
    <row r="5403" spans="47:47" ht="12" customHeight="1">
      <c r="AU5403" s="44"/>
    </row>
    <row r="5404" spans="47:47" ht="12" customHeight="1">
      <c r="AU5404" s="44"/>
    </row>
    <row r="5405" spans="47:47" ht="12" customHeight="1">
      <c r="AU5405" s="44"/>
    </row>
    <row r="5406" spans="47:47" ht="12" customHeight="1">
      <c r="AU5406" s="44"/>
    </row>
    <row r="5407" spans="47:47" ht="12" customHeight="1">
      <c r="AU5407" s="44"/>
    </row>
    <row r="5408" spans="47:47" ht="12" customHeight="1">
      <c r="AU5408" s="44"/>
    </row>
    <row r="5409" spans="47:47" ht="12" customHeight="1">
      <c r="AU5409" s="44"/>
    </row>
    <row r="5410" spans="47:47" ht="12" customHeight="1">
      <c r="AU5410" s="44"/>
    </row>
    <row r="5411" spans="47:47" ht="12" customHeight="1">
      <c r="AU5411" s="44"/>
    </row>
    <row r="5412" spans="47:47" ht="12" customHeight="1">
      <c r="AU5412" s="44"/>
    </row>
    <row r="5413" spans="47:47" ht="12" customHeight="1">
      <c r="AU5413" s="44"/>
    </row>
    <row r="5414" spans="47:47" ht="12" customHeight="1">
      <c r="AU5414" s="44"/>
    </row>
    <row r="5415" spans="47:47" ht="12" customHeight="1">
      <c r="AU5415" s="44"/>
    </row>
    <row r="5416" spans="47:47" ht="12" customHeight="1">
      <c r="AU5416" s="44"/>
    </row>
    <row r="5417" spans="47:47" ht="12" customHeight="1">
      <c r="AU5417" s="44"/>
    </row>
    <row r="5418" spans="47:47" ht="12" customHeight="1">
      <c r="AU5418" s="44"/>
    </row>
    <row r="5419" spans="47:47" ht="12" customHeight="1">
      <c r="AU5419" s="44"/>
    </row>
    <row r="5420" spans="47:47" ht="12" customHeight="1">
      <c r="AU5420" s="44"/>
    </row>
    <row r="5421" spans="47:47" ht="12" customHeight="1">
      <c r="AU5421" s="44"/>
    </row>
    <row r="5422" spans="47:47" ht="12" customHeight="1">
      <c r="AU5422" s="44"/>
    </row>
    <row r="5423" spans="47:47" ht="12" customHeight="1">
      <c r="AU5423" s="44"/>
    </row>
    <row r="5424" spans="47:47" ht="12" customHeight="1">
      <c r="AU5424" s="44"/>
    </row>
    <row r="5425" spans="47:47" ht="12" customHeight="1">
      <c r="AU5425" s="44"/>
    </row>
    <row r="5426" spans="47:47" ht="12" customHeight="1">
      <c r="AU5426" s="44"/>
    </row>
    <row r="5427" spans="47:47" ht="12" customHeight="1">
      <c r="AU5427" s="44"/>
    </row>
    <row r="5428" spans="47:47" ht="12" customHeight="1">
      <c r="AU5428" s="44"/>
    </row>
    <row r="5429" spans="47:47" ht="12" customHeight="1">
      <c r="AU5429" s="44"/>
    </row>
    <row r="5430" spans="47:47" ht="12" customHeight="1">
      <c r="AU5430" s="44"/>
    </row>
    <row r="5431" spans="47:47" ht="12" customHeight="1">
      <c r="AU5431" s="44"/>
    </row>
    <row r="5432" spans="47:47" ht="12" customHeight="1">
      <c r="AU5432" s="44"/>
    </row>
    <row r="5433" spans="47:47" ht="12" customHeight="1">
      <c r="AU5433" s="44"/>
    </row>
    <row r="5434" spans="47:47" ht="12" customHeight="1">
      <c r="AU5434" s="44"/>
    </row>
    <row r="5435" spans="47:47" ht="12" customHeight="1">
      <c r="AU5435" s="44"/>
    </row>
    <row r="5436" spans="47:47" ht="12" customHeight="1">
      <c r="AU5436" s="44"/>
    </row>
    <row r="5437" spans="47:47" ht="12" customHeight="1">
      <c r="AU5437" s="44"/>
    </row>
    <row r="5438" spans="47:47" ht="12" customHeight="1">
      <c r="AU5438" s="44"/>
    </row>
    <row r="5439" spans="47:47" ht="12" customHeight="1">
      <c r="AU5439" s="44"/>
    </row>
    <row r="5440" spans="47:47" ht="12" customHeight="1">
      <c r="AU5440" s="44"/>
    </row>
    <row r="5441" spans="47:47" ht="12" customHeight="1">
      <c r="AU5441" s="44"/>
    </row>
    <row r="5442" spans="47:47" ht="12" customHeight="1">
      <c r="AU5442" s="44"/>
    </row>
    <row r="5443" spans="47:47" ht="12" customHeight="1">
      <c r="AU5443" s="44"/>
    </row>
    <row r="5444" spans="47:47" ht="12" customHeight="1">
      <c r="AU5444" s="44"/>
    </row>
    <row r="5445" spans="47:47" ht="12" customHeight="1">
      <c r="AU5445" s="44"/>
    </row>
    <row r="5446" spans="47:47" ht="12" customHeight="1">
      <c r="AU5446" s="44"/>
    </row>
    <row r="5447" spans="47:47" ht="12" customHeight="1">
      <c r="AU5447" s="44"/>
    </row>
    <row r="5448" spans="47:47" ht="12" customHeight="1">
      <c r="AU5448" s="44"/>
    </row>
    <row r="5449" spans="47:47" ht="12" customHeight="1">
      <c r="AU5449" s="44"/>
    </row>
    <row r="5450" spans="47:47" ht="12" customHeight="1">
      <c r="AU5450" s="44"/>
    </row>
    <row r="5451" spans="47:47" ht="12" customHeight="1">
      <c r="AU5451" s="44"/>
    </row>
    <row r="5452" spans="47:47" ht="12" customHeight="1">
      <c r="AU5452" s="44"/>
    </row>
    <row r="5453" spans="47:47" ht="12" customHeight="1">
      <c r="AU5453" s="44"/>
    </row>
    <row r="5454" spans="47:47" ht="12" customHeight="1">
      <c r="AU5454" s="44"/>
    </row>
    <row r="5455" spans="47:47" ht="12" customHeight="1">
      <c r="AU5455" s="44"/>
    </row>
    <row r="5456" spans="47:47" ht="12" customHeight="1">
      <c r="AU5456" s="44"/>
    </row>
    <row r="5457" spans="47:47" ht="12" customHeight="1">
      <c r="AU5457" s="44"/>
    </row>
    <row r="5458" spans="47:47" ht="12" customHeight="1">
      <c r="AU5458" s="44"/>
    </row>
    <row r="5459" spans="47:47" ht="12" customHeight="1">
      <c r="AU5459" s="44"/>
    </row>
    <row r="5460" spans="47:47" ht="12" customHeight="1">
      <c r="AU5460" s="44"/>
    </row>
    <row r="5461" spans="47:47" ht="12" customHeight="1">
      <c r="AU5461" s="44"/>
    </row>
    <row r="5462" spans="47:47" ht="12" customHeight="1">
      <c r="AU5462" s="44"/>
    </row>
    <row r="5463" spans="47:47" ht="12" customHeight="1">
      <c r="AU5463" s="44"/>
    </row>
    <row r="5464" spans="47:47" ht="12" customHeight="1">
      <c r="AU5464" s="44"/>
    </row>
    <row r="5465" spans="47:47" ht="12" customHeight="1">
      <c r="AU5465" s="44"/>
    </row>
    <row r="5466" spans="47:47" ht="12" customHeight="1">
      <c r="AU5466" s="44"/>
    </row>
    <row r="5467" spans="47:47" ht="12" customHeight="1">
      <c r="AU5467" s="44"/>
    </row>
    <row r="5468" spans="47:47" ht="12" customHeight="1">
      <c r="AU5468" s="44"/>
    </row>
    <row r="5469" spans="47:47" ht="12" customHeight="1">
      <c r="AU5469" s="44"/>
    </row>
    <row r="5470" spans="47:47" ht="12" customHeight="1">
      <c r="AU5470" s="44"/>
    </row>
    <row r="5471" spans="47:47" ht="12" customHeight="1">
      <c r="AU5471" s="44"/>
    </row>
    <row r="5472" spans="47:47" ht="12" customHeight="1">
      <c r="AU5472" s="44"/>
    </row>
    <row r="5473" spans="47:47" ht="12" customHeight="1">
      <c r="AU5473" s="44"/>
    </row>
    <row r="5474" spans="47:47" ht="12" customHeight="1">
      <c r="AU5474" s="44"/>
    </row>
    <row r="5475" spans="47:47" ht="12" customHeight="1">
      <c r="AU5475" s="44"/>
    </row>
    <row r="5476" spans="47:47" ht="12" customHeight="1">
      <c r="AU5476" s="44"/>
    </row>
    <row r="5477" spans="47:47" ht="12" customHeight="1">
      <c r="AU5477" s="44"/>
    </row>
    <row r="5478" spans="47:47" ht="12" customHeight="1">
      <c r="AU5478" s="44"/>
    </row>
    <row r="5479" spans="47:47" ht="12" customHeight="1">
      <c r="AU5479" s="44"/>
    </row>
    <row r="5480" spans="47:47" ht="12" customHeight="1">
      <c r="AU5480" s="44"/>
    </row>
    <row r="5481" spans="47:47" ht="12" customHeight="1">
      <c r="AU5481" s="44"/>
    </row>
    <row r="5482" spans="47:47" ht="12" customHeight="1">
      <c r="AU5482" s="44"/>
    </row>
    <row r="5483" spans="47:47" ht="12" customHeight="1">
      <c r="AU5483" s="44"/>
    </row>
    <row r="5484" spans="47:47" ht="12" customHeight="1">
      <c r="AU5484" s="44"/>
    </row>
    <row r="5485" spans="47:47" ht="12" customHeight="1">
      <c r="AU5485" s="44"/>
    </row>
    <row r="5486" spans="47:47" ht="12" customHeight="1">
      <c r="AU5486" s="44"/>
    </row>
    <row r="5487" spans="47:47" ht="12" customHeight="1">
      <c r="AU5487" s="44"/>
    </row>
    <row r="5488" spans="47:47" ht="12" customHeight="1">
      <c r="AU5488" s="44"/>
    </row>
    <row r="5489" spans="47:47" ht="12" customHeight="1">
      <c r="AU5489" s="44"/>
    </row>
    <row r="5490" spans="47:47" ht="12" customHeight="1">
      <c r="AU5490" s="44"/>
    </row>
    <row r="5491" spans="47:47" ht="12" customHeight="1">
      <c r="AU5491" s="44"/>
    </row>
    <row r="5492" spans="47:47" ht="12" customHeight="1">
      <c r="AU5492" s="44"/>
    </row>
    <row r="5493" spans="47:47" ht="12" customHeight="1">
      <c r="AU5493" s="44"/>
    </row>
    <row r="5494" spans="47:47" ht="12" customHeight="1">
      <c r="AU5494" s="44"/>
    </row>
    <row r="5495" spans="47:47" ht="12" customHeight="1">
      <c r="AU5495" s="44"/>
    </row>
    <row r="5496" spans="47:47" ht="12" customHeight="1">
      <c r="AU5496" s="44"/>
    </row>
    <row r="5497" spans="47:47" ht="12" customHeight="1">
      <c r="AU5497" s="44"/>
    </row>
    <row r="5498" spans="47:47" ht="12" customHeight="1">
      <c r="AU5498" s="44"/>
    </row>
    <row r="5499" spans="47:47" ht="12" customHeight="1">
      <c r="AU5499" s="44"/>
    </row>
    <row r="5500" spans="47:47" ht="12" customHeight="1">
      <c r="AU5500" s="44"/>
    </row>
    <row r="5501" spans="47:47" ht="12" customHeight="1">
      <c r="AU5501" s="44"/>
    </row>
    <row r="5502" spans="47:47" ht="12" customHeight="1">
      <c r="AU5502" s="44"/>
    </row>
    <row r="5503" spans="47:47" ht="12" customHeight="1">
      <c r="AU5503" s="44"/>
    </row>
    <row r="5504" spans="47:47" ht="12" customHeight="1">
      <c r="AU5504" s="44"/>
    </row>
    <row r="5505" spans="47:47" ht="12" customHeight="1">
      <c r="AU5505" s="44"/>
    </row>
    <row r="5506" spans="47:47" ht="12" customHeight="1">
      <c r="AU5506" s="44"/>
    </row>
    <row r="5507" spans="47:47" ht="12" customHeight="1">
      <c r="AU5507" s="44"/>
    </row>
    <row r="5508" spans="47:47" ht="12" customHeight="1">
      <c r="AU5508" s="44"/>
    </row>
    <row r="5509" spans="47:47" ht="12" customHeight="1">
      <c r="AU5509" s="44"/>
    </row>
    <row r="5510" spans="47:47" ht="12" customHeight="1">
      <c r="AU5510" s="44"/>
    </row>
    <row r="5511" spans="47:47" ht="12" customHeight="1">
      <c r="AU5511" s="44"/>
    </row>
    <row r="5512" spans="47:47" ht="12" customHeight="1">
      <c r="AU5512" s="44"/>
    </row>
    <row r="5513" spans="47:47" ht="12" customHeight="1">
      <c r="AU5513" s="44"/>
    </row>
    <row r="5514" spans="47:47" ht="12" customHeight="1">
      <c r="AU5514" s="44"/>
    </row>
    <row r="5515" spans="47:47" ht="12" customHeight="1">
      <c r="AU5515" s="44"/>
    </row>
    <row r="5516" spans="47:47" ht="12" customHeight="1">
      <c r="AU5516" s="44"/>
    </row>
    <row r="5517" spans="47:47" ht="12" customHeight="1">
      <c r="AU5517" s="44"/>
    </row>
    <row r="5518" spans="47:47" ht="12" customHeight="1">
      <c r="AU5518" s="44"/>
    </row>
    <row r="5519" spans="47:47" ht="12" customHeight="1">
      <c r="AU5519" s="44"/>
    </row>
    <row r="5520" spans="47:47" ht="12" customHeight="1">
      <c r="AU5520" s="44"/>
    </row>
    <row r="5521" spans="47:47" ht="12" customHeight="1">
      <c r="AU5521" s="44"/>
    </row>
    <row r="5522" spans="47:47" ht="12" customHeight="1">
      <c r="AU5522" s="44"/>
    </row>
    <row r="5523" spans="47:47" ht="12" customHeight="1">
      <c r="AU5523" s="44"/>
    </row>
    <row r="5524" spans="47:47" ht="12" customHeight="1">
      <c r="AU5524" s="44"/>
    </row>
    <row r="5525" spans="47:47" ht="12" customHeight="1">
      <c r="AU5525" s="44"/>
    </row>
    <row r="5526" spans="47:47" ht="12" customHeight="1">
      <c r="AU5526" s="44"/>
    </row>
    <row r="5527" spans="47:47" ht="12" customHeight="1">
      <c r="AU5527" s="44"/>
    </row>
    <row r="5528" spans="47:47" ht="12" customHeight="1">
      <c r="AU5528" s="44"/>
    </row>
    <row r="5529" spans="47:47" ht="12" customHeight="1">
      <c r="AU5529" s="44"/>
    </row>
    <row r="5530" spans="47:47" ht="12" customHeight="1">
      <c r="AU5530" s="44"/>
    </row>
    <row r="5531" spans="47:47" ht="12" customHeight="1">
      <c r="AU5531" s="44"/>
    </row>
    <row r="5532" spans="47:47" ht="12" customHeight="1">
      <c r="AU5532" s="44"/>
    </row>
    <row r="5533" spans="47:47" ht="12" customHeight="1">
      <c r="AU5533" s="44"/>
    </row>
    <row r="5534" spans="47:47" ht="12" customHeight="1">
      <c r="AU5534" s="44"/>
    </row>
    <row r="5535" spans="47:47" ht="12" customHeight="1">
      <c r="AU5535" s="44"/>
    </row>
    <row r="5536" spans="47:47" ht="12" customHeight="1">
      <c r="AU5536" s="44"/>
    </row>
    <row r="5537" spans="47:47" ht="12" customHeight="1">
      <c r="AU5537" s="44"/>
    </row>
    <row r="5538" spans="47:47" ht="12" customHeight="1">
      <c r="AU5538" s="44"/>
    </row>
    <row r="5539" spans="47:47" ht="12" customHeight="1">
      <c r="AU5539" s="44"/>
    </row>
    <row r="5540" spans="47:47" ht="12" customHeight="1">
      <c r="AU5540" s="44"/>
    </row>
    <row r="5541" spans="47:47" ht="12" customHeight="1">
      <c r="AU5541" s="44"/>
    </row>
    <row r="5542" spans="47:47" ht="12" customHeight="1">
      <c r="AU5542" s="44"/>
    </row>
    <row r="5543" spans="47:47" ht="12" customHeight="1">
      <c r="AU5543" s="44"/>
    </row>
    <row r="5544" spans="47:47" ht="12" customHeight="1">
      <c r="AU5544" s="44"/>
    </row>
    <row r="5545" spans="47:47" ht="12" customHeight="1">
      <c r="AU5545" s="44"/>
    </row>
    <row r="5546" spans="47:47" ht="12" customHeight="1">
      <c r="AU5546" s="44"/>
    </row>
    <row r="5547" spans="47:47" ht="12" customHeight="1">
      <c r="AU5547" s="44"/>
    </row>
    <row r="5548" spans="47:47" ht="12" customHeight="1">
      <c r="AU5548" s="44"/>
    </row>
    <row r="5549" spans="47:47" ht="12" customHeight="1">
      <c r="AU5549" s="44"/>
    </row>
    <row r="5550" spans="47:47" ht="12" customHeight="1">
      <c r="AU5550" s="44"/>
    </row>
    <row r="5551" spans="47:47" ht="12" customHeight="1">
      <c r="AU5551" s="44"/>
    </row>
    <row r="5552" spans="47:47" ht="12" customHeight="1">
      <c r="AU5552" s="44"/>
    </row>
    <row r="5553" spans="47:47" ht="12" customHeight="1">
      <c r="AU5553" s="44"/>
    </row>
    <row r="5554" spans="47:47" ht="12" customHeight="1">
      <c r="AU5554" s="44"/>
    </row>
    <row r="5555" spans="47:47" ht="12" customHeight="1">
      <c r="AU5555" s="44"/>
    </row>
    <row r="5556" spans="47:47" ht="12" customHeight="1">
      <c r="AU5556" s="44"/>
    </row>
    <row r="5557" spans="47:47" ht="12" customHeight="1">
      <c r="AU5557" s="44"/>
    </row>
    <row r="5558" spans="47:47" ht="12" customHeight="1">
      <c r="AU5558" s="44"/>
    </row>
    <row r="5559" spans="47:47" ht="12" customHeight="1">
      <c r="AU5559" s="44"/>
    </row>
    <row r="5560" spans="47:47" ht="12" customHeight="1">
      <c r="AU5560" s="44"/>
    </row>
    <row r="5561" spans="47:47" ht="12" customHeight="1">
      <c r="AU5561" s="44"/>
    </row>
    <row r="5562" spans="47:47" ht="12" customHeight="1">
      <c r="AU5562" s="44"/>
    </row>
    <row r="5563" spans="47:47" ht="12" customHeight="1">
      <c r="AU5563" s="44"/>
    </row>
    <row r="5564" spans="47:47" ht="12" customHeight="1">
      <c r="AU5564" s="44"/>
    </row>
    <row r="5565" spans="47:47" ht="12" customHeight="1">
      <c r="AU5565" s="44"/>
    </row>
    <row r="5566" spans="47:47" ht="12" customHeight="1">
      <c r="AU5566" s="44"/>
    </row>
    <row r="5567" spans="47:47" ht="12" customHeight="1">
      <c r="AU5567" s="44"/>
    </row>
    <row r="5568" spans="47:47" ht="12" customHeight="1">
      <c r="AU5568" s="44"/>
    </row>
    <row r="5569" spans="47:47" ht="12" customHeight="1">
      <c r="AU5569" s="44"/>
    </row>
    <row r="5570" spans="47:47" ht="12" customHeight="1">
      <c r="AU5570" s="44"/>
    </row>
    <row r="5571" spans="47:47" ht="12" customHeight="1">
      <c r="AU5571" s="44"/>
    </row>
    <row r="5572" spans="47:47" ht="12" customHeight="1">
      <c r="AU5572" s="44"/>
    </row>
    <row r="5573" spans="47:47" ht="12" customHeight="1">
      <c r="AU5573" s="44"/>
    </row>
    <row r="5574" spans="47:47" ht="12" customHeight="1">
      <c r="AU5574" s="44"/>
    </row>
    <row r="5575" spans="47:47" ht="12" customHeight="1">
      <c r="AU5575" s="44"/>
    </row>
    <row r="5576" spans="47:47" ht="12" customHeight="1">
      <c r="AU5576" s="44"/>
    </row>
    <row r="5577" spans="47:47" ht="12" customHeight="1">
      <c r="AU5577" s="44"/>
    </row>
    <row r="5578" spans="47:47" ht="12" customHeight="1">
      <c r="AU5578" s="44"/>
    </row>
    <row r="5579" spans="47:47" ht="12" customHeight="1">
      <c r="AU5579" s="44"/>
    </row>
    <row r="5580" spans="47:47" ht="12" customHeight="1">
      <c r="AU5580" s="44"/>
    </row>
    <row r="5581" spans="47:47" ht="12" customHeight="1">
      <c r="AU5581" s="44"/>
    </row>
    <row r="5582" spans="47:47" ht="12" customHeight="1">
      <c r="AU5582" s="44"/>
    </row>
    <row r="5583" spans="47:47" ht="12" customHeight="1">
      <c r="AU5583" s="44"/>
    </row>
    <row r="5584" spans="47:47" ht="12" customHeight="1">
      <c r="AU5584" s="44"/>
    </row>
    <row r="5585" spans="47:47" ht="12" customHeight="1">
      <c r="AU5585" s="44"/>
    </row>
    <row r="5586" spans="47:47" ht="12" customHeight="1">
      <c r="AU5586" s="44"/>
    </row>
    <row r="5587" spans="47:47" ht="12" customHeight="1">
      <c r="AU5587" s="44"/>
    </row>
    <row r="5588" spans="47:47" ht="12" customHeight="1">
      <c r="AU5588" s="44"/>
    </row>
    <row r="5589" spans="47:47" ht="12" customHeight="1">
      <c r="AU5589" s="44"/>
    </row>
    <row r="5590" spans="47:47" ht="12" customHeight="1">
      <c r="AU5590" s="44"/>
    </row>
    <row r="5591" spans="47:47" ht="12" customHeight="1">
      <c r="AU5591" s="44"/>
    </row>
    <row r="5592" spans="47:47" ht="12" customHeight="1">
      <c r="AU5592" s="44"/>
    </row>
    <row r="5593" spans="47:47" ht="12" customHeight="1">
      <c r="AU5593" s="44"/>
    </row>
    <row r="5594" spans="47:47" ht="12" customHeight="1">
      <c r="AU5594" s="44"/>
    </row>
    <row r="5595" spans="47:47" ht="12" customHeight="1">
      <c r="AU5595" s="44"/>
    </row>
    <row r="5596" spans="47:47" ht="12" customHeight="1">
      <c r="AU5596" s="44"/>
    </row>
    <row r="5597" spans="47:47" ht="12" customHeight="1">
      <c r="AU5597" s="44"/>
    </row>
    <row r="5598" spans="47:47" ht="12" customHeight="1">
      <c r="AU5598" s="44"/>
    </row>
    <row r="5599" spans="47:47" ht="12" customHeight="1">
      <c r="AU5599" s="44"/>
    </row>
    <row r="5600" spans="47:47" ht="12" customHeight="1">
      <c r="AU5600" s="44"/>
    </row>
    <row r="5601" spans="47:47" ht="12" customHeight="1">
      <c r="AU5601" s="44"/>
    </row>
    <row r="5602" spans="47:47" ht="12" customHeight="1">
      <c r="AU5602" s="44"/>
    </row>
    <row r="5603" spans="47:47" ht="12" customHeight="1">
      <c r="AU5603" s="44"/>
    </row>
    <row r="5604" spans="47:47" ht="12" customHeight="1">
      <c r="AU5604" s="44"/>
    </row>
    <row r="5605" spans="47:47" ht="12" customHeight="1">
      <c r="AU5605" s="44"/>
    </row>
    <row r="5606" spans="47:47" ht="12" customHeight="1">
      <c r="AU5606" s="44"/>
    </row>
    <row r="5607" spans="47:47" ht="12" customHeight="1">
      <c r="AU5607" s="44"/>
    </row>
    <row r="5608" spans="47:47" ht="12" customHeight="1">
      <c r="AU5608" s="44"/>
    </row>
    <row r="5609" spans="47:47" ht="12" customHeight="1">
      <c r="AU5609" s="44"/>
    </row>
    <row r="5610" spans="47:47" ht="12" customHeight="1">
      <c r="AU5610" s="44"/>
    </row>
    <row r="5611" spans="47:47" ht="12" customHeight="1">
      <c r="AU5611" s="44"/>
    </row>
    <row r="5612" spans="47:47" ht="12" customHeight="1">
      <c r="AU5612" s="44"/>
    </row>
    <row r="5613" spans="47:47" ht="12" customHeight="1">
      <c r="AU5613" s="44"/>
    </row>
    <row r="5614" spans="47:47" ht="12" customHeight="1">
      <c r="AU5614" s="44"/>
    </row>
    <row r="5615" spans="47:47" ht="12" customHeight="1">
      <c r="AU5615" s="44"/>
    </row>
    <row r="5616" spans="47:47" ht="12" customHeight="1">
      <c r="AU5616" s="44"/>
    </row>
    <row r="5617" spans="47:47" ht="12" customHeight="1">
      <c r="AU5617" s="44"/>
    </row>
    <row r="5618" spans="47:47" ht="12" customHeight="1">
      <c r="AU5618" s="44"/>
    </row>
    <row r="5619" spans="47:47" ht="12" customHeight="1">
      <c r="AU5619" s="44"/>
    </row>
    <row r="5620" spans="47:47" ht="12" customHeight="1">
      <c r="AU5620" s="44"/>
    </row>
    <row r="5621" spans="47:47" ht="12" customHeight="1">
      <c r="AU5621" s="44"/>
    </row>
    <row r="5622" spans="47:47" ht="12" customHeight="1">
      <c r="AU5622" s="44"/>
    </row>
    <row r="5623" spans="47:47" ht="12" customHeight="1">
      <c r="AU5623" s="44"/>
    </row>
    <row r="5624" spans="47:47" ht="12" customHeight="1">
      <c r="AU5624" s="44"/>
    </row>
    <row r="5625" spans="47:47" ht="12" customHeight="1">
      <c r="AU5625" s="44"/>
    </row>
    <row r="5626" spans="47:47" ht="12" customHeight="1">
      <c r="AU5626" s="44"/>
    </row>
    <row r="5627" spans="47:47" ht="12" customHeight="1">
      <c r="AU5627" s="44"/>
    </row>
    <row r="5628" spans="47:47" ht="12" customHeight="1">
      <c r="AU5628" s="44"/>
    </row>
    <row r="5629" spans="47:47" ht="12" customHeight="1">
      <c r="AU5629" s="44"/>
    </row>
    <row r="5630" spans="47:47" ht="12" customHeight="1">
      <c r="AU5630" s="44"/>
    </row>
    <row r="5631" spans="47:47" ht="12" customHeight="1">
      <c r="AU5631" s="44"/>
    </row>
    <row r="5632" spans="47:47" ht="12" customHeight="1">
      <c r="AU5632" s="44"/>
    </row>
    <row r="5633" spans="47:47" ht="12" customHeight="1">
      <c r="AU5633" s="44"/>
    </row>
    <row r="5634" spans="47:47" ht="12" customHeight="1">
      <c r="AU5634" s="44"/>
    </row>
    <row r="5635" spans="47:47" ht="12" customHeight="1">
      <c r="AU5635" s="44"/>
    </row>
    <row r="5636" spans="47:47" ht="12" customHeight="1">
      <c r="AU5636" s="44"/>
    </row>
    <row r="5637" spans="47:47" ht="12" customHeight="1">
      <c r="AU5637" s="44"/>
    </row>
    <row r="5638" spans="47:47" ht="12" customHeight="1">
      <c r="AU5638" s="44"/>
    </row>
    <row r="5639" spans="47:47" ht="12" customHeight="1">
      <c r="AU5639" s="44"/>
    </row>
    <row r="5640" spans="47:47" ht="12" customHeight="1">
      <c r="AU5640" s="44"/>
    </row>
    <row r="5641" spans="47:47" ht="12" customHeight="1">
      <c r="AU5641" s="44"/>
    </row>
    <row r="5642" spans="47:47" ht="12" customHeight="1">
      <c r="AU5642" s="44"/>
    </row>
    <row r="5643" spans="47:47" ht="12" customHeight="1">
      <c r="AU5643" s="44"/>
    </row>
    <row r="5644" spans="47:47" ht="12" customHeight="1">
      <c r="AU5644" s="44"/>
    </row>
    <row r="5645" spans="47:47" ht="12" customHeight="1">
      <c r="AU5645" s="44"/>
    </row>
    <row r="5646" spans="47:47" ht="12" customHeight="1">
      <c r="AU5646" s="44"/>
    </row>
    <row r="5647" spans="47:47" ht="12" customHeight="1">
      <c r="AU5647" s="44"/>
    </row>
    <row r="5648" spans="47:47" ht="12" customHeight="1">
      <c r="AU5648" s="44"/>
    </row>
    <row r="5649" spans="47:47" ht="12" customHeight="1">
      <c r="AU5649" s="44"/>
    </row>
    <row r="5650" spans="47:47" ht="12" customHeight="1">
      <c r="AU5650" s="44"/>
    </row>
    <row r="5651" spans="47:47" ht="12" customHeight="1">
      <c r="AU5651" s="44"/>
    </row>
    <row r="5652" spans="47:47" ht="12" customHeight="1">
      <c r="AU5652" s="44"/>
    </row>
    <row r="5653" spans="47:47" ht="12" customHeight="1">
      <c r="AU5653" s="44"/>
    </row>
    <row r="5654" spans="47:47" ht="12" customHeight="1">
      <c r="AU5654" s="44"/>
    </row>
    <row r="5655" spans="47:47" ht="12" customHeight="1">
      <c r="AU5655" s="44"/>
    </row>
    <row r="5656" spans="47:47" ht="12" customHeight="1">
      <c r="AU5656" s="44"/>
    </row>
    <row r="5657" spans="47:47" ht="12" customHeight="1">
      <c r="AU5657" s="44"/>
    </row>
    <row r="5658" spans="47:47" ht="12" customHeight="1">
      <c r="AU5658" s="44"/>
    </row>
    <row r="5659" spans="47:47" ht="12" customHeight="1">
      <c r="AU5659" s="44"/>
    </row>
    <row r="5660" spans="47:47" ht="12" customHeight="1">
      <c r="AU5660" s="44"/>
    </row>
    <row r="5661" spans="47:47" ht="12" customHeight="1">
      <c r="AU5661" s="44"/>
    </row>
    <row r="5662" spans="47:47" ht="12" customHeight="1">
      <c r="AU5662" s="44"/>
    </row>
    <row r="5663" spans="47:47" ht="12" customHeight="1">
      <c r="AU5663" s="44"/>
    </row>
    <row r="5664" spans="47:47" ht="12" customHeight="1">
      <c r="AU5664" s="44"/>
    </row>
    <row r="5665" spans="47:47" ht="12" customHeight="1">
      <c r="AU5665" s="44"/>
    </row>
    <row r="5666" spans="47:47" ht="12" customHeight="1">
      <c r="AU5666" s="44"/>
    </row>
    <row r="5667" spans="47:47" ht="12" customHeight="1">
      <c r="AU5667" s="44"/>
    </row>
    <row r="5668" spans="47:47" ht="12" customHeight="1">
      <c r="AU5668" s="44"/>
    </row>
    <row r="5669" spans="47:47" ht="12" customHeight="1">
      <c r="AU5669" s="44"/>
    </row>
    <row r="5670" spans="47:47" ht="12" customHeight="1">
      <c r="AU5670" s="44"/>
    </row>
    <row r="5671" spans="47:47" ht="12" customHeight="1">
      <c r="AU5671" s="44"/>
    </row>
    <row r="5672" spans="47:47" ht="12" customHeight="1">
      <c r="AU5672" s="44"/>
    </row>
    <row r="5673" spans="47:47" ht="12" customHeight="1">
      <c r="AU5673" s="44"/>
    </row>
    <row r="5674" spans="47:47" ht="12" customHeight="1">
      <c r="AU5674" s="44"/>
    </row>
    <row r="5675" spans="47:47" ht="12" customHeight="1">
      <c r="AU5675" s="44"/>
    </row>
    <row r="5676" spans="47:47" ht="12" customHeight="1">
      <c r="AU5676" s="44"/>
    </row>
    <row r="5677" spans="47:47" ht="12" customHeight="1">
      <c r="AU5677" s="44"/>
    </row>
    <row r="5678" spans="47:47" ht="12" customHeight="1">
      <c r="AU5678" s="44"/>
    </row>
    <row r="5679" spans="47:47" ht="12" customHeight="1">
      <c r="AU5679" s="44"/>
    </row>
    <row r="5680" spans="47:47" ht="12" customHeight="1">
      <c r="AU5680" s="44"/>
    </row>
    <row r="5681" spans="47:47" ht="12" customHeight="1">
      <c r="AU5681" s="44"/>
    </row>
    <row r="5682" spans="47:47" ht="12" customHeight="1">
      <c r="AU5682" s="44"/>
    </row>
    <row r="5683" spans="47:47" ht="12" customHeight="1">
      <c r="AU5683" s="44"/>
    </row>
    <row r="5684" spans="47:47" ht="12" customHeight="1">
      <c r="AU5684" s="44"/>
    </row>
    <row r="5685" spans="47:47" ht="12" customHeight="1">
      <c r="AU5685" s="44"/>
    </row>
    <row r="5686" spans="47:47" ht="12" customHeight="1">
      <c r="AU5686" s="44"/>
    </row>
    <row r="5687" spans="47:47" ht="12" customHeight="1">
      <c r="AU5687" s="44"/>
    </row>
    <row r="5688" spans="47:47" ht="12" customHeight="1">
      <c r="AU5688" s="44"/>
    </row>
    <row r="5689" spans="47:47" ht="12" customHeight="1">
      <c r="AU5689" s="44"/>
    </row>
    <row r="5690" spans="47:47" ht="12" customHeight="1">
      <c r="AU5690" s="44"/>
    </row>
    <row r="5691" spans="47:47" ht="12" customHeight="1">
      <c r="AU5691" s="44"/>
    </row>
    <row r="5692" spans="47:47" ht="12" customHeight="1">
      <c r="AU5692" s="44"/>
    </row>
    <row r="5693" spans="47:47" ht="12" customHeight="1">
      <c r="AU5693" s="44"/>
    </row>
    <row r="5694" spans="47:47" ht="12" customHeight="1">
      <c r="AU5694" s="44"/>
    </row>
    <row r="5695" spans="47:47" ht="12" customHeight="1">
      <c r="AU5695" s="44"/>
    </row>
    <row r="5696" spans="47:47" ht="12" customHeight="1">
      <c r="AU5696" s="44"/>
    </row>
    <row r="5697" spans="47:47" ht="12" customHeight="1">
      <c r="AU5697" s="44"/>
    </row>
    <row r="5698" spans="47:47" ht="12" customHeight="1">
      <c r="AU5698" s="44"/>
    </row>
    <row r="5699" spans="47:47" ht="12" customHeight="1">
      <c r="AU5699" s="44"/>
    </row>
    <row r="5700" spans="47:47" ht="12" customHeight="1">
      <c r="AU5700" s="44"/>
    </row>
    <row r="5701" spans="47:47" ht="12" customHeight="1">
      <c r="AU5701" s="44"/>
    </row>
    <row r="5702" spans="47:47" ht="12" customHeight="1">
      <c r="AU5702" s="44"/>
    </row>
    <row r="5703" spans="47:47" ht="12" customHeight="1">
      <c r="AU5703" s="44"/>
    </row>
    <row r="5704" spans="47:47" ht="12" customHeight="1">
      <c r="AU5704" s="44"/>
    </row>
    <row r="5705" spans="47:47" ht="12" customHeight="1">
      <c r="AU5705" s="44"/>
    </row>
    <row r="5706" spans="47:47" ht="12" customHeight="1">
      <c r="AU5706" s="44"/>
    </row>
    <row r="5707" spans="47:47" ht="12" customHeight="1">
      <c r="AU5707" s="44"/>
    </row>
    <row r="5708" spans="47:47" ht="12" customHeight="1">
      <c r="AU5708" s="44"/>
    </row>
    <row r="5709" spans="47:47" ht="12" customHeight="1">
      <c r="AU5709" s="44"/>
    </row>
    <row r="5710" spans="47:47" ht="12" customHeight="1">
      <c r="AU5710" s="44"/>
    </row>
    <row r="5711" spans="47:47" ht="12" customHeight="1">
      <c r="AU5711" s="44"/>
    </row>
    <row r="5712" spans="47:47" ht="12" customHeight="1">
      <c r="AU5712" s="44"/>
    </row>
    <row r="5713" spans="47:47" ht="12" customHeight="1">
      <c r="AU5713" s="44"/>
    </row>
    <row r="5714" spans="47:47" ht="12" customHeight="1">
      <c r="AU5714" s="44"/>
    </row>
    <row r="5715" spans="47:47" ht="12" customHeight="1">
      <c r="AU5715" s="44"/>
    </row>
    <row r="5716" spans="47:47" ht="12" customHeight="1">
      <c r="AU5716" s="44"/>
    </row>
    <row r="5717" spans="47:47" ht="12" customHeight="1">
      <c r="AU5717" s="44"/>
    </row>
    <row r="5718" spans="47:47" ht="12" customHeight="1">
      <c r="AU5718" s="44"/>
    </row>
    <row r="5719" spans="47:47" ht="12" customHeight="1">
      <c r="AU5719" s="44"/>
    </row>
    <row r="5720" spans="47:47" ht="12" customHeight="1">
      <c r="AU5720" s="44"/>
    </row>
    <row r="5721" spans="47:47" ht="12" customHeight="1">
      <c r="AU5721" s="44"/>
    </row>
    <row r="5722" spans="47:47" ht="12" customHeight="1">
      <c r="AU5722" s="44"/>
    </row>
    <row r="5723" spans="47:47" ht="12" customHeight="1">
      <c r="AU5723" s="44"/>
    </row>
    <row r="5724" spans="47:47" ht="12" customHeight="1">
      <c r="AU5724" s="44"/>
    </row>
    <row r="5725" spans="47:47" ht="12" customHeight="1">
      <c r="AU5725" s="44"/>
    </row>
    <row r="5726" spans="47:47" ht="12" customHeight="1">
      <c r="AU5726" s="44"/>
    </row>
    <row r="5727" spans="47:47" ht="12" customHeight="1">
      <c r="AU5727" s="44"/>
    </row>
    <row r="5728" spans="47:47" ht="12" customHeight="1">
      <c r="AU5728" s="44"/>
    </row>
    <row r="5729" spans="47:47" ht="12" customHeight="1">
      <c r="AU5729" s="44"/>
    </row>
    <row r="5730" spans="47:47" ht="12" customHeight="1">
      <c r="AU5730" s="44"/>
    </row>
    <row r="5731" spans="47:47" ht="12" customHeight="1">
      <c r="AU5731" s="44"/>
    </row>
    <row r="5732" spans="47:47" ht="12" customHeight="1">
      <c r="AU5732" s="44"/>
    </row>
    <row r="5733" spans="47:47" ht="12" customHeight="1">
      <c r="AU5733" s="44"/>
    </row>
    <row r="5734" spans="47:47" ht="12" customHeight="1">
      <c r="AU5734" s="44"/>
    </row>
    <row r="5735" spans="47:47" ht="12" customHeight="1">
      <c r="AU5735" s="44"/>
    </row>
    <row r="5736" spans="47:47" ht="12" customHeight="1">
      <c r="AU5736" s="44"/>
    </row>
    <row r="5737" spans="47:47" ht="12" customHeight="1">
      <c r="AU5737" s="44"/>
    </row>
    <row r="5738" spans="47:47" ht="12" customHeight="1">
      <c r="AU5738" s="44"/>
    </row>
    <row r="5739" spans="47:47" ht="12" customHeight="1">
      <c r="AU5739" s="44"/>
    </row>
    <row r="5740" spans="47:47" ht="12" customHeight="1">
      <c r="AU5740" s="44"/>
    </row>
    <row r="5741" spans="47:47" ht="12" customHeight="1">
      <c r="AU5741" s="44"/>
    </row>
    <row r="5742" spans="47:47" ht="12" customHeight="1">
      <c r="AU5742" s="44"/>
    </row>
    <row r="5743" spans="47:47" ht="12" customHeight="1">
      <c r="AU5743" s="44"/>
    </row>
    <row r="5744" spans="47:47" ht="12" customHeight="1">
      <c r="AU5744" s="44"/>
    </row>
    <row r="5745" spans="47:47" ht="12" customHeight="1">
      <c r="AU5745" s="44"/>
    </row>
    <row r="5746" spans="47:47" ht="12" customHeight="1">
      <c r="AU5746" s="44"/>
    </row>
    <row r="5747" spans="47:47" ht="12" customHeight="1">
      <c r="AU5747" s="44"/>
    </row>
    <row r="5748" spans="47:47" ht="12" customHeight="1">
      <c r="AU5748" s="44"/>
    </row>
    <row r="5749" spans="47:47" ht="12" customHeight="1">
      <c r="AU5749" s="44"/>
    </row>
    <row r="5750" spans="47:47" ht="12" customHeight="1">
      <c r="AU5750" s="44"/>
    </row>
    <row r="5751" spans="47:47" ht="12" customHeight="1">
      <c r="AU5751" s="44"/>
    </row>
    <row r="5752" spans="47:47" ht="12" customHeight="1">
      <c r="AU5752" s="44"/>
    </row>
    <row r="5753" spans="47:47" ht="12" customHeight="1">
      <c r="AU5753" s="44"/>
    </row>
    <row r="5754" spans="47:47" ht="12" customHeight="1">
      <c r="AU5754" s="44"/>
    </row>
    <row r="5755" spans="47:47" ht="12" customHeight="1">
      <c r="AU5755" s="44"/>
    </row>
    <row r="5756" spans="47:47" ht="12" customHeight="1">
      <c r="AU5756" s="44"/>
    </row>
    <row r="5757" spans="47:47" ht="12" customHeight="1">
      <c r="AU5757" s="44"/>
    </row>
    <row r="5758" spans="47:47" ht="12" customHeight="1">
      <c r="AU5758" s="44"/>
    </row>
    <row r="5759" spans="47:47" ht="12" customHeight="1">
      <c r="AU5759" s="44"/>
    </row>
    <row r="5760" spans="47:47" ht="12" customHeight="1">
      <c r="AU5760" s="44"/>
    </row>
    <row r="5761" spans="47:47" ht="12" customHeight="1">
      <c r="AU5761" s="44"/>
    </row>
    <row r="5762" spans="47:47" ht="12" customHeight="1">
      <c r="AU5762" s="44"/>
    </row>
    <row r="5763" spans="47:47" ht="12" customHeight="1">
      <c r="AU5763" s="44"/>
    </row>
    <row r="5764" spans="47:47" ht="12" customHeight="1">
      <c r="AU5764" s="44"/>
    </row>
    <row r="5765" spans="47:47" ht="12" customHeight="1">
      <c r="AU5765" s="44"/>
    </row>
    <row r="5766" spans="47:47" ht="12" customHeight="1">
      <c r="AU5766" s="44"/>
    </row>
    <row r="5767" spans="47:47" ht="12" customHeight="1">
      <c r="AU5767" s="44"/>
    </row>
    <row r="5768" spans="47:47" ht="12" customHeight="1">
      <c r="AU5768" s="44"/>
    </row>
    <row r="5769" spans="47:47" ht="12" customHeight="1">
      <c r="AU5769" s="44"/>
    </row>
    <row r="5770" spans="47:47" ht="12" customHeight="1">
      <c r="AU5770" s="44"/>
    </row>
    <row r="5771" spans="47:47" ht="12" customHeight="1">
      <c r="AU5771" s="44"/>
    </row>
    <row r="5772" spans="47:47" ht="12" customHeight="1">
      <c r="AU5772" s="44"/>
    </row>
    <row r="5773" spans="47:47" ht="12" customHeight="1">
      <c r="AU5773" s="44"/>
    </row>
    <row r="5774" spans="47:47" ht="12" customHeight="1">
      <c r="AU5774" s="44"/>
    </row>
    <row r="5775" spans="47:47" ht="12" customHeight="1">
      <c r="AU5775" s="44"/>
    </row>
    <row r="5776" spans="47:47" ht="12" customHeight="1">
      <c r="AU5776" s="44"/>
    </row>
    <row r="5777" spans="47:47" ht="12" customHeight="1">
      <c r="AU5777" s="44"/>
    </row>
    <row r="5778" spans="47:47" ht="12" customHeight="1">
      <c r="AU5778" s="44"/>
    </row>
    <row r="5779" spans="47:47" ht="12" customHeight="1">
      <c r="AU5779" s="44"/>
    </row>
    <row r="5780" spans="47:47" ht="12" customHeight="1">
      <c r="AU5780" s="44"/>
    </row>
    <row r="5781" spans="47:47" ht="12" customHeight="1">
      <c r="AU5781" s="44"/>
    </row>
    <row r="5782" spans="47:47" ht="12" customHeight="1">
      <c r="AU5782" s="44"/>
    </row>
    <row r="5783" spans="47:47" ht="12" customHeight="1">
      <c r="AU5783" s="44"/>
    </row>
    <row r="5784" spans="47:47" ht="12" customHeight="1">
      <c r="AU5784" s="44"/>
    </row>
    <row r="5785" spans="47:47" ht="12" customHeight="1">
      <c r="AU5785" s="44"/>
    </row>
    <row r="5786" spans="47:47" ht="12" customHeight="1">
      <c r="AU5786" s="44"/>
    </row>
    <row r="5787" spans="47:47" ht="12" customHeight="1">
      <c r="AU5787" s="44"/>
    </row>
    <row r="5788" spans="47:47" ht="12" customHeight="1">
      <c r="AU5788" s="44"/>
    </row>
    <row r="5789" spans="47:47" ht="12" customHeight="1">
      <c r="AU5789" s="44"/>
    </row>
    <row r="5790" spans="47:47" ht="12" customHeight="1">
      <c r="AU5790" s="44"/>
    </row>
    <row r="5791" spans="47:47" ht="12" customHeight="1">
      <c r="AU5791" s="44"/>
    </row>
    <row r="5792" spans="47:47" ht="12" customHeight="1">
      <c r="AU5792" s="44"/>
    </row>
    <row r="5793" spans="47:47" ht="12" customHeight="1">
      <c r="AU5793" s="44"/>
    </row>
    <row r="5794" spans="47:47" ht="12" customHeight="1">
      <c r="AU5794" s="44"/>
    </row>
    <row r="5795" spans="47:47" ht="12" customHeight="1">
      <c r="AU5795" s="44"/>
    </row>
    <row r="5796" spans="47:47" ht="12" customHeight="1">
      <c r="AU5796" s="44"/>
    </row>
    <row r="5797" spans="47:47" ht="12" customHeight="1">
      <c r="AU5797" s="44"/>
    </row>
    <row r="5798" spans="47:47" ht="12" customHeight="1">
      <c r="AU5798" s="44"/>
    </row>
    <row r="5799" spans="47:47" ht="12" customHeight="1">
      <c r="AU5799" s="44"/>
    </row>
    <row r="5800" spans="47:47" ht="12" customHeight="1">
      <c r="AU5800" s="44"/>
    </row>
    <row r="5801" spans="47:47" ht="12" customHeight="1">
      <c r="AU5801" s="44"/>
    </row>
    <row r="5802" spans="47:47" ht="12" customHeight="1">
      <c r="AU5802" s="44"/>
    </row>
    <row r="5803" spans="47:47" ht="12" customHeight="1">
      <c r="AU5803" s="44"/>
    </row>
    <row r="5804" spans="47:47" ht="12" customHeight="1">
      <c r="AU5804" s="44"/>
    </row>
    <row r="5805" spans="47:47" ht="12" customHeight="1">
      <c r="AU5805" s="44"/>
    </row>
    <row r="5806" spans="47:47" ht="12" customHeight="1">
      <c r="AU5806" s="44"/>
    </row>
    <row r="5807" spans="47:47" ht="12" customHeight="1">
      <c r="AU5807" s="44"/>
    </row>
    <row r="5808" spans="47:47" ht="12" customHeight="1">
      <c r="AU5808" s="44"/>
    </row>
    <row r="5809" spans="47:47" ht="12" customHeight="1">
      <c r="AU5809" s="44"/>
    </row>
    <row r="5810" spans="47:47" ht="12" customHeight="1">
      <c r="AU5810" s="44"/>
    </row>
    <row r="5811" spans="47:47" ht="12" customHeight="1">
      <c r="AU5811" s="44"/>
    </row>
    <row r="5812" spans="47:47" ht="12" customHeight="1">
      <c r="AU5812" s="44"/>
    </row>
    <row r="5813" spans="47:47" ht="12" customHeight="1">
      <c r="AU5813" s="44"/>
    </row>
    <row r="5814" spans="47:47" ht="12" customHeight="1">
      <c r="AU5814" s="44"/>
    </row>
    <row r="5815" spans="47:47" ht="12" customHeight="1">
      <c r="AU5815" s="44"/>
    </row>
    <row r="5816" spans="47:47" ht="12" customHeight="1">
      <c r="AU5816" s="44"/>
    </row>
    <row r="5817" spans="47:47" ht="12" customHeight="1">
      <c r="AU5817" s="44"/>
    </row>
    <row r="5818" spans="47:47" ht="12" customHeight="1">
      <c r="AU5818" s="44"/>
    </row>
    <row r="5819" spans="47:47" ht="12" customHeight="1">
      <c r="AU5819" s="44"/>
    </row>
    <row r="5820" spans="47:47" ht="12" customHeight="1">
      <c r="AU5820" s="44"/>
    </row>
    <row r="5821" spans="47:47" ht="12" customHeight="1">
      <c r="AU5821" s="44"/>
    </row>
    <row r="5822" spans="47:47" ht="12" customHeight="1">
      <c r="AU5822" s="44"/>
    </row>
    <row r="5823" spans="47:47" ht="12" customHeight="1">
      <c r="AU5823" s="44"/>
    </row>
    <row r="5824" spans="47:47" ht="12" customHeight="1">
      <c r="AU5824" s="44"/>
    </row>
    <row r="5825" spans="47:47" ht="12" customHeight="1">
      <c r="AU5825" s="44"/>
    </row>
    <row r="5826" spans="47:47" ht="12" customHeight="1">
      <c r="AU5826" s="44"/>
    </row>
    <row r="5827" spans="47:47" ht="12" customHeight="1">
      <c r="AU5827" s="44"/>
    </row>
    <row r="5828" spans="47:47" ht="12" customHeight="1">
      <c r="AU5828" s="44"/>
    </row>
    <row r="5829" spans="47:47" ht="12" customHeight="1">
      <c r="AU5829" s="44"/>
    </row>
    <row r="5830" spans="47:47" ht="12" customHeight="1">
      <c r="AU5830" s="44"/>
    </row>
    <row r="5831" spans="47:47" ht="12" customHeight="1">
      <c r="AU5831" s="44"/>
    </row>
    <row r="5832" spans="47:47" ht="12" customHeight="1">
      <c r="AU5832" s="44"/>
    </row>
    <row r="5833" spans="47:47" ht="12" customHeight="1">
      <c r="AU5833" s="44"/>
    </row>
    <row r="5834" spans="47:47" ht="12" customHeight="1">
      <c r="AU5834" s="44"/>
    </row>
    <row r="5835" spans="47:47" ht="12" customHeight="1">
      <c r="AU5835" s="44"/>
    </row>
    <row r="5836" spans="47:47" ht="12" customHeight="1">
      <c r="AU5836" s="44"/>
    </row>
    <row r="5837" spans="47:47" ht="12" customHeight="1">
      <c r="AU5837" s="44"/>
    </row>
    <row r="5838" spans="47:47" ht="12" customHeight="1">
      <c r="AU5838" s="44"/>
    </row>
    <row r="5839" spans="47:47" ht="12" customHeight="1">
      <c r="AU5839" s="44"/>
    </row>
    <row r="5840" spans="47:47" ht="12" customHeight="1">
      <c r="AU5840" s="44"/>
    </row>
    <row r="5841" spans="47:47" ht="12" customHeight="1">
      <c r="AU5841" s="44"/>
    </row>
    <row r="5842" spans="47:47" ht="12" customHeight="1">
      <c r="AU5842" s="44"/>
    </row>
    <row r="5843" spans="47:47" ht="12" customHeight="1">
      <c r="AU5843" s="44"/>
    </row>
    <row r="5844" spans="47:47" ht="12" customHeight="1">
      <c r="AU5844" s="44"/>
    </row>
    <row r="5845" spans="47:47" ht="12" customHeight="1">
      <c r="AU5845" s="44"/>
    </row>
    <row r="5846" spans="47:47" ht="12" customHeight="1">
      <c r="AU5846" s="44"/>
    </row>
    <row r="5847" spans="47:47" ht="12" customHeight="1">
      <c r="AU5847" s="44"/>
    </row>
    <row r="5848" spans="47:47" ht="12" customHeight="1">
      <c r="AU5848" s="44"/>
    </row>
    <row r="5849" spans="47:47" ht="12" customHeight="1">
      <c r="AU5849" s="44"/>
    </row>
    <row r="5850" spans="47:47" ht="12" customHeight="1">
      <c r="AU5850" s="44"/>
    </row>
    <row r="5851" spans="47:47" ht="12" customHeight="1">
      <c r="AU5851" s="44"/>
    </row>
    <row r="5852" spans="47:47" ht="12" customHeight="1">
      <c r="AU5852" s="44"/>
    </row>
    <row r="5853" spans="47:47" ht="12" customHeight="1">
      <c r="AU5853" s="44"/>
    </row>
    <row r="5854" spans="47:47" ht="12" customHeight="1">
      <c r="AU5854" s="44"/>
    </row>
    <row r="5855" spans="47:47" ht="12" customHeight="1">
      <c r="AU5855" s="44"/>
    </row>
    <row r="5856" spans="47:47" ht="12" customHeight="1">
      <c r="AU5856" s="44"/>
    </row>
    <row r="5857" spans="47:47" ht="12" customHeight="1">
      <c r="AU5857" s="44"/>
    </row>
    <row r="5858" spans="47:47" ht="12" customHeight="1">
      <c r="AU5858" s="44"/>
    </row>
    <row r="5859" spans="47:47" ht="12" customHeight="1">
      <c r="AU5859" s="44"/>
    </row>
    <row r="5860" spans="47:47" ht="12" customHeight="1">
      <c r="AU5860" s="44"/>
    </row>
    <row r="5861" spans="47:47" ht="12" customHeight="1">
      <c r="AU5861" s="44"/>
    </row>
    <row r="5862" spans="47:47" ht="12" customHeight="1">
      <c r="AU5862" s="44"/>
    </row>
    <row r="5863" spans="47:47" ht="12" customHeight="1">
      <c r="AU5863" s="44"/>
    </row>
    <row r="5864" spans="47:47" ht="12" customHeight="1">
      <c r="AU5864" s="44"/>
    </row>
    <row r="5865" spans="47:47" ht="12" customHeight="1">
      <c r="AU5865" s="44"/>
    </row>
    <row r="5866" spans="47:47" ht="12" customHeight="1">
      <c r="AU5866" s="44"/>
    </row>
    <row r="5867" spans="47:47" ht="12" customHeight="1">
      <c r="AU5867" s="44"/>
    </row>
    <row r="5868" spans="47:47" ht="12" customHeight="1">
      <c r="AU5868" s="44"/>
    </row>
    <row r="5869" spans="47:47" ht="12" customHeight="1">
      <c r="AU5869" s="44"/>
    </row>
    <row r="5870" spans="47:47" ht="12" customHeight="1">
      <c r="AU5870" s="44"/>
    </row>
    <row r="5871" spans="47:47" ht="12" customHeight="1">
      <c r="AU5871" s="44"/>
    </row>
    <row r="5872" spans="47:47" ht="12" customHeight="1">
      <c r="AU5872" s="44"/>
    </row>
    <row r="5873" spans="47:47" ht="12" customHeight="1">
      <c r="AU5873" s="44"/>
    </row>
    <row r="5874" spans="47:47" ht="12" customHeight="1">
      <c r="AU5874" s="44"/>
    </row>
    <row r="5875" spans="47:47" ht="12" customHeight="1">
      <c r="AU5875" s="44"/>
    </row>
    <row r="5876" spans="47:47" ht="12" customHeight="1">
      <c r="AU5876" s="44"/>
    </row>
    <row r="5877" spans="47:47" ht="12" customHeight="1">
      <c r="AU5877" s="44"/>
    </row>
    <row r="5878" spans="47:47" ht="12" customHeight="1">
      <c r="AU5878" s="44"/>
    </row>
    <row r="5879" spans="47:47" ht="12" customHeight="1">
      <c r="AU5879" s="44"/>
    </row>
    <row r="5880" spans="47:47" ht="12" customHeight="1">
      <c r="AU5880" s="44"/>
    </row>
    <row r="5881" spans="47:47" ht="12" customHeight="1">
      <c r="AU5881" s="44"/>
    </row>
    <row r="5882" spans="47:47" ht="12" customHeight="1">
      <c r="AU5882" s="44"/>
    </row>
    <row r="5883" spans="47:47" ht="12" customHeight="1">
      <c r="AU5883" s="44"/>
    </row>
    <row r="5884" spans="47:47" ht="12" customHeight="1">
      <c r="AU5884" s="44"/>
    </row>
    <row r="5885" spans="47:47" ht="12" customHeight="1">
      <c r="AU5885" s="44"/>
    </row>
    <row r="5886" spans="47:47" ht="12" customHeight="1">
      <c r="AU5886" s="44"/>
    </row>
    <row r="5887" spans="47:47" ht="12" customHeight="1">
      <c r="AU5887" s="44"/>
    </row>
    <row r="5888" spans="47:47" ht="12" customHeight="1">
      <c r="AU5888" s="44"/>
    </row>
    <row r="5889" spans="47:47" ht="12" customHeight="1">
      <c r="AU5889" s="44"/>
    </row>
    <row r="5890" spans="47:47" ht="12" customHeight="1">
      <c r="AU5890" s="44"/>
    </row>
    <row r="5891" spans="47:47" ht="12" customHeight="1">
      <c r="AU5891" s="44"/>
    </row>
    <row r="5892" spans="47:47" ht="12" customHeight="1">
      <c r="AU5892" s="44"/>
    </row>
    <row r="5893" spans="47:47" ht="12" customHeight="1">
      <c r="AU5893" s="44"/>
    </row>
    <row r="5894" spans="47:47" ht="12" customHeight="1">
      <c r="AU5894" s="44"/>
    </row>
    <row r="5895" spans="47:47" ht="12" customHeight="1">
      <c r="AU5895" s="44"/>
    </row>
    <row r="5896" spans="47:47" ht="12" customHeight="1">
      <c r="AU5896" s="44"/>
    </row>
    <row r="5897" spans="47:47" ht="12" customHeight="1">
      <c r="AU5897" s="44"/>
    </row>
    <row r="5898" spans="47:47" ht="12" customHeight="1">
      <c r="AU5898" s="44"/>
    </row>
    <row r="5899" spans="47:47" ht="12" customHeight="1">
      <c r="AU5899" s="44"/>
    </row>
    <row r="5900" spans="47:47" ht="12" customHeight="1">
      <c r="AU5900" s="44"/>
    </row>
    <row r="5901" spans="47:47" ht="12" customHeight="1">
      <c r="AU5901" s="44"/>
    </row>
    <row r="5902" spans="47:47" ht="12" customHeight="1">
      <c r="AU5902" s="44"/>
    </row>
    <row r="5903" spans="47:47" ht="12" customHeight="1">
      <c r="AU5903" s="44"/>
    </row>
    <row r="5904" spans="47:47" ht="12" customHeight="1">
      <c r="AU5904" s="44"/>
    </row>
    <row r="5905" spans="47:47" ht="12" customHeight="1">
      <c r="AU5905" s="44"/>
    </row>
    <row r="5906" spans="47:47" ht="12" customHeight="1">
      <c r="AU5906" s="44"/>
    </row>
    <row r="5907" spans="47:47" ht="12" customHeight="1">
      <c r="AU5907" s="44"/>
    </row>
    <row r="5908" spans="47:47" ht="12" customHeight="1">
      <c r="AU5908" s="44"/>
    </row>
    <row r="5909" spans="47:47" ht="12" customHeight="1">
      <c r="AU5909" s="44"/>
    </row>
    <row r="5910" spans="47:47" ht="12" customHeight="1">
      <c r="AU5910" s="44"/>
    </row>
    <row r="5911" spans="47:47" ht="12" customHeight="1">
      <c r="AU5911" s="44"/>
    </row>
    <row r="5912" spans="47:47" ht="12" customHeight="1">
      <c r="AU5912" s="44"/>
    </row>
    <row r="5913" spans="47:47" ht="12" customHeight="1">
      <c r="AU5913" s="44"/>
    </row>
    <row r="5914" spans="47:47" ht="12" customHeight="1">
      <c r="AU5914" s="44"/>
    </row>
    <row r="5915" spans="47:47" ht="12" customHeight="1">
      <c r="AU5915" s="44"/>
    </row>
    <row r="5916" spans="47:47" ht="12" customHeight="1">
      <c r="AU5916" s="44"/>
    </row>
    <row r="5917" spans="47:47" ht="12" customHeight="1">
      <c r="AU5917" s="44"/>
    </row>
    <row r="5918" spans="47:47" ht="12" customHeight="1">
      <c r="AU5918" s="44"/>
    </row>
    <row r="5919" spans="47:47" ht="12" customHeight="1">
      <c r="AU5919" s="44"/>
    </row>
    <row r="5920" spans="47:47" ht="12" customHeight="1">
      <c r="AU5920" s="44"/>
    </row>
    <row r="5921" spans="47:47" ht="12" customHeight="1">
      <c r="AU5921" s="44"/>
    </row>
    <row r="5922" spans="47:47" ht="12" customHeight="1">
      <c r="AU5922" s="44"/>
    </row>
    <row r="5923" spans="47:47" ht="12" customHeight="1">
      <c r="AU5923" s="44"/>
    </row>
    <row r="5924" spans="47:47" ht="12" customHeight="1">
      <c r="AU5924" s="44"/>
    </row>
    <row r="5925" spans="47:47" ht="12" customHeight="1">
      <c r="AU5925" s="44"/>
    </row>
    <row r="5926" spans="47:47" ht="12" customHeight="1">
      <c r="AU5926" s="44"/>
    </row>
    <row r="5927" spans="47:47" ht="12" customHeight="1">
      <c r="AU5927" s="44"/>
    </row>
    <row r="5928" spans="47:47" ht="12" customHeight="1">
      <c r="AU5928" s="44"/>
    </row>
    <row r="5929" spans="47:47" ht="12" customHeight="1">
      <c r="AU5929" s="44"/>
    </row>
    <row r="5930" spans="47:47" ht="12" customHeight="1">
      <c r="AU5930" s="44"/>
    </row>
    <row r="5931" spans="47:47" ht="12" customHeight="1">
      <c r="AU5931" s="44"/>
    </row>
    <row r="5932" spans="47:47" ht="12" customHeight="1">
      <c r="AU5932" s="44"/>
    </row>
    <row r="5933" spans="47:47" ht="12" customHeight="1">
      <c r="AU5933" s="44"/>
    </row>
    <row r="5934" spans="47:47" ht="12" customHeight="1">
      <c r="AU5934" s="44"/>
    </row>
    <row r="5935" spans="47:47" ht="12" customHeight="1">
      <c r="AU5935" s="44"/>
    </row>
    <row r="5936" spans="47:47" ht="12" customHeight="1">
      <c r="AU5936" s="44"/>
    </row>
    <row r="5937" spans="47:47" ht="12" customHeight="1">
      <c r="AU5937" s="44"/>
    </row>
    <row r="5938" spans="47:47" ht="12" customHeight="1">
      <c r="AU5938" s="44"/>
    </row>
    <row r="5939" spans="47:47" ht="12" customHeight="1">
      <c r="AU5939" s="44"/>
    </row>
    <row r="5940" spans="47:47" ht="12" customHeight="1">
      <c r="AU5940" s="44"/>
    </row>
    <row r="5941" spans="47:47" ht="12" customHeight="1">
      <c r="AU5941" s="44"/>
    </row>
    <row r="5942" spans="47:47" ht="12" customHeight="1">
      <c r="AU5942" s="44"/>
    </row>
    <row r="5943" spans="47:47" ht="12" customHeight="1">
      <c r="AU5943" s="44"/>
    </row>
    <row r="5944" spans="47:47" ht="12" customHeight="1">
      <c r="AU5944" s="44"/>
    </row>
    <row r="5945" spans="47:47" ht="12" customHeight="1">
      <c r="AU5945" s="44"/>
    </row>
    <row r="5946" spans="47:47" ht="12" customHeight="1">
      <c r="AU5946" s="44"/>
    </row>
    <row r="5947" spans="47:47" ht="12" customHeight="1">
      <c r="AU5947" s="44"/>
    </row>
    <row r="5948" spans="47:47" ht="12" customHeight="1">
      <c r="AU5948" s="44"/>
    </row>
    <row r="5949" spans="47:47" ht="12" customHeight="1">
      <c r="AU5949" s="44"/>
    </row>
    <row r="5950" spans="47:47" ht="12" customHeight="1">
      <c r="AU5950" s="44"/>
    </row>
    <row r="5951" spans="47:47" ht="12" customHeight="1">
      <c r="AU5951" s="44"/>
    </row>
    <row r="5952" spans="47:47" ht="12" customHeight="1">
      <c r="AU5952" s="44"/>
    </row>
    <row r="5953" spans="47:47" ht="12" customHeight="1">
      <c r="AU5953" s="44"/>
    </row>
    <row r="5954" spans="47:47" ht="12" customHeight="1">
      <c r="AU5954" s="44"/>
    </row>
    <row r="5955" spans="47:47" ht="12" customHeight="1">
      <c r="AU5955" s="44"/>
    </row>
    <row r="5956" spans="47:47" ht="12" customHeight="1">
      <c r="AU5956" s="44"/>
    </row>
    <row r="5957" spans="47:47" ht="12" customHeight="1">
      <c r="AU5957" s="44"/>
    </row>
    <row r="5958" spans="47:47" ht="12" customHeight="1">
      <c r="AU5958" s="44"/>
    </row>
    <row r="5959" spans="47:47" ht="12" customHeight="1">
      <c r="AU5959" s="44"/>
    </row>
    <row r="5960" spans="47:47" ht="12" customHeight="1">
      <c r="AU5960" s="44"/>
    </row>
    <row r="5961" spans="47:47" ht="12" customHeight="1">
      <c r="AU5961" s="44"/>
    </row>
    <row r="5962" spans="47:47" ht="12" customHeight="1">
      <c r="AU5962" s="44"/>
    </row>
    <row r="5963" spans="47:47" ht="12" customHeight="1">
      <c r="AU5963" s="44"/>
    </row>
    <row r="5964" spans="47:47" ht="12" customHeight="1">
      <c r="AU5964" s="44"/>
    </row>
    <row r="5965" spans="47:47" ht="12" customHeight="1">
      <c r="AU5965" s="44"/>
    </row>
    <row r="5966" spans="47:47" ht="12" customHeight="1">
      <c r="AU5966" s="44"/>
    </row>
    <row r="5967" spans="47:47" ht="12" customHeight="1">
      <c r="AU5967" s="44"/>
    </row>
    <row r="5968" spans="47:47" ht="12" customHeight="1">
      <c r="AU5968" s="44"/>
    </row>
    <row r="5969" spans="47:47" ht="12" customHeight="1">
      <c r="AU5969" s="44"/>
    </row>
    <row r="5970" spans="47:47" ht="12" customHeight="1">
      <c r="AU5970" s="44"/>
    </row>
    <row r="5971" spans="47:47" ht="12" customHeight="1">
      <c r="AU5971" s="44"/>
    </row>
    <row r="5972" spans="47:47" ht="12" customHeight="1">
      <c r="AU5972" s="44"/>
    </row>
    <row r="5973" spans="47:47" ht="12" customHeight="1">
      <c r="AU5973" s="44"/>
    </row>
    <row r="5974" spans="47:47" ht="12" customHeight="1">
      <c r="AU5974" s="44"/>
    </row>
    <row r="5975" spans="47:47" ht="12" customHeight="1">
      <c r="AU5975" s="44"/>
    </row>
    <row r="5976" spans="47:47" ht="12" customHeight="1">
      <c r="AU5976" s="44"/>
    </row>
    <row r="5977" spans="47:47" ht="12" customHeight="1">
      <c r="AU5977" s="44"/>
    </row>
    <row r="5978" spans="47:47" ht="12" customHeight="1">
      <c r="AU5978" s="44"/>
    </row>
    <row r="5979" spans="47:47" ht="12" customHeight="1">
      <c r="AU5979" s="44"/>
    </row>
    <row r="5980" spans="47:47" ht="12" customHeight="1">
      <c r="AU5980" s="44"/>
    </row>
    <row r="5981" spans="47:47" ht="12" customHeight="1">
      <c r="AU5981" s="44"/>
    </row>
    <row r="5982" spans="47:47" ht="12" customHeight="1">
      <c r="AU5982" s="44"/>
    </row>
    <row r="5983" spans="47:47" ht="12" customHeight="1">
      <c r="AU5983" s="44"/>
    </row>
    <row r="5984" spans="47:47" ht="12" customHeight="1">
      <c r="AU5984" s="44"/>
    </row>
    <row r="5985" spans="47:47" ht="12" customHeight="1">
      <c r="AU5985" s="44"/>
    </row>
    <row r="5986" spans="47:47" ht="12" customHeight="1">
      <c r="AU5986" s="44"/>
    </row>
    <row r="5987" spans="47:47" ht="12" customHeight="1">
      <c r="AU5987" s="44"/>
    </row>
    <row r="5988" spans="47:47" ht="12" customHeight="1">
      <c r="AU5988" s="44"/>
    </row>
    <row r="5989" spans="47:47" ht="12" customHeight="1">
      <c r="AU5989" s="44"/>
    </row>
    <row r="5990" spans="47:47" ht="12" customHeight="1">
      <c r="AU5990" s="44"/>
    </row>
    <row r="5991" spans="47:47" ht="12" customHeight="1">
      <c r="AU5991" s="44"/>
    </row>
    <row r="5992" spans="47:47" ht="12" customHeight="1">
      <c r="AU5992" s="44"/>
    </row>
    <row r="5993" spans="47:47" ht="12" customHeight="1">
      <c r="AU5993" s="44"/>
    </row>
    <row r="5994" spans="47:47" ht="12" customHeight="1">
      <c r="AU5994" s="44"/>
    </row>
    <row r="5995" spans="47:47" ht="12" customHeight="1">
      <c r="AU5995" s="44"/>
    </row>
    <row r="5996" spans="47:47" ht="12" customHeight="1">
      <c r="AU5996" s="44"/>
    </row>
    <row r="5997" spans="47:47" ht="12" customHeight="1">
      <c r="AU5997" s="44"/>
    </row>
    <row r="5998" spans="47:47" ht="12" customHeight="1">
      <c r="AU5998" s="44"/>
    </row>
    <row r="5999" spans="47:47" ht="12" customHeight="1">
      <c r="AU5999" s="44"/>
    </row>
    <row r="6000" spans="47:47" ht="12" customHeight="1">
      <c r="AU6000" s="44"/>
    </row>
    <row r="6001" spans="47:47" ht="12" customHeight="1">
      <c r="AU6001" s="44"/>
    </row>
    <row r="6002" spans="47:47" ht="12" customHeight="1">
      <c r="AU6002" s="44"/>
    </row>
    <row r="6003" spans="47:47" ht="12" customHeight="1">
      <c r="AU6003" s="44"/>
    </row>
    <row r="6004" spans="47:47" ht="12" customHeight="1">
      <c r="AU6004" s="44"/>
    </row>
    <row r="6005" spans="47:47" ht="12" customHeight="1">
      <c r="AU6005" s="44"/>
    </row>
    <row r="6006" spans="47:47" ht="12" customHeight="1">
      <c r="AU6006" s="44"/>
    </row>
    <row r="6007" spans="47:47" ht="12" customHeight="1">
      <c r="AU6007" s="44"/>
    </row>
    <row r="6008" spans="47:47" ht="12" customHeight="1">
      <c r="AU6008" s="44"/>
    </row>
    <row r="6009" spans="47:47" ht="12" customHeight="1">
      <c r="AU6009" s="44"/>
    </row>
    <row r="6010" spans="47:47" ht="12" customHeight="1">
      <c r="AU6010" s="44"/>
    </row>
    <row r="6011" spans="47:47" ht="12" customHeight="1">
      <c r="AU6011" s="44"/>
    </row>
    <row r="6012" spans="47:47" ht="12" customHeight="1">
      <c r="AU6012" s="44"/>
    </row>
    <row r="6013" spans="47:47" ht="12" customHeight="1">
      <c r="AU6013" s="44"/>
    </row>
    <row r="6014" spans="47:47" ht="12" customHeight="1">
      <c r="AU6014" s="44"/>
    </row>
    <row r="6015" spans="47:47" ht="12" customHeight="1">
      <c r="AU6015" s="44"/>
    </row>
    <row r="6016" spans="47:47" ht="12" customHeight="1">
      <c r="AU6016" s="44"/>
    </row>
    <row r="6017" spans="47:47" ht="12" customHeight="1">
      <c r="AU6017" s="44"/>
    </row>
    <row r="6018" spans="47:47" ht="12" customHeight="1">
      <c r="AU6018" s="44"/>
    </row>
    <row r="6019" spans="47:47" ht="12" customHeight="1">
      <c r="AU6019" s="44"/>
    </row>
    <row r="6020" spans="47:47" ht="12" customHeight="1">
      <c r="AU6020" s="44"/>
    </row>
    <row r="6021" spans="47:47" ht="12" customHeight="1">
      <c r="AU6021" s="44"/>
    </row>
    <row r="6022" spans="47:47" ht="12" customHeight="1">
      <c r="AU6022" s="44"/>
    </row>
    <row r="6023" spans="47:47" ht="12" customHeight="1">
      <c r="AU6023" s="44"/>
    </row>
    <row r="6024" spans="47:47" ht="12" customHeight="1">
      <c r="AU6024" s="44"/>
    </row>
    <row r="6025" spans="47:47" ht="12" customHeight="1">
      <c r="AU6025" s="44"/>
    </row>
    <row r="6026" spans="47:47" ht="12" customHeight="1">
      <c r="AU6026" s="44"/>
    </row>
    <row r="6027" spans="47:47" ht="12" customHeight="1">
      <c r="AU6027" s="44"/>
    </row>
    <row r="6028" spans="47:47" ht="12" customHeight="1">
      <c r="AU6028" s="44"/>
    </row>
    <row r="6029" spans="47:47" ht="12" customHeight="1">
      <c r="AU6029" s="44"/>
    </row>
    <row r="6030" spans="47:47" ht="12" customHeight="1">
      <c r="AU6030" s="44"/>
    </row>
    <row r="6031" spans="47:47" ht="12" customHeight="1">
      <c r="AU6031" s="44"/>
    </row>
    <row r="6032" spans="47:47" ht="12" customHeight="1">
      <c r="AU6032" s="44"/>
    </row>
    <row r="6033" spans="47:47" ht="12" customHeight="1">
      <c r="AU6033" s="44"/>
    </row>
    <row r="6034" spans="47:47" ht="12" customHeight="1">
      <c r="AU6034" s="44"/>
    </row>
    <row r="6035" spans="47:47" ht="12" customHeight="1">
      <c r="AU6035" s="44"/>
    </row>
    <row r="6036" spans="47:47" ht="12" customHeight="1">
      <c r="AU6036" s="44"/>
    </row>
    <row r="6037" spans="47:47" ht="12" customHeight="1">
      <c r="AU6037" s="44"/>
    </row>
    <row r="6038" spans="47:47" ht="12" customHeight="1">
      <c r="AU6038" s="44"/>
    </row>
    <row r="6039" spans="47:47" ht="12" customHeight="1">
      <c r="AU6039" s="44"/>
    </row>
    <row r="6040" spans="47:47" ht="12" customHeight="1">
      <c r="AU6040" s="44"/>
    </row>
    <row r="6041" spans="47:47" ht="12" customHeight="1">
      <c r="AU6041" s="44"/>
    </row>
    <row r="6042" spans="47:47" ht="12" customHeight="1">
      <c r="AU6042" s="44"/>
    </row>
    <row r="6043" spans="47:47" ht="12" customHeight="1">
      <c r="AU6043" s="44"/>
    </row>
    <row r="6044" spans="47:47" ht="12" customHeight="1">
      <c r="AU6044" s="44"/>
    </row>
    <row r="6045" spans="47:47" ht="12" customHeight="1">
      <c r="AU6045" s="44"/>
    </row>
    <row r="6046" spans="47:47" ht="12" customHeight="1">
      <c r="AU6046" s="44"/>
    </row>
    <row r="6047" spans="47:47" ht="12" customHeight="1">
      <c r="AU6047" s="44"/>
    </row>
    <row r="6048" spans="47:47" ht="12" customHeight="1">
      <c r="AU6048" s="44"/>
    </row>
    <row r="6049" spans="47:47" ht="12" customHeight="1">
      <c r="AU6049" s="44"/>
    </row>
    <row r="6050" spans="47:47" ht="12" customHeight="1">
      <c r="AU6050" s="44"/>
    </row>
    <row r="6051" spans="47:47" ht="12" customHeight="1">
      <c r="AU6051" s="44"/>
    </row>
    <row r="6052" spans="47:47" ht="12" customHeight="1">
      <c r="AU6052" s="44"/>
    </row>
    <row r="6053" spans="47:47" ht="12" customHeight="1">
      <c r="AU6053" s="44"/>
    </row>
    <row r="6054" spans="47:47" ht="12" customHeight="1">
      <c r="AU6054" s="44"/>
    </row>
    <row r="6055" spans="47:47" ht="12" customHeight="1">
      <c r="AU6055" s="44"/>
    </row>
    <row r="6056" spans="47:47" ht="12" customHeight="1">
      <c r="AU6056" s="44"/>
    </row>
    <row r="6057" spans="47:47" ht="12" customHeight="1">
      <c r="AU6057" s="44"/>
    </row>
    <row r="6058" spans="47:47" ht="12" customHeight="1">
      <c r="AU6058" s="44"/>
    </row>
    <row r="6059" spans="47:47" ht="12" customHeight="1">
      <c r="AU6059" s="44"/>
    </row>
    <row r="6060" spans="47:47" ht="12" customHeight="1">
      <c r="AU6060" s="44"/>
    </row>
    <row r="6061" spans="47:47" ht="12" customHeight="1">
      <c r="AU6061" s="44"/>
    </row>
    <row r="6062" spans="47:47" ht="12" customHeight="1">
      <c r="AU6062" s="44"/>
    </row>
    <row r="6063" spans="47:47" ht="12" customHeight="1">
      <c r="AU6063" s="44"/>
    </row>
    <row r="6064" spans="47:47" ht="12" customHeight="1">
      <c r="AU6064" s="44"/>
    </row>
    <row r="6065" spans="47:47" ht="12" customHeight="1">
      <c r="AU6065" s="44"/>
    </row>
    <row r="6066" spans="47:47" ht="12" customHeight="1">
      <c r="AU6066" s="44"/>
    </row>
    <row r="6067" spans="47:47" ht="12" customHeight="1">
      <c r="AU6067" s="44"/>
    </row>
    <row r="6068" spans="47:47" ht="12" customHeight="1">
      <c r="AU6068" s="44"/>
    </row>
    <row r="6069" spans="47:47" ht="12" customHeight="1">
      <c r="AU6069" s="44"/>
    </row>
    <row r="6070" spans="47:47" ht="12" customHeight="1">
      <c r="AU6070" s="44"/>
    </row>
    <row r="6071" spans="47:47" ht="12" customHeight="1">
      <c r="AU6071" s="44"/>
    </row>
    <row r="6072" spans="47:47" ht="12" customHeight="1">
      <c r="AU6072" s="44"/>
    </row>
    <row r="6073" spans="47:47" ht="12" customHeight="1">
      <c r="AU6073" s="44"/>
    </row>
    <row r="6074" spans="47:47" ht="12" customHeight="1">
      <c r="AU6074" s="44"/>
    </row>
    <row r="6075" spans="47:47" ht="12" customHeight="1">
      <c r="AU6075" s="44"/>
    </row>
    <row r="6076" spans="47:47" ht="12" customHeight="1">
      <c r="AU6076" s="44"/>
    </row>
    <row r="6077" spans="47:47" ht="12" customHeight="1">
      <c r="AU6077" s="44"/>
    </row>
    <row r="6078" spans="47:47" ht="12" customHeight="1">
      <c r="AU6078" s="44"/>
    </row>
    <row r="6079" spans="47:47" ht="12" customHeight="1">
      <c r="AU6079" s="44"/>
    </row>
    <row r="6080" spans="47:47" ht="12" customHeight="1">
      <c r="AU6080" s="44"/>
    </row>
    <row r="6081" spans="47:47" ht="12" customHeight="1">
      <c r="AU6081" s="44"/>
    </row>
    <row r="6082" spans="47:47" ht="12" customHeight="1">
      <c r="AU6082" s="44"/>
    </row>
    <row r="6083" spans="47:47" ht="12" customHeight="1">
      <c r="AU6083" s="44"/>
    </row>
    <row r="6084" spans="47:47" ht="12" customHeight="1">
      <c r="AU6084" s="44"/>
    </row>
    <row r="6085" spans="47:47" ht="12" customHeight="1">
      <c r="AU6085" s="44"/>
    </row>
    <row r="6086" spans="47:47" ht="12" customHeight="1">
      <c r="AU6086" s="44"/>
    </row>
    <row r="6087" spans="47:47" ht="12" customHeight="1">
      <c r="AU6087" s="44"/>
    </row>
    <row r="6088" spans="47:47" ht="12" customHeight="1">
      <c r="AU6088" s="44"/>
    </row>
    <row r="6089" spans="47:47" ht="12" customHeight="1">
      <c r="AU6089" s="44"/>
    </row>
    <row r="6090" spans="47:47" ht="12" customHeight="1">
      <c r="AU6090" s="44"/>
    </row>
    <row r="6091" spans="47:47" ht="12" customHeight="1">
      <c r="AU6091" s="44"/>
    </row>
    <row r="6092" spans="47:47" ht="12" customHeight="1">
      <c r="AU6092" s="44"/>
    </row>
    <row r="6093" spans="47:47" ht="12" customHeight="1">
      <c r="AU6093" s="44"/>
    </row>
    <row r="6094" spans="47:47" ht="12" customHeight="1">
      <c r="AU6094" s="44"/>
    </row>
    <row r="6095" spans="47:47" ht="12" customHeight="1">
      <c r="AU6095" s="44"/>
    </row>
    <row r="6096" spans="47:47" ht="12" customHeight="1">
      <c r="AU6096" s="44"/>
    </row>
    <row r="6097" spans="47:47" ht="12" customHeight="1">
      <c r="AU6097" s="44"/>
    </row>
    <row r="6098" spans="47:47" ht="12" customHeight="1">
      <c r="AU6098" s="44"/>
    </row>
    <row r="6099" spans="47:47" ht="12" customHeight="1">
      <c r="AU6099" s="44"/>
    </row>
    <row r="6100" spans="47:47" ht="12" customHeight="1">
      <c r="AU6100" s="44"/>
    </row>
    <row r="6101" spans="47:47" ht="12" customHeight="1">
      <c r="AU6101" s="44"/>
    </row>
    <row r="6102" spans="47:47" ht="12" customHeight="1">
      <c r="AU6102" s="44"/>
    </row>
    <row r="6103" spans="47:47" ht="12" customHeight="1">
      <c r="AU6103" s="44"/>
    </row>
    <row r="6104" spans="47:47" ht="12" customHeight="1">
      <c r="AU6104" s="44"/>
    </row>
    <row r="6105" spans="47:47" ht="12" customHeight="1">
      <c r="AU6105" s="44"/>
    </row>
    <row r="6106" spans="47:47" ht="12" customHeight="1">
      <c r="AU6106" s="44"/>
    </row>
    <row r="6107" spans="47:47" ht="12" customHeight="1">
      <c r="AU6107" s="44"/>
    </row>
    <row r="6108" spans="47:47" ht="12" customHeight="1">
      <c r="AU6108" s="44"/>
    </row>
    <row r="6109" spans="47:47" ht="12" customHeight="1">
      <c r="AU6109" s="44"/>
    </row>
    <row r="6110" spans="47:47" ht="12" customHeight="1">
      <c r="AU6110" s="44"/>
    </row>
    <row r="6111" spans="47:47" ht="12" customHeight="1">
      <c r="AU6111" s="44"/>
    </row>
    <row r="6112" spans="47:47" ht="12" customHeight="1">
      <c r="AU6112" s="44"/>
    </row>
    <row r="6113" spans="47:47" ht="12" customHeight="1">
      <c r="AU6113" s="44"/>
    </row>
    <row r="6114" spans="47:47" ht="12" customHeight="1">
      <c r="AU6114" s="44"/>
    </row>
    <row r="6115" spans="47:47" ht="12" customHeight="1">
      <c r="AU6115" s="44"/>
    </row>
    <row r="6116" spans="47:47" ht="12" customHeight="1">
      <c r="AU6116" s="44"/>
    </row>
    <row r="6117" spans="47:47" ht="12" customHeight="1">
      <c r="AU6117" s="44"/>
    </row>
    <row r="6118" spans="47:47" ht="12" customHeight="1">
      <c r="AU6118" s="44"/>
    </row>
    <row r="6119" spans="47:47" ht="12" customHeight="1">
      <c r="AU6119" s="44"/>
    </row>
    <row r="6120" spans="47:47" ht="12" customHeight="1">
      <c r="AU6120" s="44"/>
    </row>
    <row r="6121" spans="47:47" ht="12" customHeight="1">
      <c r="AU6121" s="44"/>
    </row>
    <row r="6122" spans="47:47" ht="12" customHeight="1">
      <c r="AU6122" s="44"/>
    </row>
    <row r="6123" spans="47:47" ht="12" customHeight="1">
      <c r="AU6123" s="44"/>
    </row>
    <row r="6124" spans="47:47" ht="12" customHeight="1">
      <c r="AU6124" s="44"/>
    </row>
    <row r="6125" spans="47:47" ht="12" customHeight="1">
      <c r="AU6125" s="44"/>
    </row>
    <row r="6126" spans="47:47" ht="12" customHeight="1">
      <c r="AU6126" s="44"/>
    </row>
    <row r="6127" spans="47:47" ht="12" customHeight="1">
      <c r="AU6127" s="44"/>
    </row>
    <row r="6128" spans="47:47" ht="12" customHeight="1">
      <c r="AU6128" s="44"/>
    </row>
    <row r="6129" spans="47:47" ht="12" customHeight="1">
      <c r="AU6129" s="44"/>
    </row>
    <row r="6130" spans="47:47" ht="12" customHeight="1">
      <c r="AU6130" s="44"/>
    </row>
    <row r="6131" spans="47:47" ht="12" customHeight="1">
      <c r="AU6131" s="44"/>
    </row>
    <row r="6132" spans="47:47" ht="12" customHeight="1">
      <c r="AU6132" s="44"/>
    </row>
    <row r="6133" spans="47:47" ht="12" customHeight="1">
      <c r="AU6133" s="44"/>
    </row>
    <row r="6134" spans="47:47" ht="12" customHeight="1">
      <c r="AU6134" s="44"/>
    </row>
    <row r="6135" spans="47:47" ht="12" customHeight="1">
      <c r="AU6135" s="44"/>
    </row>
    <row r="6136" spans="47:47" ht="12" customHeight="1">
      <c r="AU6136" s="44"/>
    </row>
    <row r="6137" spans="47:47" ht="12" customHeight="1">
      <c r="AU6137" s="44"/>
    </row>
    <row r="6138" spans="47:47" ht="12" customHeight="1">
      <c r="AU6138" s="44"/>
    </row>
    <row r="6139" spans="47:47" ht="12" customHeight="1">
      <c r="AU6139" s="44"/>
    </row>
    <row r="6140" spans="47:47" ht="12" customHeight="1">
      <c r="AU6140" s="44"/>
    </row>
    <row r="6141" spans="47:47" ht="12" customHeight="1">
      <c r="AU6141" s="44"/>
    </row>
    <row r="6142" spans="47:47" ht="12" customHeight="1">
      <c r="AU6142" s="44"/>
    </row>
    <row r="6143" spans="47:47" ht="12" customHeight="1">
      <c r="AU6143" s="44"/>
    </row>
    <row r="6144" spans="47:47" ht="12" customHeight="1">
      <c r="AU6144" s="44"/>
    </row>
    <row r="6145" spans="47:47" ht="12" customHeight="1">
      <c r="AU6145" s="44"/>
    </row>
    <row r="6146" spans="47:47" ht="12" customHeight="1">
      <c r="AU6146" s="44"/>
    </row>
    <row r="6147" spans="47:47" ht="12" customHeight="1">
      <c r="AU6147" s="44"/>
    </row>
    <row r="6148" spans="47:47" ht="12" customHeight="1">
      <c r="AU6148" s="44"/>
    </row>
    <row r="6149" spans="47:47" ht="12" customHeight="1">
      <c r="AU6149" s="44"/>
    </row>
    <row r="6150" spans="47:47" ht="12" customHeight="1">
      <c r="AU6150" s="44"/>
    </row>
    <row r="6151" spans="47:47" ht="12" customHeight="1">
      <c r="AU6151" s="44"/>
    </row>
    <row r="6152" spans="47:47" ht="12" customHeight="1">
      <c r="AU6152" s="44"/>
    </row>
    <row r="6153" spans="47:47" ht="12" customHeight="1">
      <c r="AU6153" s="44"/>
    </row>
    <row r="6154" spans="47:47" ht="12" customHeight="1">
      <c r="AU6154" s="44"/>
    </row>
    <row r="6155" spans="47:47" ht="12" customHeight="1">
      <c r="AU6155" s="44"/>
    </row>
    <row r="6156" spans="47:47" ht="12" customHeight="1">
      <c r="AU6156" s="44"/>
    </row>
    <row r="6157" spans="47:47" ht="12" customHeight="1">
      <c r="AU6157" s="44"/>
    </row>
    <row r="6158" spans="47:47" ht="12" customHeight="1">
      <c r="AU6158" s="44"/>
    </row>
    <row r="6159" spans="47:47" ht="12" customHeight="1">
      <c r="AU6159" s="44"/>
    </row>
    <row r="6160" spans="47:47" ht="12" customHeight="1">
      <c r="AU6160" s="44"/>
    </row>
    <row r="6161" spans="47:47" ht="12" customHeight="1">
      <c r="AU6161" s="44"/>
    </row>
    <row r="6162" spans="47:47" ht="12" customHeight="1">
      <c r="AU6162" s="44"/>
    </row>
    <row r="6163" spans="47:47" ht="12" customHeight="1">
      <c r="AU6163" s="44"/>
    </row>
    <row r="6164" spans="47:47" ht="12" customHeight="1">
      <c r="AU6164" s="44"/>
    </row>
    <row r="6165" spans="47:47" ht="12" customHeight="1">
      <c r="AU6165" s="44"/>
    </row>
    <row r="6166" spans="47:47" ht="12" customHeight="1">
      <c r="AU6166" s="44"/>
    </row>
    <row r="6167" spans="47:47" ht="12" customHeight="1">
      <c r="AU6167" s="44"/>
    </row>
    <row r="6168" spans="47:47" ht="12" customHeight="1">
      <c r="AU6168" s="44"/>
    </row>
    <row r="6169" spans="47:47" ht="12" customHeight="1">
      <c r="AU6169" s="44"/>
    </row>
    <row r="6170" spans="47:47" ht="12" customHeight="1">
      <c r="AU6170" s="44"/>
    </row>
    <row r="6171" spans="47:47" ht="12" customHeight="1">
      <c r="AU6171" s="44"/>
    </row>
    <row r="6172" spans="47:47" ht="12" customHeight="1">
      <c r="AU6172" s="44"/>
    </row>
    <row r="6173" spans="47:47" ht="12" customHeight="1">
      <c r="AU6173" s="44"/>
    </row>
    <row r="6174" spans="47:47" ht="12" customHeight="1">
      <c r="AU6174" s="44"/>
    </row>
    <row r="6175" spans="47:47" ht="12" customHeight="1">
      <c r="AU6175" s="44"/>
    </row>
    <row r="6176" spans="47:47" ht="12" customHeight="1">
      <c r="AU6176" s="44"/>
    </row>
    <row r="6177" spans="47:47" ht="12" customHeight="1">
      <c r="AU6177" s="44"/>
    </row>
    <row r="6178" spans="47:47" ht="12" customHeight="1">
      <c r="AU6178" s="44"/>
    </row>
    <row r="6179" spans="47:47" ht="12" customHeight="1">
      <c r="AU6179" s="44"/>
    </row>
    <row r="6180" spans="47:47" ht="12" customHeight="1">
      <c r="AU6180" s="44"/>
    </row>
    <row r="6181" spans="47:47" ht="12" customHeight="1">
      <c r="AU6181" s="44"/>
    </row>
    <row r="6182" spans="47:47" ht="12" customHeight="1">
      <c r="AU6182" s="44"/>
    </row>
    <row r="6183" spans="47:47" ht="12" customHeight="1">
      <c r="AU6183" s="44"/>
    </row>
    <row r="6184" spans="47:47" ht="12" customHeight="1">
      <c r="AU6184" s="44"/>
    </row>
    <row r="6185" spans="47:47" ht="12" customHeight="1">
      <c r="AU6185" s="44"/>
    </row>
    <row r="6186" spans="47:47" ht="12" customHeight="1">
      <c r="AU6186" s="44"/>
    </row>
    <row r="6187" spans="47:47" ht="12" customHeight="1">
      <c r="AU6187" s="44"/>
    </row>
    <row r="6188" spans="47:47" ht="12" customHeight="1">
      <c r="AU6188" s="44"/>
    </row>
    <row r="6189" spans="47:47" ht="12" customHeight="1">
      <c r="AU6189" s="44"/>
    </row>
    <row r="6190" spans="47:47" ht="12" customHeight="1">
      <c r="AU6190" s="44"/>
    </row>
    <row r="6191" spans="47:47" ht="12" customHeight="1">
      <c r="AU6191" s="44"/>
    </row>
    <row r="6192" spans="47:47" ht="12" customHeight="1">
      <c r="AU6192" s="44"/>
    </row>
    <row r="6193" spans="47:47" ht="12" customHeight="1">
      <c r="AU6193" s="44"/>
    </row>
    <row r="6194" spans="47:47" ht="12" customHeight="1">
      <c r="AU6194" s="44"/>
    </row>
    <row r="6195" spans="47:47" ht="12" customHeight="1">
      <c r="AU6195" s="44"/>
    </row>
    <row r="6196" spans="47:47" ht="12" customHeight="1">
      <c r="AU6196" s="44"/>
    </row>
    <row r="6197" spans="47:47" ht="12" customHeight="1">
      <c r="AU6197" s="44"/>
    </row>
    <row r="6198" spans="47:47" ht="12" customHeight="1">
      <c r="AU6198" s="44"/>
    </row>
    <row r="6199" spans="47:47" ht="12" customHeight="1">
      <c r="AU6199" s="44"/>
    </row>
    <row r="6200" spans="47:47" ht="12" customHeight="1">
      <c r="AU6200" s="44"/>
    </row>
    <row r="6201" spans="47:47" ht="12" customHeight="1">
      <c r="AU6201" s="44"/>
    </row>
    <row r="6202" spans="47:47" ht="12" customHeight="1">
      <c r="AU6202" s="44"/>
    </row>
    <row r="6203" spans="47:47" ht="12" customHeight="1">
      <c r="AU6203" s="44"/>
    </row>
    <row r="6204" spans="47:47" ht="12" customHeight="1">
      <c r="AU6204" s="44"/>
    </row>
    <row r="6205" spans="47:47" ht="12" customHeight="1">
      <c r="AU6205" s="44"/>
    </row>
    <row r="6206" spans="47:47" ht="12" customHeight="1">
      <c r="AU6206" s="44"/>
    </row>
    <row r="6207" spans="47:47" ht="12" customHeight="1">
      <c r="AU6207" s="44"/>
    </row>
    <row r="6208" spans="47:47" ht="12" customHeight="1">
      <c r="AU6208" s="44"/>
    </row>
    <row r="6209" spans="47:47" ht="12" customHeight="1">
      <c r="AU6209" s="44"/>
    </row>
    <row r="6210" spans="47:47" ht="12" customHeight="1">
      <c r="AU6210" s="44"/>
    </row>
    <row r="6211" spans="47:47" ht="12" customHeight="1">
      <c r="AU6211" s="44"/>
    </row>
    <row r="6212" spans="47:47" ht="12" customHeight="1">
      <c r="AU6212" s="44"/>
    </row>
    <row r="6213" spans="47:47" ht="12" customHeight="1">
      <c r="AU6213" s="44"/>
    </row>
    <row r="6214" spans="47:47" ht="12" customHeight="1">
      <c r="AU6214" s="44"/>
    </row>
    <row r="6215" spans="47:47" ht="12" customHeight="1">
      <c r="AU6215" s="44"/>
    </row>
    <row r="6216" spans="47:47" ht="12" customHeight="1">
      <c r="AU6216" s="44"/>
    </row>
    <row r="6217" spans="47:47" ht="12" customHeight="1">
      <c r="AU6217" s="44"/>
    </row>
    <row r="6218" spans="47:47" ht="12" customHeight="1">
      <c r="AU6218" s="44"/>
    </row>
    <row r="6219" spans="47:47" ht="12" customHeight="1">
      <c r="AU6219" s="44"/>
    </row>
    <row r="6220" spans="47:47" ht="12" customHeight="1">
      <c r="AU6220" s="44"/>
    </row>
    <row r="6221" spans="47:47" ht="12" customHeight="1">
      <c r="AU6221" s="44"/>
    </row>
    <row r="6222" spans="47:47" ht="12" customHeight="1">
      <c r="AU6222" s="44"/>
    </row>
    <row r="6223" spans="47:47" ht="12" customHeight="1">
      <c r="AU6223" s="44"/>
    </row>
    <row r="6224" spans="47:47" ht="12" customHeight="1">
      <c r="AU6224" s="44"/>
    </row>
    <row r="6225" spans="47:47" ht="12" customHeight="1">
      <c r="AU6225" s="44"/>
    </row>
    <row r="6226" spans="47:47" ht="12" customHeight="1">
      <c r="AU6226" s="44"/>
    </row>
    <row r="6227" spans="47:47" ht="12" customHeight="1">
      <c r="AU6227" s="44"/>
    </row>
    <row r="6228" spans="47:47" ht="12" customHeight="1">
      <c r="AU6228" s="44"/>
    </row>
    <row r="6229" spans="47:47" ht="12" customHeight="1">
      <c r="AU6229" s="44"/>
    </row>
    <row r="6230" spans="47:47" ht="12" customHeight="1">
      <c r="AU6230" s="44"/>
    </row>
    <row r="6231" spans="47:47" ht="12" customHeight="1">
      <c r="AU6231" s="44"/>
    </row>
    <row r="6232" spans="47:47" ht="12" customHeight="1">
      <c r="AU6232" s="44"/>
    </row>
    <row r="6233" spans="47:47" ht="12" customHeight="1">
      <c r="AU6233" s="44"/>
    </row>
    <row r="6234" spans="47:47" ht="12" customHeight="1">
      <c r="AU6234" s="44"/>
    </row>
    <row r="6235" spans="47:47" ht="12" customHeight="1">
      <c r="AU6235" s="44"/>
    </row>
    <row r="6236" spans="47:47" ht="12" customHeight="1">
      <c r="AU6236" s="44"/>
    </row>
    <row r="6237" spans="47:47" ht="12" customHeight="1">
      <c r="AU6237" s="44"/>
    </row>
    <row r="6238" spans="47:47" ht="12" customHeight="1">
      <c r="AU6238" s="44"/>
    </row>
    <row r="6239" spans="47:47" ht="12" customHeight="1">
      <c r="AU6239" s="44"/>
    </row>
    <row r="6240" spans="47:47" ht="12" customHeight="1">
      <c r="AU6240" s="44"/>
    </row>
    <row r="6241" spans="47:47" ht="12" customHeight="1">
      <c r="AU6241" s="44"/>
    </row>
    <row r="6242" spans="47:47" ht="12" customHeight="1">
      <c r="AU6242" s="44"/>
    </row>
    <row r="6243" spans="47:47" ht="12" customHeight="1">
      <c r="AU6243" s="44"/>
    </row>
    <row r="6244" spans="47:47" ht="12" customHeight="1">
      <c r="AU6244" s="44"/>
    </row>
    <row r="6245" spans="47:47" ht="12" customHeight="1">
      <c r="AU6245" s="44"/>
    </row>
    <row r="6246" spans="47:47" ht="12" customHeight="1">
      <c r="AU6246" s="44"/>
    </row>
    <row r="6247" spans="47:47" ht="12" customHeight="1">
      <c r="AU6247" s="44"/>
    </row>
    <row r="6248" spans="47:47" ht="12" customHeight="1">
      <c r="AU6248" s="44"/>
    </row>
    <row r="6249" spans="47:47" ht="12" customHeight="1">
      <c r="AU6249" s="44"/>
    </row>
    <row r="6250" spans="47:47" ht="12" customHeight="1">
      <c r="AU6250" s="44"/>
    </row>
    <row r="6251" spans="47:47" ht="12" customHeight="1">
      <c r="AU6251" s="44"/>
    </row>
    <row r="6252" spans="47:47" ht="12" customHeight="1">
      <c r="AU6252" s="44"/>
    </row>
    <row r="6253" spans="47:47" ht="12" customHeight="1">
      <c r="AU6253" s="44"/>
    </row>
    <row r="6254" spans="47:47" ht="12" customHeight="1">
      <c r="AU6254" s="44"/>
    </row>
    <row r="6255" spans="47:47" ht="12" customHeight="1">
      <c r="AU6255" s="44"/>
    </row>
    <row r="6256" spans="47:47" ht="12" customHeight="1">
      <c r="AU6256" s="44"/>
    </row>
    <row r="6257" spans="47:47" ht="12" customHeight="1">
      <c r="AU6257" s="44"/>
    </row>
    <row r="6258" spans="47:47" ht="12" customHeight="1">
      <c r="AU6258" s="44"/>
    </row>
    <row r="6259" spans="47:47" ht="12" customHeight="1">
      <c r="AU6259" s="44"/>
    </row>
    <row r="6260" spans="47:47" ht="12" customHeight="1">
      <c r="AU6260" s="44"/>
    </row>
    <row r="6261" spans="47:47" ht="12" customHeight="1">
      <c r="AU6261" s="44"/>
    </row>
    <row r="6262" spans="47:47" ht="12" customHeight="1">
      <c r="AU6262" s="44"/>
    </row>
    <row r="6263" spans="47:47" ht="12" customHeight="1">
      <c r="AU6263" s="44"/>
    </row>
    <row r="6264" spans="47:47" ht="12" customHeight="1">
      <c r="AU6264" s="44"/>
    </row>
    <row r="6265" spans="47:47" ht="12" customHeight="1">
      <c r="AU6265" s="44"/>
    </row>
    <row r="6266" spans="47:47" ht="12" customHeight="1">
      <c r="AU6266" s="44"/>
    </row>
    <row r="6267" spans="47:47" ht="12" customHeight="1">
      <c r="AU6267" s="44"/>
    </row>
    <row r="6268" spans="47:47" ht="12" customHeight="1">
      <c r="AU6268" s="44"/>
    </row>
    <row r="6269" spans="47:47" ht="12" customHeight="1">
      <c r="AU6269" s="44"/>
    </row>
    <row r="6270" spans="47:47" ht="12" customHeight="1">
      <c r="AU6270" s="44"/>
    </row>
    <row r="6271" spans="47:47" ht="12" customHeight="1">
      <c r="AU6271" s="44"/>
    </row>
    <row r="6272" spans="47:47" ht="12" customHeight="1">
      <c r="AU6272" s="44"/>
    </row>
    <row r="6273" spans="47:47" ht="12" customHeight="1">
      <c r="AU6273" s="44"/>
    </row>
    <row r="6274" spans="47:47" ht="12" customHeight="1">
      <c r="AU6274" s="44"/>
    </row>
    <row r="6275" spans="47:47" ht="12" customHeight="1">
      <c r="AU6275" s="44"/>
    </row>
    <row r="6276" spans="47:47" ht="12" customHeight="1">
      <c r="AU6276" s="44"/>
    </row>
    <row r="6277" spans="47:47" ht="12" customHeight="1">
      <c r="AU6277" s="44"/>
    </row>
    <row r="6278" spans="47:47" ht="12" customHeight="1">
      <c r="AU6278" s="44"/>
    </row>
    <row r="6279" spans="47:47" ht="12" customHeight="1">
      <c r="AU6279" s="44"/>
    </row>
    <row r="6280" spans="47:47" ht="12" customHeight="1">
      <c r="AU6280" s="44"/>
    </row>
    <row r="6281" spans="47:47" ht="12" customHeight="1">
      <c r="AU6281" s="44"/>
    </row>
    <row r="6282" spans="47:47" ht="12" customHeight="1">
      <c r="AU6282" s="44"/>
    </row>
    <row r="6283" spans="47:47" ht="12" customHeight="1">
      <c r="AU6283" s="44"/>
    </row>
    <row r="6284" spans="47:47" ht="12" customHeight="1">
      <c r="AU6284" s="44"/>
    </row>
    <row r="6285" spans="47:47" ht="12" customHeight="1">
      <c r="AU6285" s="44"/>
    </row>
    <row r="6286" spans="47:47" ht="12" customHeight="1">
      <c r="AU6286" s="44"/>
    </row>
    <row r="6287" spans="47:47" ht="12" customHeight="1">
      <c r="AU6287" s="44"/>
    </row>
    <row r="6288" spans="47:47" ht="12" customHeight="1">
      <c r="AU6288" s="44"/>
    </row>
    <row r="6289" spans="47:47" ht="12" customHeight="1">
      <c r="AU6289" s="44"/>
    </row>
    <row r="6290" spans="47:47" ht="12" customHeight="1">
      <c r="AU6290" s="44"/>
    </row>
    <row r="6291" spans="47:47" ht="12" customHeight="1">
      <c r="AU6291" s="44"/>
    </row>
    <row r="6292" spans="47:47" ht="12" customHeight="1">
      <c r="AU6292" s="44"/>
    </row>
    <row r="6293" spans="47:47" ht="12" customHeight="1">
      <c r="AU6293" s="44"/>
    </row>
    <row r="6294" spans="47:47" ht="12" customHeight="1">
      <c r="AU6294" s="44"/>
    </row>
    <row r="6295" spans="47:47" ht="12" customHeight="1">
      <c r="AU6295" s="44"/>
    </row>
    <row r="6296" spans="47:47" ht="12" customHeight="1">
      <c r="AU6296" s="44"/>
    </row>
    <row r="6297" spans="47:47" ht="12" customHeight="1">
      <c r="AU6297" s="44"/>
    </row>
    <row r="6298" spans="47:47" ht="12" customHeight="1">
      <c r="AU6298" s="44"/>
    </row>
    <row r="6299" spans="47:47" ht="12" customHeight="1">
      <c r="AU6299" s="44"/>
    </row>
    <row r="6300" spans="47:47" ht="12" customHeight="1">
      <c r="AU6300" s="44"/>
    </row>
    <row r="6301" spans="47:47" ht="12" customHeight="1">
      <c r="AU6301" s="44"/>
    </row>
    <row r="6302" spans="47:47" ht="12" customHeight="1">
      <c r="AU6302" s="44"/>
    </row>
    <row r="6303" spans="47:47" ht="12" customHeight="1">
      <c r="AU6303" s="44"/>
    </row>
    <row r="6304" spans="47:47" ht="12" customHeight="1">
      <c r="AU6304" s="44"/>
    </row>
    <row r="6305" spans="47:47" ht="12" customHeight="1">
      <c r="AU6305" s="44"/>
    </row>
    <row r="6306" spans="47:47" ht="12" customHeight="1">
      <c r="AU6306" s="44"/>
    </row>
    <row r="6307" spans="47:47" ht="12" customHeight="1">
      <c r="AU6307" s="44"/>
    </row>
    <row r="6308" spans="47:47" ht="12" customHeight="1">
      <c r="AU6308" s="44"/>
    </row>
    <row r="6309" spans="47:47" ht="12" customHeight="1">
      <c r="AU6309" s="44"/>
    </row>
    <row r="6310" spans="47:47" ht="12" customHeight="1">
      <c r="AU6310" s="44"/>
    </row>
    <row r="6311" spans="47:47" ht="12" customHeight="1">
      <c r="AU6311" s="44"/>
    </row>
    <row r="6312" spans="47:47" ht="12" customHeight="1">
      <c r="AU6312" s="44"/>
    </row>
    <row r="6313" spans="47:47" ht="12" customHeight="1">
      <c r="AU6313" s="44"/>
    </row>
    <row r="6314" spans="47:47" ht="12" customHeight="1">
      <c r="AU6314" s="44"/>
    </row>
    <row r="6315" spans="47:47" ht="12" customHeight="1">
      <c r="AU6315" s="44"/>
    </row>
    <row r="6316" spans="47:47" ht="12" customHeight="1">
      <c r="AU6316" s="44"/>
    </row>
    <row r="6317" spans="47:47" ht="12" customHeight="1">
      <c r="AU6317" s="44"/>
    </row>
    <row r="6318" spans="47:47" ht="12" customHeight="1">
      <c r="AU6318" s="44"/>
    </row>
    <row r="6319" spans="47:47" ht="12" customHeight="1">
      <c r="AU6319" s="44"/>
    </row>
    <row r="6320" spans="47:47" ht="12" customHeight="1">
      <c r="AU6320" s="44"/>
    </row>
    <row r="6321" spans="47:47" ht="12" customHeight="1">
      <c r="AU6321" s="44"/>
    </row>
    <row r="6322" spans="47:47" ht="12" customHeight="1">
      <c r="AU6322" s="44"/>
    </row>
    <row r="6323" spans="47:47" ht="12" customHeight="1">
      <c r="AU6323" s="44"/>
    </row>
    <row r="6324" spans="47:47" ht="12" customHeight="1">
      <c r="AU6324" s="44"/>
    </row>
    <row r="6325" spans="47:47" ht="12" customHeight="1">
      <c r="AU6325" s="44"/>
    </row>
    <row r="6326" spans="47:47" ht="12" customHeight="1">
      <c r="AU6326" s="44"/>
    </row>
    <row r="6327" spans="47:47" ht="12" customHeight="1">
      <c r="AU6327" s="44"/>
    </row>
    <row r="6328" spans="47:47" ht="12" customHeight="1">
      <c r="AU6328" s="44"/>
    </row>
    <row r="6329" spans="47:47" ht="12" customHeight="1">
      <c r="AU6329" s="44"/>
    </row>
    <row r="6330" spans="47:47" ht="12" customHeight="1">
      <c r="AU6330" s="44"/>
    </row>
    <row r="6331" spans="47:47" ht="12" customHeight="1">
      <c r="AU6331" s="44"/>
    </row>
    <row r="6332" spans="47:47" ht="12" customHeight="1">
      <c r="AU6332" s="44"/>
    </row>
    <row r="6333" spans="47:47" ht="12" customHeight="1">
      <c r="AU6333" s="44"/>
    </row>
    <row r="6334" spans="47:47" ht="12" customHeight="1">
      <c r="AU6334" s="44"/>
    </row>
    <row r="6335" spans="47:47" ht="12" customHeight="1">
      <c r="AU6335" s="44"/>
    </row>
    <row r="6336" spans="47:47" ht="12" customHeight="1">
      <c r="AU6336" s="44"/>
    </row>
    <row r="6337" spans="47:47" ht="12" customHeight="1">
      <c r="AU6337" s="44"/>
    </row>
    <row r="6338" spans="47:47" ht="12" customHeight="1">
      <c r="AU6338" s="44"/>
    </row>
    <row r="6339" spans="47:47" ht="12" customHeight="1">
      <c r="AU6339" s="44"/>
    </row>
    <row r="6340" spans="47:47" ht="12" customHeight="1">
      <c r="AU6340" s="44"/>
    </row>
    <row r="6341" spans="47:47" ht="12" customHeight="1">
      <c r="AU6341" s="44"/>
    </row>
    <row r="6342" spans="47:47" ht="12" customHeight="1">
      <c r="AU6342" s="44"/>
    </row>
    <row r="6343" spans="47:47" ht="12" customHeight="1">
      <c r="AU6343" s="44"/>
    </row>
    <row r="6344" spans="47:47" ht="12" customHeight="1">
      <c r="AU6344" s="44"/>
    </row>
    <row r="6345" spans="47:47" ht="12" customHeight="1">
      <c r="AU6345" s="44"/>
    </row>
    <row r="6346" spans="47:47" ht="12" customHeight="1">
      <c r="AU6346" s="44"/>
    </row>
    <row r="6347" spans="47:47" ht="12" customHeight="1">
      <c r="AU6347" s="44"/>
    </row>
    <row r="6348" spans="47:47" ht="12" customHeight="1">
      <c r="AU6348" s="44"/>
    </row>
    <row r="6349" spans="47:47" ht="12" customHeight="1">
      <c r="AU6349" s="44"/>
    </row>
    <row r="6350" spans="47:47" ht="12" customHeight="1">
      <c r="AU6350" s="44"/>
    </row>
    <row r="6351" spans="47:47" ht="12" customHeight="1">
      <c r="AU6351" s="44"/>
    </row>
    <row r="6352" spans="47:47" ht="12" customHeight="1">
      <c r="AU6352" s="44"/>
    </row>
    <row r="6353" spans="47:47" ht="12" customHeight="1">
      <c r="AU6353" s="44"/>
    </row>
    <row r="6354" spans="47:47" ht="12" customHeight="1">
      <c r="AU6354" s="44"/>
    </row>
    <row r="6355" spans="47:47" ht="12" customHeight="1">
      <c r="AU6355" s="44"/>
    </row>
    <row r="6356" spans="47:47" ht="12" customHeight="1">
      <c r="AU6356" s="44"/>
    </row>
    <row r="6357" spans="47:47" ht="12" customHeight="1">
      <c r="AU6357" s="44"/>
    </row>
    <row r="6358" spans="47:47" ht="12" customHeight="1">
      <c r="AU6358" s="44"/>
    </row>
    <row r="6359" spans="47:47" ht="12" customHeight="1">
      <c r="AU6359" s="44"/>
    </row>
    <row r="6360" spans="47:47" ht="12" customHeight="1">
      <c r="AU6360" s="44"/>
    </row>
    <row r="6361" spans="47:47" ht="12" customHeight="1">
      <c r="AU6361" s="44"/>
    </row>
    <row r="6362" spans="47:47" ht="12" customHeight="1">
      <c r="AU6362" s="44"/>
    </row>
    <row r="6363" spans="47:47" ht="12" customHeight="1">
      <c r="AU6363" s="44"/>
    </row>
    <row r="6364" spans="47:47" ht="12" customHeight="1">
      <c r="AU6364" s="44"/>
    </row>
    <row r="6365" spans="47:47" ht="12" customHeight="1">
      <c r="AU6365" s="44"/>
    </row>
    <row r="6366" spans="47:47" ht="12" customHeight="1">
      <c r="AU6366" s="44"/>
    </row>
    <row r="6367" spans="47:47" ht="12" customHeight="1">
      <c r="AU6367" s="44"/>
    </row>
    <row r="6368" spans="47:47" ht="12" customHeight="1">
      <c r="AU6368" s="44"/>
    </row>
    <row r="6369" spans="47:47" ht="12" customHeight="1">
      <c r="AU6369" s="44"/>
    </row>
    <row r="6370" spans="47:47" ht="12" customHeight="1">
      <c r="AU6370" s="44"/>
    </row>
    <row r="6371" spans="47:47" ht="12" customHeight="1">
      <c r="AU6371" s="44"/>
    </row>
    <row r="6372" spans="47:47" ht="12" customHeight="1">
      <c r="AU6372" s="44"/>
    </row>
    <row r="6373" spans="47:47" ht="12" customHeight="1">
      <c r="AU6373" s="44"/>
    </row>
    <row r="6374" spans="47:47" ht="12" customHeight="1">
      <c r="AU6374" s="44"/>
    </row>
    <row r="6375" spans="47:47" ht="12" customHeight="1">
      <c r="AU6375" s="44"/>
    </row>
    <row r="6376" spans="47:47" ht="12" customHeight="1">
      <c r="AU6376" s="44"/>
    </row>
    <row r="6377" spans="47:47" ht="12" customHeight="1">
      <c r="AU6377" s="44"/>
    </row>
    <row r="6378" spans="47:47" ht="12" customHeight="1">
      <c r="AU6378" s="44"/>
    </row>
    <row r="6379" spans="47:47" ht="12" customHeight="1">
      <c r="AU6379" s="44"/>
    </row>
    <row r="6380" spans="47:47" ht="12" customHeight="1">
      <c r="AU6380" s="44"/>
    </row>
    <row r="6381" spans="47:47" ht="12" customHeight="1">
      <c r="AU6381" s="44"/>
    </row>
    <row r="6382" spans="47:47" ht="12" customHeight="1">
      <c r="AU6382" s="44"/>
    </row>
    <row r="6383" spans="47:47" ht="12" customHeight="1">
      <c r="AU6383" s="44"/>
    </row>
    <row r="6384" spans="47:47" ht="12" customHeight="1">
      <c r="AU6384" s="44"/>
    </row>
    <row r="6385" spans="47:47" ht="12" customHeight="1">
      <c r="AU6385" s="44"/>
    </row>
    <row r="6386" spans="47:47" ht="12" customHeight="1">
      <c r="AU6386" s="44"/>
    </row>
    <row r="6387" spans="47:47" ht="12" customHeight="1">
      <c r="AU6387" s="44"/>
    </row>
    <row r="6388" spans="47:47" ht="12" customHeight="1">
      <c r="AU6388" s="44"/>
    </row>
    <row r="6389" spans="47:47" ht="12" customHeight="1">
      <c r="AU6389" s="44"/>
    </row>
    <row r="6390" spans="47:47" ht="12" customHeight="1">
      <c r="AU6390" s="44"/>
    </row>
    <row r="6391" spans="47:47" ht="12" customHeight="1">
      <c r="AU6391" s="44"/>
    </row>
    <row r="6392" spans="47:47" ht="12" customHeight="1">
      <c r="AU6392" s="44"/>
    </row>
    <row r="6393" spans="47:47" ht="12" customHeight="1">
      <c r="AU6393" s="44"/>
    </row>
    <row r="6394" spans="47:47" ht="12" customHeight="1">
      <c r="AU6394" s="44"/>
    </row>
    <row r="6395" spans="47:47" ht="12" customHeight="1">
      <c r="AU6395" s="44"/>
    </row>
    <row r="6396" spans="47:47" ht="12" customHeight="1">
      <c r="AU6396" s="44"/>
    </row>
    <row r="6397" spans="47:47" ht="12" customHeight="1">
      <c r="AU6397" s="44"/>
    </row>
    <row r="6398" spans="47:47" ht="12" customHeight="1">
      <c r="AU6398" s="44"/>
    </row>
    <row r="6399" spans="47:47" ht="12" customHeight="1">
      <c r="AU6399" s="44"/>
    </row>
    <row r="6400" spans="47:47" ht="12" customHeight="1">
      <c r="AU6400" s="44"/>
    </row>
    <row r="6401" spans="47:47" ht="12" customHeight="1">
      <c r="AU6401" s="44"/>
    </row>
    <row r="6402" spans="47:47" ht="12" customHeight="1">
      <c r="AU6402" s="44"/>
    </row>
    <row r="6403" spans="47:47" ht="12" customHeight="1">
      <c r="AU6403" s="44"/>
    </row>
    <row r="6404" spans="47:47" ht="12" customHeight="1">
      <c r="AU6404" s="44"/>
    </row>
    <row r="6405" spans="47:47" ht="12" customHeight="1">
      <c r="AU6405" s="44"/>
    </row>
    <row r="6406" spans="47:47" ht="12" customHeight="1">
      <c r="AU6406" s="44"/>
    </row>
    <row r="6407" spans="47:47" ht="12" customHeight="1">
      <c r="AU6407" s="44"/>
    </row>
    <row r="6408" spans="47:47" ht="12" customHeight="1">
      <c r="AU6408" s="44"/>
    </row>
    <row r="6409" spans="47:47" ht="12" customHeight="1">
      <c r="AU6409" s="44"/>
    </row>
    <row r="6410" spans="47:47" ht="12" customHeight="1">
      <c r="AU6410" s="44"/>
    </row>
    <row r="6411" spans="47:47" ht="12" customHeight="1">
      <c r="AU6411" s="44"/>
    </row>
    <row r="6412" spans="47:47" ht="12" customHeight="1">
      <c r="AU6412" s="44"/>
    </row>
    <row r="6413" spans="47:47" ht="12" customHeight="1">
      <c r="AU6413" s="44"/>
    </row>
    <row r="6414" spans="47:47" ht="12" customHeight="1">
      <c r="AU6414" s="44"/>
    </row>
    <row r="6415" spans="47:47" ht="12" customHeight="1">
      <c r="AU6415" s="44"/>
    </row>
    <row r="6416" spans="47:47" ht="12" customHeight="1">
      <c r="AU6416" s="44"/>
    </row>
    <row r="6417" spans="47:47" ht="12" customHeight="1">
      <c r="AU6417" s="44"/>
    </row>
    <row r="6418" spans="47:47" ht="12" customHeight="1">
      <c r="AU6418" s="44"/>
    </row>
    <row r="6419" spans="47:47" ht="12" customHeight="1">
      <c r="AU6419" s="44"/>
    </row>
    <row r="6420" spans="47:47" ht="12" customHeight="1">
      <c r="AU6420" s="44"/>
    </row>
    <row r="6421" spans="47:47" ht="12" customHeight="1">
      <c r="AU6421" s="44"/>
    </row>
    <row r="6422" spans="47:47" ht="12" customHeight="1">
      <c r="AU6422" s="44"/>
    </row>
    <row r="6423" spans="47:47" ht="12" customHeight="1">
      <c r="AU6423" s="44"/>
    </row>
    <row r="6424" spans="47:47" ht="12" customHeight="1">
      <c r="AU6424" s="44"/>
    </row>
    <row r="6425" spans="47:47" ht="12" customHeight="1">
      <c r="AU6425" s="44"/>
    </row>
    <row r="6426" spans="47:47" ht="12" customHeight="1">
      <c r="AU6426" s="44"/>
    </row>
    <row r="6427" spans="47:47" ht="12" customHeight="1">
      <c r="AU6427" s="44"/>
    </row>
    <row r="6428" spans="47:47" ht="12" customHeight="1">
      <c r="AU6428" s="44"/>
    </row>
    <row r="6429" spans="47:47" ht="12" customHeight="1">
      <c r="AU6429" s="44"/>
    </row>
    <row r="6430" spans="47:47" ht="12" customHeight="1">
      <c r="AU6430" s="44"/>
    </row>
    <row r="6431" spans="47:47" ht="12" customHeight="1">
      <c r="AU6431" s="44"/>
    </row>
    <row r="6432" spans="47:47" ht="12" customHeight="1">
      <c r="AU6432" s="44"/>
    </row>
    <row r="6433" spans="47:47" ht="12" customHeight="1">
      <c r="AU6433" s="44"/>
    </row>
    <row r="6434" spans="47:47" ht="12" customHeight="1">
      <c r="AU6434" s="44"/>
    </row>
    <row r="6435" spans="47:47" ht="12" customHeight="1">
      <c r="AU6435" s="44"/>
    </row>
    <row r="6436" spans="47:47" ht="12" customHeight="1">
      <c r="AU6436" s="44"/>
    </row>
    <row r="6437" spans="47:47" ht="12" customHeight="1">
      <c r="AU6437" s="44"/>
    </row>
    <row r="6438" spans="47:47" ht="12" customHeight="1">
      <c r="AU6438" s="44"/>
    </row>
    <row r="6439" spans="47:47" ht="12" customHeight="1">
      <c r="AU6439" s="44"/>
    </row>
    <row r="6440" spans="47:47" ht="12" customHeight="1">
      <c r="AU6440" s="44"/>
    </row>
    <row r="6441" spans="47:47" ht="12" customHeight="1">
      <c r="AU6441" s="44"/>
    </row>
    <row r="6442" spans="47:47" ht="12" customHeight="1">
      <c r="AU6442" s="44"/>
    </row>
    <row r="6443" spans="47:47" ht="12" customHeight="1">
      <c r="AU6443" s="44"/>
    </row>
    <row r="6444" spans="47:47" ht="12" customHeight="1">
      <c r="AU6444" s="44"/>
    </row>
    <row r="6445" spans="47:47" ht="12" customHeight="1">
      <c r="AU6445" s="44"/>
    </row>
    <row r="6446" spans="47:47" ht="12" customHeight="1">
      <c r="AU6446" s="44"/>
    </row>
    <row r="6447" spans="47:47" ht="12" customHeight="1">
      <c r="AU6447" s="44"/>
    </row>
    <row r="6448" spans="47:47" ht="12" customHeight="1">
      <c r="AU6448" s="44"/>
    </row>
    <row r="6449" spans="47:47" ht="12" customHeight="1">
      <c r="AU6449" s="44"/>
    </row>
    <row r="6450" spans="47:47" ht="12" customHeight="1">
      <c r="AU6450" s="44"/>
    </row>
    <row r="6451" spans="47:47" ht="12" customHeight="1">
      <c r="AU6451" s="44"/>
    </row>
    <row r="6452" spans="47:47" ht="12" customHeight="1">
      <c r="AU6452" s="44"/>
    </row>
    <row r="6453" spans="47:47" ht="12" customHeight="1">
      <c r="AU6453" s="44"/>
    </row>
    <row r="6454" spans="47:47" ht="12" customHeight="1">
      <c r="AU6454" s="44"/>
    </row>
    <row r="6455" spans="47:47" ht="12" customHeight="1">
      <c r="AU6455" s="44"/>
    </row>
    <row r="6456" spans="47:47" ht="12" customHeight="1">
      <c r="AU6456" s="44"/>
    </row>
    <row r="6457" spans="47:47" ht="12" customHeight="1">
      <c r="AU6457" s="44"/>
    </row>
    <row r="6458" spans="47:47" ht="12" customHeight="1">
      <c r="AU6458" s="44"/>
    </row>
    <row r="6459" spans="47:47" ht="12" customHeight="1">
      <c r="AU6459" s="44"/>
    </row>
    <row r="6460" spans="47:47" ht="12" customHeight="1">
      <c r="AU6460" s="44"/>
    </row>
    <row r="6461" spans="47:47" ht="12" customHeight="1">
      <c r="AU6461" s="44"/>
    </row>
    <row r="6462" spans="47:47" ht="12" customHeight="1">
      <c r="AU6462" s="44"/>
    </row>
    <row r="6463" spans="47:47" ht="12" customHeight="1">
      <c r="AU6463" s="44"/>
    </row>
    <row r="6464" spans="47:47" ht="12" customHeight="1">
      <c r="AU6464" s="44"/>
    </row>
    <row r="6465" spans="47:47" ht="12" customHeight="1">
      <c r="AU6465" s="44"/>
    </row>
    <row r="6466" spans="47:47" ht="12" customHeight="1">
      <c r="AU6466" s="44"/>
    </row>
    <row r="6467" spans="47:47" ht="12" customHeight="1">
      <c r="AU6467" s="44"/>
    </row>
    <row r="6468" spans="47:47" ht="12" customHeight="1">
      <c r="AU6468" s="44"/>
    </row>
    <row r="6469" spans="47:47" ht="12" customHeight="1">
      <c r="AU6469" s="44"/>
    </row>
    <row r="6470" spans="47:47" ht="12" customHeight="1">
      <c r="AU6470" s="44"/>
    </row>
    <row r="6471" spans="47:47" ht="12" customHeight="1">
      <c r="AU6471" s="44"/>
    </row>
    <row r="6472" spans="47:47" ht="12" customHeight="1">
      <c r="AU6472" s="44"/>
    </row>
    <row r="6473" spans="47:47" ht="12" customHeight="1">
      <c r="AU6473" s="44"/>
    </row>
    <row r="6474" spans="47:47" ht="12" customHeight="1">
      <c r="AU6474" s="44"/>
    </row>
    <row r="6475" spans="47:47" ht="12" customHeight="1">
      <c r="AU6475" s="44"/>
    </row>
    <row r="6476" spans="47:47" ht="12" customHeight="1">
      <c r="AU6476" s="44"/>
    </row>
    <row r="6477" spans="47:47" ht="12" customHeight="1">
      <c r="AU6477" s="44"/>
    </row>
    <row r="6478" spans="47:47" ht="12" customHeight="1">
      <c r="AU6478" s="44"/>
    </row>
    <row r="6479" spans="47:47" ht="12" customHeight="1">
      <c r="AU6479" s="44"/>
    </row>
    <row r="6480" spans="47:47" ht="12" customHeight="1">
      <c r="AU6480" s="44"/>
    </row>
    <row r="6481" spans="47:47" ht="12" customHeight="1">
      <c r="AU6481" s="44"/>
    </row>
    <row r="6482" spans="47:47" ht="12" customHeight="1">
      <c r="AU6482" s="44"/>
    </row>
    <row r="6483" spans="47:47" ht="12" customHeight="1">
      <c r="AU6483" s="44"/>
    </row>
    <row r="6484" spans="47:47" ht="12" customHeight="1">
      <c r="AU6484" s="44"/>
    </row>
    <row r="6485" spans="47:47" ht="12" customHeight="1">
      <c r="AU6485" s="44"/>
    </row>
    <row r="6486" spans="47:47" ht="12" customHeight="1">
      <c r="AU6486" s="44"/>
    </row>
    <row r="6487" spans="47:47" ht="12" customHeight="1">
      <c r="AU6487" s="44"/>
    </row>
    <row r="6488" spans="47:47" ht="12" customHeight="1">
      <c r="AU6488" s="44"/>
    </row>
    <row r="6489" spans="47:47" ht="12" customHeight="1">
      <c r="AU6489" s="44"/>
    </row>
    <row r="6490" spans="47:47" ht="12" customHeight="1">
      <c r="AU6490" s="44"/>
    </row>
    <row r="6491" spans="47:47" ht="12" customHeight="1">
      <c r="AU6491" s="44"/>
    </row>
    <row r="6492" spans="47:47" ht="12" customHeight="1">
      <c r="AU6492" s="44"/>
    </row>
    <row r="6493" spans="47:47" ht="12" customHeight="1">
      <c r="AU6493" s="44"/>
    </row>
    <row r="6494" spans="47:47" ht="12" customHeight="1">
      <c r="AU6494" s="44"/>
    </row>
    <row r="6495" spans="47:47" ht="12" customHeight="1">
      <c r="AU6495" s="44"/>
    </row>
    <row r="6496" spans="47:47" ht="12" customHeight="1">
      <c r="AU6496" s="44"/>
    </row>
    <row r="6497" spans="47:47" ht="12" customHeight="1">
      <c r="AU6497" s="44"/>
    </row>
    <row r="6498" spans="47:47" ht="12" customHeight="1">
      <c r="AU6498" s="44"/>
    </row>
    <row r="6499" spans="47:47" ht="12" customHeight="1">
      <c r="AU6499" s="44"/>
    </row>
    <row r="6500" spans="47:47" ht="12" customHeight="1">
      <c r="AU6500" s="44"/>
    </row>
    <row r="6501" spans="47:47" ht="12" customHeight="1">
      <c r="AU6501" s="44"/>
    </row>
    <row r="6502" spans="47:47" ht="12" customHeight="1">
      <c r="AU6502" s="44"/>
    </row>
    <row r="6503" spans="47:47" ht="12" customHeight="1">
      <c r="AU6503" s="44"/>
    </row>
    <row r="6504" spans="47:47" ht="12" customHeight="1">
      <c r="AU6504" s="44"/>
    </row>
    <row r="6505" spans="47:47" ht="12" customHeight="1">
      <c r="AU6505" s="44"/>
    </row>
    <row r="6506" spans="47:47" ht="12" customHeight="1">
      <c r="AU6506" s="44"/>
    </row>
    <row r="6507" spans="47:47" ht="12" customHeight="1">
      <c r="AU6507" s="44"/>
    </row>
    <row r="6508" spans="47:47" ht="12" customHeight="1">
      <c r="AU6508" s="44"/>
    </row>
    <row r="6509" spans="47:47" ht="12" customHeight="1">
      <c r="AU6509" s="44"/>
    </row>
    <row r="6510" spans="47:47" ht="12" customHeight="1">
      <c r="AU6510" s="44"/>
    </row>
    <row r="6511" spans="47:47" ht="12" customHeight="1">
      <c r="AU6511" s="44"/>
    </row>
    <row r="6512" spans="47:47" ht="12" customHeight="1">
      <c r="AU6512" s="44"/>
    </row>
    <row r="6513" spans="47:47" ht="12" customHeight="1">
      <c r="AU6513" s="44"/>
    </row>
    <row r="6514" spans="47:47" ht="12" customHeight="1">
      <c r="AU6514" s="44"/>
    </row>
    <row r="6515" spans="47:47" ht="12" customHeight="1">
      <c r="AU6515" s="44"/>
    </row>
    <row r="6516" spans="47:47" ht="12" customHeight="1">
      <c r="AU6516" s="44"/>
    </row>
    <row r="6517" spans="47:47" ht="12" customHeight="1">
      <c r="AU6517" s="44"/>
    </row>
    <row r="6518" spans="47:47" ht="12" customHeight="1">
      <c r="AU6518" s="44"/>
    </row>
    <row r="6519" spans="47:47" ht="12" customHeight="1">
      <c r="AU6519" s="44"/>
    </row>
    <row r="6520" spans="47:47" ht="12" customHeight="1">
      <c r="AU6520" s="44"/>
    </row>
    <row r="6521" spans="47:47" ht="12" customHeight="1">
      <c r="AU6521" s="44"/>
    </row>
    <row r="6522" spans="47:47" ht="12" customHeight="1">
      <c r="AU6522" s="44"/>
    </row>
    <row r="6523" spans="47:47" ht="12" customHeight="1">
      <c r="AU6523" s="44"/>
    </row>
    <row r="6524" spans="47:47" ht="12" customHeight="1">
      <c r="AU6524" s="44"/>
    </row>
    <row r="6525" spans="47:47" ht="12" customHeight="1">
      <c r="AU6525" s="44"/>
    </row>
    <row r="6526" spans="47:47" ht="12" customHeight="1">
      <c r="AU6526" s="44"/>
    </row>
    <row r="6527" spans="47:47" ht="12" customHeight="1">
      <c r="AU6527" s="44"/>
    </row>
    <row r="6528" spans="47:47" ht="12" customHeight="1">
      <c r="AU6528" s="44"/>
    </row>
    <row r="6529" spans="47:47" ht="12" customHeight="1">
      <c r="AU6529" s="44"/>
    </row>
    <row r="6530" spans="47:47" ht="12" customHeight="1">
      <c r="AU6530" s="44"/>
    </row>
    <row r="6531" spans="47:47" ht="12" customHeight="1">
      <c r="AU6531" s="44"/>
    </row>
    <row r="6532" spans="47:47" ht="12" customHeight="1">
      <c r="AU6532" s="44"/>
    </row>
    <row r="6533" spans="47:47" ht="12" customHeight="1">
      <c r="AU6533" s="44"/>
    </row>
    <row r="6534" spans="47:47" ht="12" customHeight="1">
      <c r="AU6534" s="44"/>
    </row>
    <row r="6535" spans="47:47" ht="12" customHeight="1">
      <c r="AU6535" s="44"/>
    </row>
    <row r="6536" spans="47:47" ht="12" customHeight="1">
      <c r="AU6536" s="44"/>
    </row>
    <row r="6537" spans="47:47" ht="12" customHeight="1">
      <c r="AU6537" s="44"/>
    </row>
    <row r="6538" spans="47:47" ht="12" customHeight="1">
      <c r="AU6538" s="44"/>
    </row>
    <row r="6539" spans="47:47" ht="12" customHeight="1">
      <c r="AU6539" s="44"/>
    </row>
    <row r="6540" spans="47:47" ht="12" customHeight="1">
      <c r="AU6540" s="44"/>
    </row>
    <row r="6541" spans="47:47" ht="12" customHeight="1">
      <c r="AU6541" s="44"/>
    </row>
    <row r="6542" spans="47:47" ht="12" customHeight="1">
      <c r="AU6542" s="44"/>
    </row>
    <row r="6543" spans="47:47" ht="12" customHeight="1">
      <c r="AU6543" s="44"/>
    </row>
    <row r="6544" spans="47:47" ht="12" customHeight="1">
      <c r="AU6544" s="44"/>
    </row>
    <row r="6545" spans="47:47" ht="12" customHeight="1">
      <c r="AU6545" s="44"/>
    </row>
    <row r="6546" spans="47:47" ht="12" customHeight="1">
      <c r="AU6546" s="44"/>
    </row>
    <row r="6547" spans="47:47" ht="12" customHeight="1">
      <c r="AU6547" s="44"/>
    </row>
    <row r="6548" spans="47:47" ht="12" customHeight="1">
      <c r="AU6548" s="44"/>
    </row>
    <row r="6549" spans="47:47" ht="12" customHeight="1">
      <c r="AU6549" s="44"/>
    </row>
    <row r="6550" spans="47:47" ht="12" customHeight="1">
      <c r="AU6550" s="44"/>
    </row>
    <row r="6551" spans="47:47" ht="12" customHeight="1">
      <c r="AU6551" s="44"/>
    </row>
    <row r="6552" spans="47:47" ht="12" customHeight="1">
      <c r="AU6552" s="44"/>
    </row>
    <row r="6553" spans="47:47" ht="12" customHeight="1">
      <c r="AU6553" s="44"/>
    </row>
    <row r="6554" spans="47:47" ht="12" customHeight="1">
      <c r="AU6554" s="44"/>
    </row>
    <row r="6555" spans="47:47" ht="12" customHeight="1">
      <c r="AU6555" s="44"/>
    </row>
    <row r="6556" spans="47:47" ht="12" customHeight="1">
      <c r="AU6556" s="44"/>
    </row>
    <row r="6557" spans="47:47" ht="12" customHeight="1">
      <c r="AU6557" s="44"/>
    </row>
    <row r="6558" spans="47:47" ht="12" customHeight="1">
      <c r="AU6558" s="44"/>
    </row>
    <row r="6559" spans="47:47" ht="12" customHeight="1">
      <c r="AU6559" s="44"/>
    </row>
    <row r="6560" spans="47:47" ht="12" customHeight="1">
      <c r="AU6560" s="44"/>
    </row>
    <row r="6561" spans="47:47" ht="12" customHeight="1">
      <c r="AU6561" s="44"/>
    </row>
    <row r="6562" spans="47:47" ht="12" customHeight="1">
      <c r="AU6562" s="44"/>
    </row>
    <row r="6563" spans="47:47" ht="12" customHeight="1">
      <c r="AU6563" s="44"/>
    </row>
    <row r="6564" spans="47:47" ht="12" customHeight="1">
      <c r="AU6564" s="44"/>
    </row>
    <row r="6565" spans="47:47" ht="12" customHeight="1">
      <c r="AU6565" s="44"/>
    </row>
    <row r="6566" spans="47:47" ht="12" customHeight="1">
      <c r="AU6566" s="44"/>
    </row>
    <row r="6567" spans="47:47" ht="12" customHeight="1">
      <c r="AU6567" s="44"/>
    </row>
    <row r="6568" spans="47:47" ht="12" customHeight="1">
      <c r="AU6568" s="44"/>
    </row>
    <row r="6569" spans="47:47" ht="12" customHeight="1">
      <c r="AU6569" s="44"/>
    </row>
    <row r="6570" spans="47:47" ht="12" customHeight="1">
      <c r="AU6570" s="44"/>
    </row>
    <row r="6571" spans="47:47" ht="12" customHeight="1">
      <c r="AU6571" s="44"/>
    </row>
    <row r="6572" spans="47:47" ht="12" customHeight="1">
      <c r="AU6572" s="44"/>
    </row>
    <row r="6573" spans="47:47" ht="12" customHeight="1">
      <c r="AU6573" s="44"/>
    </row>
    <row r="6574" spans="47:47" ht="12" customHeight="1">
      <c r="AU6574" s="44"/>
    </row>
    <row r="6575" spans="47:47" ht="12" customHeight="1">
      <c r="AU6575" s="44"/>
    </row>
    <row r="6576" spans="47:47" ht="12" customHeight="1">
      <c r="AU6576" s="44"/>
    </row>
    <row r="6577" spans="47:47" ht="12" customHeight="1">
      <c r="AU6577" s="44"/>
    </row>
    <row r="6578" spans="47:47" ht="12" customHeight="1">
      <c r="AU6578" s="44"/>
    </row>
    <row r="6579" spans="47:47" ht="12" customHeight="1">
      <c r="AU6579" s="44"/>
    </row>
    <row r="6580" spans="47:47" ht="12" customHeight="1">
      <c r="AU6580" s="44"/>
    </row>
    <row r="6581" spans="47:47" ht="12" customHeight="1">
      <c r="AU6581" s="44"/>
    </row>
    <row r="6582" spans="47:47" ht="12" customHeight="1">
      <c r="AU6582" s="44"/>
    </row>
    <row r="6583" spans="47:47" ht="12" customHeight="1">
      <c r="AU6583" s="44"/>
    </row>
    <row r="6584" spans="47:47" ht="12" customHeight="1">
      <c r="AU6584" s="44"/>
    </row>
    <row r="6585" spans="47:47" ht="12" customHeight="1">
      <c r="AU6585" s="44"/>
    </row>
    <row r="6586" spans="47:47" ht="12" customHeight="1">
      <c r="AU6586" s="44"/>
    </row>
    <row r="6587" spans="47:47" ht="12" customHeight="1">
      <c r="AU6587" s="44"/>
    </row>
    <row r="6588" spans="47:47" ht="12" customHeight="1">
      <c r="AU6588" s="44"/>
    </row>
    <row r="6589" spans="47:47" ht="12" customHeight="1">
      <c r="AU6589" s="44"/>
    </row>
    <row r="6590" spans="47:47" ht="12" customHeight="1">
      <c r="AU6590" s="44"/>
    </row>
    <row r="6591" spans="47:47" ht="12" customHeight="1">
      <c r="AU6591" s="44"/>
    </row>
    <row r="6592" spans="47:47" ht="12" customHeight="1">
      <c r="AU6592" s="44"/>
    </row>
    <row r="6593" spans="47:47" ht="12" customHeight="1">
      <c r="AU6593" s="44"/>
    </row>
    <row r="6594" spans="47:47" ht="12" customHeight="1">
      <c r="AU6594" s="44"/>
    </row>
    <row r="6595" spans="47:47" ht="12" customHeight="1">
      <c r="AU6595" s="44"/>
    </row>
    <row r="6596" spans="47:47" ht="12" customHeight="1">
      <c r="AU6596" s="44"/>
    </row>
    <row r="6597" spans="47:47" ht="12" customHeight="1">
      <c r="AU6597" s="44"/>
    </row>
    <row r="6598" spans="47:47" ht="12" customHeight="1">
      <c r="AU6598" s="44"/>
    </row>
    <row r="6599" spans="47:47" ht="12" customHeight="1">
      <c r="AU6599" s="44"/>
    </row>
    <row r="6600" spans="47:47" ht="12" customHeight="1">
      <c r="AU6600" s="44"/>
    </row>
    <row r="6601" spans="47:47" ht="12" customHeight="1">
      <c r="AU6601" s="44"/>
    </row>
    <row r="6602" spans="47:47" ht="12" customHeight="1">
      <c r="AU6602" s="44"/>
    </row>
    <row r="6603" spans="47:47" ht="12" customHeight="1">
      <c r="AU6603" s="44"/>
    </row>
    <row r="6604" spans="47:47" ht="12" customHeight="1">
      <c r="AU6604" s="44"/>
    </row>
    <row r="6605" spans="47:47" ht="12" customHeight="1">
      <c r="AU6605" s="44"/>
    </row>
    <row r="6606" spans="47:47" ht="12" customHeight="1">
      <c r="AU6606" s="44"/>
    </row>
    <row r="6607" spans="47:47" ht="12" customHeight="1">
      <c r="AU6607" s="44"/>
    </row>
    <row r="6608" spans="47:47" ht="12" customHeight="1">
      <c r="AU6608" s="44"/>
    </row>
    <row r="6609" spans="47:47" ht="12" customHeight="1">
      <c r="AU6609" s="44"/>
    </row>
    <row r="6610" spans="47:47" ht="12" customHeight="1">
      <c r="AU6610" s="44"/>
    </row>
    <row r="6611" spans="47:47" ht="12" customHeight="1">
      <c r="AU6611" s="44"/>
    </row>
    <row r="6612" spans="47:47" ht="12" customHeight="1">
      <c r="AU6612" s="44"/>
    </row>
    <row r="6613" spans="47:47" ht="12" customHeight="1">
      <c r="AU6613" s="44"/>
    </row>
    <row r="6614" spans="47:47" ht="12" customHeight="1">
      <c r="AU6614" s="44"/>
    </row>
    <row r="6615" spans="47:47" ht="12" customHeight="1">
      <c r="AU6615" s="44"/>
    </row>
    <row r="6616" spans="47:47" ht="12" customHeight="1">
      <c r="AU6616" s="44"/>
    </row>
    <row r="6617" spans="47:47" ht="12" customHeight="1">
      <c r="AU6617" s="44"/>
    </row>
    <row r="6618" spans="47:47" ht="12" customHeight="1">
      <c r="AU6618" s="44"/>
    </row>
    <row r="6619" spans="47:47" ht="12" customHeight="1">
      <c r="AU6619" s="44"/>
    </row>
    <row r="6620" spans="47:47" ht="12" customHeight="1">
      <c r="AU6620" s="44"/>
    </row>
    <row r="6621" spans="47:47" ht="12" customHeight="1">
      <c r="AU6621" s="44"/>
    </row>
    <row r="6622" spans="47:47" ht="12" customHeight="1">
      <c r="AU6622" s="44"/>
    </row>
    <row r="6623" spans="47:47" ht="12" customHeight="1">
      <c r="AU6623" s="44"/>
    </row>
    <row r="6624" spans="47:47" ht="12" customHeight="1">
      <c r="AU6624" s="44"/>
    </row>
    <row r="6625" spans="47:47" ht="12" customHeight="1">
      <c r="AU6625" s="44"/>
    </row>
    <row r="6626" spans="47:47" ht="12" customHeight="1">
      <c r="AU6626" s="44"/>
    </row>
    <row r="6627" spans="47:47" ht="12" customHeight="1">
      <c r="AU6627" s="44"/>
    </row>
    <row r="6628" spans="47:47" ht="12" customHeight="1">
      <c r="AU6628" s="44"/>
    </row>
    <row r="6629" spans="47:47" ht="12" customHeight="1">
      <c r="AU6629" s="44"/>
    </row>
    <row r="6630" spans="47:47" ht="12" customHeight="1">
      <c r="AU6630" s="44"/>
    </row>
    <row r="6631" spans="47:47" ht="12" customHeight="1">
      <c r="AU6631" s="44"/>
    </row>
    <row r="6632" spans="47:47" ht="12" customHeight="1">
      <c r="AU6632" s="44"/>
    </row>
    <row r="6633" spans="47:47" ht="12" customHeight="1">
      <c r="AU6633" s="44"/>
    </row>
    <row r="6634" spans="47:47" ht="12" customHeight="1">
      <c r="AU6634" s="44"/>
    </row>
    <row r="6635" spans="47:47" ht="12" customHeight="1">
      <c r="AU6635" s="44"/>
    </row>
    <row r="6636" spans="47:47" ht="12" customHeight="1">
      <c r="AU6636" s="44"/>
    </row>
    <row r="6637" spans="47:47" ht="12" customHeight="1">
      <c r="AU6637" s="44"/>
    </row>
    <row r="6638" spans="47:47" ht="12" customHeight="1">
      <c r="AU6638" s="44"/>
    </row>
    <row r="6639" spans="47:47" ht="12" customHeight="1">
      <c r="AU6639" s="44"/>
    </row>
    <row r="6640" spans="47:47" ht="12" customHeight="1">
      <c r="AU6640" s="44"/>
    </row>
    <row r="6641" spans="47:47" ht="12" customHeight="1">
      <c r="AU6641" s="44"/>
    </row>
    <row r="6642" spans="47:47" ht="12" customHeight="1">
      <c r="AU6642" s="44"/>
    </row>
    <row r="6643" spans="47:47" ht="12" customHeight="1">
      <c r="AU6643" s="44"/>
    </row>
    <row r="6644" spans="47:47" ht="12" customHeight="1">
      <c r="AU6644" s="44"/>
    </row>
    <row r="6645" spans="47:47" ht="12" customHeight="1">
      <c r="AU6645" s="44"/>
    </row>
    <row r="6646" spans="47:47" ht="12" customHeight="1">
      <c r="AU6646" s="44"/>
    </row>
    <row r="6647" spans="47:47" ht="12" customHeight="1">
      <c r="AU6647" s="44"/>
    </row>
    <row r="6648" spans="47:47" ht="12" customHeight="1">
      <c r="AU6648" s="44"/>
    </row>
    <row r="6649" spans="47:47" ht="12" customHeight="1">
      <c r="AU6649" s="44"/>
    </row>
    <row r="6650" spans="47:47" ht="12" customHeight="1">
      <c r="AU6650" s="44"/>
    </row>
    <row r="6651" spans="47:47" ht="12" customHeight="1">
      <c r="AU6651" s="44"/>
    </row>
    <row r="6652" spans="47:47" ht="12" customHeight="1">
      <c r="AU6652" s="44"/>
    </row>
    <row r="6653" spans="47:47" ht="12" customHeight="1">
      <c r="AU6653" s="44"/>
    </row>
    <row r="6654" spans="47:47" ht="12" customHeight="1">
      <c r="AU6654" s="44"/>
    </row>
    <row r="6655" spans="47:47" ht="12" customHeight="1">
      <c r="AU6655" s="44"/>
    </row>
    <row r="6656" spans="47:47" ht="12" customHeight="1">
      <c r="AU6656" s="44"/>
    </row>
    <row r="6657" spans="47:47" ht="12" customHeight="1">
      <c r="AU6657" s="44"/>
    </row>
    <row r="6658" spans="47:47" ht="12" customHeight="1">
      <c r="AU6658" s="44"/>
    </row>
    <row r="6659" spans="47:47" ht="12" customHeight="1">
      <c r="AU6659" s="44"/>
    </row>
    <row r="6660" spans="47:47" ht="12" customHeight="1">
      <c r="AU6660" s="44"/>
    </row>
    <row r="6661" spans="47:47" ht="12" customHeight="1">
      <c r="AU6661" s="44"/>
    </row>
    <row r="6662" spans="47:47" ht="12" customHeight="1">
      <c r="AU6662" s="44"/>
    </row>
    <row r="6663" spans="47:47" ht="12" customHeight="1">
      <c r="AU6663" s="44"/>
    </row>
    <row r="6664" spans="47:47" ht="12" customHeight="1">
      <c r="AU6664" s="44"/>
    </row>
    <row r="6665" spans="47:47" ht="12" customHeight="1">
      <c r="AU6665" s="44"/>
    </row>
    <row r="6666" spans="47:47" ht="12" customHeight="1">
      <c r="AU6666" s="44"/>
    </row>
    <row r="6667" spans="47:47" ht="12" customHeight="1">
      <c r="AU6667" s="44"/>
    </row>
    <row r="6668" spans="47:47" ht="12" customHeight="1">
      <c r="AU6668" s="44"/>
    </row>
    <row r="6669" spans="47:47" ht="12" customHeight="1">
      <c r="AU6669" s="44"/>
    </row>
    <row r="6670" spans="47:47" ht="12" customHeight="1">
      <c r="AU6670" s="44"/>
    </row>
    <row r="6671" spans="47:47" ht="12" customHeight="1">
      <c r="AU6671" s="44"/>
    </row>
    <row r="6672" spans="47:47" ht="12" customHeight="1">
      <c r="AU6672" s="44"/>
    </row>
    <row r="6673" spans="47:47" ht="12" customHeight="1">
      <c r="AU6673" s="44"/>
    </row>
    <row r="6674" spans="47:47" ht="12" customHeight="1">
      <c r="AU6674" s="44"/>
    </row>
    <row r="6675" spans="47:47" ht="12" customHeight="1">
      <c r="AU6675" s="44"/>
    </row>
    <row r="6676" spans="47:47" ht="12" customHeight="1">
      <c r="AU6676" s="44"/>
    </row>
    <row r="6677" spans="47:47" ht="12" customHeight="1">
      <c r="AU6677" s="44"/>
    </row>
    <row r="6678" spans="47:47" ht="12" customHeight="1">
      <c r="AU6678" s="44"/>
    </row>
    <row r="6679" spans="47:47" ht="12" customHeight="1">
      <c r="AU6679" s="44"/>
    </row>
    <row r="6680" spans="47:47" ht="12" customHeight="1">
      <c r="AU6680" s="44"/>
    </row>
    <row r="6681" spans="47:47" ht="12" customHeight="1">
      <c r="AU6681" s="44"/>
    </row>
    <row r="6682" spans="47:47" ht="12" customHeight="1">
      <c r="AU6682" s="44"/>
    </row>
    <row r="6683" spans="47:47" ht="12" customHeight="1">
      <c r="AU6683" s="44"/>
    </row>
    <row r="6684" spans="47:47" ht="12" customHeight="1">
      <c r="AU6684" s="44"/>
    </row>
    <row r="6685" spans="47:47" ht="12" customHeight="1">
      <c r="AU6685" s="44"/>
    </row>
    <row r="6686" spans="47:47" ht="12" customHeight="1">
      <c r="AU6686" s="44"/>
    </row>
    <row r="6687" spans="47:47" ht="12" customHeight="1">
      <c r="AU6687" s="44"/>
    </row>
    <row r="6688" spans="47:47" ht="12" customHeight="1">
      <c r="AU6688" s="44"/>
    </row>
    <row r="6689" spans="47:47" ht="12" customHeight="1">
      <c r="AU6689" s="44"/>
    </row>
    <row r="6690" spans="47:47" ht="12" customHeight="1">
      <c r="AU6690" s="44"/>
    </row>
    <row r="6691" spans="47:47" ht="12" customHeight="1">
      <c r="AU6691" s="44"/>
    </row>
    <row r="6692" spans="47:47" ht="12" customHeight="1">
      <c r="AU6692" s="44"/>
    </row>
    <row r="6693" spans="47:47" ht="12" customHeight="1">
      <c r="AU6693" s="44"/>
    </row>
    <row r="6694" spans="47:47" ht="12" customHeight="1">
      <c r="AU6694" s="44"/>
    </row>
    <row r="6695" spans="47:47" ht="12" customHeight="1">
      <c r="AU6695" s="44"/>
    </row>
    <row r="6696" spans="47:47" ht="12" customHeight="1">
      <c r="AU6696" s="44"/>
    </row>
    <row r="6697" spans="47:47" ht="12" customHeight="1">
      <c r="AU6697" s="44"/>
    </row>
    <row r="6698" spans="47:47" ht="12" customHeight="1">
      <c r="AU6698" s="44"/>
    </row>
    <row r="6699" spans="47:47" ht="12" customHeight="1">
      <c r="AU6699" s="44"/>
    </row>
    <row r="6700" spans="47:47" ht="12" customHeight="1">
      <c r="AU6700" s="44"/>
    </row>
    <row r="6701" spans="47:47" ht="12" customHeight="1">
      <c r="AU6701" s="44"/>
    </row>
    <row r="6702" spans="47:47" ht="12" customHeight="1">
      <c r="AU6702" s="44"/>
    </row>
    <row r="6703" spans="47:47" ht="12" customHeight="1">
      <c r="AU6703" s="44"/>
    </row>
    <row r="6704" spans="47:47" ht="12" customHeight="1">
      <c r="AU6704" s="44"/>
    </row>
    <row r="6705" spans="47:47" ht="12" customHeight="1">
      <c r="AU6705" s="44"/>
    </row>
    <row r="6706" spans="47:47" ht="12" customHeight="1">
      <c r="AU6706" s="44"/>
    </row>
    <row r="6707" spans="47:47" ht="12" customHeight="1">
      <c r="AU6707" s="44"/>
    </row>
    <row r="6708" spans="47:47" ht="12" customHeight="1">
      <c r="AU6708" s="44"/>
    </row>
    <row r="6709" spans="47:47" ht="12" customHeight="1">
      <c r="AU6709" s="44"/>
    </row>
    <row r="6710" spans="47:47" ht="12" customHeight="1">
      <c r="AU6710" s="44"/>
    </row>
    <row r="6711" spans="47:47" ht="12" customHeight="1">
      <c r="AU6711" s="44"/>
    </row>
    <row r="6712" spans="47:47" ht="12" customHeight="1">
      <c r="AU6712" s="44"/>
    </row>
    <row r="6713" spans="47:47" ht="12" customHeight="1">
      <c r="AU6713" s="44"/>
    </row>
    <row r="6714" spans="47:47" ht="12" customHeight="1">
      <c r="AU6714" s="44"/>
    </row>
    <row r="6715" spans="47:47" ht="12" customHeight="1">
      <c r="AU6715" s="44"/>
    </row>
    <row r="6716" spans="47:47" ht="12" customHeight="1">
      <c r="AU6716" s="44"/>
    </row>
    <row r="6717" spans="47:47" ht="12" customHeight="1">
      <c r="AU6717" s="44"/>
    </row>
    <row r="6718" spans="47:47" ht="12" customHeight="1">
      <c r="AU6718" s="44"/>
    </row>
    <row r="6719" spans="47:47" ht="12" customHeight="1">
      <c r="AU6719" s="44"/>
    </row>
    <row r="6720" spans="47:47" ht="12" customHeight="1">
      <c r="AU6720" s="44"/>
    </row>
    <row r="6721" spans="47:47" ht="12" customHeight="1">
      <c r="AU6721" s="44"/>
    </row>
    <row r="6722" spans="47:47" ht="12" customHeight="1">
      <c r="AU6722" s="44"/>
    </row>
    <row r="6723" spans="47:47" ht="12" customHeight="1">
      <c r="AU6723" s="44"/>
    </row>
    <row r="6724" spans="47:47" ht="12" customHeight="1">
      <c r="AU6724" s="44"/>
    </row>
    <row r="6725" spans="47:47" ht="12" customHeight="1">
      <c r="AU6725" s="44"/>
    </row>
    <row r="6726" spans="47:47" ht="12" customHeight="1">
      <c r="AU6726" s="44"/>
    </row>
    <row r="6727" spans="47:47" ht="12" customHeight="1">
      <c r="AU6727" s="44"/>
    </row>
    <row r="6728" spans="47:47" ht="12" customHeight="1">
      <c r="AU6728" s="44"/>
    </row>
    <row r="6729" spans="47:47" ht="12" customHeight="1">
      <c r="AU6729" s="44"/>
    </row>
    <row r="6730" spans="47:47" ht="12" customHeight="1">
      <c r="AU6730" s="44"/>
    </row>
    <row r="6731" spans="47:47" ht="12" customHeight="1">
      <c r="AU6731" s="44"/>
    </row>
    <row r="6732" spans="47:47" ht="12" customHeight="1">
      <c r="AU6732" s="44"/>
    </row>
    <row r="6733" spans="47:47" ht="12" customHeight="1">
      <c r="AU6733" s="44"/>
    </row>
    <row r="6734" spans="47:47" ht="12" customHeight="1">
      <c r="AU6734" s="44"/>
    </row>
    <row r="6735" spans="47:47" ht="12" customHeight="1">
      <c r="AU6735" s="44"/>
    </row>
    <row r="6736" spans="47:47" ht="12" customHeight="1">
      <c r="AU6736" s="44"/>
    </row>
    <row r="6737" spans="47:47" ht="12" customHeight="1">
      <c r="AU6737" s="44"/>
    </row>
    <row r="6738" spans="47:47" ht="12" customHeight="1">
      <c r="AU6738" s="44"/>
    </row>
    <row r="6739" spans="47:47" ht="12" customHeight="1">
      <c r="AU6739" s="44"/>
    </row>
    <row r="6740" spans="47:47" ht="12" customHeight="1">
      <c r="AU6740" s="44"/>
    </row>
    <row r="6741" spans="47:47" ht="12" customHeight="1">
      <c r="AU6741" s="44"/>
    </row>
    <row r="6742" spans="47:47" ht="12" customHeight="1">
      <c r="AU6742" s="44"/>
    </row>
    <row r="6743" spans="47:47" ht="12" customHeight="1">
      <c r="AU6743" s="44"/>
    </row>
    <row r="6744" spans="47:47" ht="12" customHeight="1">
      <c r="AU6744" s="44"/>
    </row>
    <row r="6745" spans="47:47" ht="12" customHeight="1">
      <c r="AU6745" s="44"/>
    </row>
    <row r="6746" spans="47:47" ht="12" customHeight="1">
      <c r="AU6746" s="44"/>
    </row>
    <row r="6747" spans="47:47" ht="12" customHeight="1">
      <c r="AU6747" s="44"/>
    </row>
    <row r="6748" spans="47:47" ht="12" customHeight="1">
      <c r="AU6748" s="44"/>
    </row>
    <row r="6749" spans="47:47" ht="12" customHeight="1">
      <c r="AU6749" s="44"/>
    </row>
    <row r="6750" spans="47:47" ht="12" customHeight="1">
      <c r="AU6750" s="44"/>
    </row>
    <row r="6751" spans="47:47" ht="12" customHeight="1">
      <c r="AU6751" s="44"/>
    </row>
    <row r="6752" spans="47:47" ht="12" customHeight="1">
      <c r="AU6752" s="44"/>
    </row>
    <row r="6753" spans="47:47" ht="12" customHeight="1">
      <c r="AU6753" s="44"/>
    </row>
    <row r="6754" spans="47:47" ht="12" customHeight="1">
      <c r="AU6754" s="44"/>
    </row>
    <row r="6755" spans="47:47" ht="12" customHeight="1">
      <c r="AU6755" s="44"/>
    </row>
    <row r="6756" spans="47:47" ht="12" customHeight="1">
      <c r="AU6756" s="44"/>
    </row>
    <row r="6757" spans="47:47" ht="12" customHeight="1">
      <c r="AU6757" s="44"/>
    </row>
    <row r="6758" spans="47:47" ht="12" customHeight="1">
      <c r="AU6758" s="44"/>
    </row>
    <row r="6759" spans="47:47" ht="12" customHeight="1">
      <c r="AU6759" s="44"/>
    </row>
    <row r="6760" spans="47:47" ht="12" customHeight="1">
      <c r="AU6760" s="44"/>
    </row>
    <row r="6761" spans="47:47" ht="12" customHeight="1">
      <c r="AU6761" s="44"/>
    </row>
    <row r="6762" spans="47:47" ht="12" customHeight="1">
      <c r="AU6762" s="44"/>
    </row>
    <row r="6763" spans="47:47" ht="12" customHeight="1">
      <c r="AU6763" s="44"/>
    </row>
    <row r="6764" spans="47:47" ht="12" customHeight="1">
      <c r="AU6764" s="44"/>
    </row>
    <row r="6765" spans="47:47" ht="12" customHeight="1">
      <c r="AU6765" s="44"/>
    </row>
    <row r="6766" spans="47:47" ht="12" customHeight="1">
      <c r="AU6766" s="44"/>
    </row>
    <row r="6767" spans="47:47" ht="12" customHeight="1">
      <c r="AU6767" s="44"/>
    </row>
    <row r="6768" spans="47:47" ht="12" customHeight="1">
      <c r="AU6768" s="44"/>
    </row>
    <row r="6769" spans="47:47" ht="12" customHeight="1">
      <c r="AU6769" s="44"/>
    </row>
    <row r="6770" spans="47:47" ht="12" customHeight="1">
      <c r="AU6770" s="44"/>
    </row>
    <row r="6771" spans="47:47" ht="12" customHeight="1">
      <c r="AU6771" s="44"/>
    </row>
    <row r="6772" spans="47:47" ht="12" customHeight="1">
      <c r="AU6772" s="44"/>
    </row>
    <row r="6773" spans="47:47" ht="12" customHeight="1">
      <c r="AU6773" s="44"/>
    </row>
    <row r="6774" spans="47:47" ht="12" customHeight="1">
      <c r="AU6774" s="44"/>
    </row>
    <row r="6775" spans="47:47" ht="12" customHeight="1">
      <c r="AU6775" s="44"/>
    </row>
    <row r="6776" spans="47:47" ht="12" customHeight="1">
      <c r="AU6776" s="44"/>
    </row>
    <row r="6777" spans="47:47" ht="12" customHeight="1">
      <c r="AU6777" s="44"/>
    </row>
    <row r="6778" spans="47:47" ht="12" customHeight="1">
      <c r="AU6778" s="44"/>
    </row>
    <row r="6779" spans="47:47" ht="12" customHeight="1">
      <c r="AU6779" s="44"/>
    </row>
    <row r="6780" spans="47:47" ht="12" customHeight="1">
      <c r="AU6780" s="44"/>
    </row>
    <row r="6781" spans="47:47" ht="12" customHeight="1">
      <c r="AU6781" s="44"/>
    </row>
    <row r="6782" spans="47:47" ht="12" customHeight="1">
      <c r="AU6782" s="44"/>
    </row>
    <row r="6783" spans="47:47" ht="12" customHeight="1">
      <c r="AU6783" s="44"/>
    </row>
    <row r="6784" spans="47:47" ht="12" customHeight="1">
      <c r="AU6784" s="44"/>
    </row>
    <row r="6785" spans="47:47" ht="12" customHeight="1">
      <c r="AU6785" s="44"/>
    </row>
    <row r="6786" spans="47:47" ht="12" customHeight="1">
      <c r="AU6786" s="44"/>
    </row>
    <row r="6787" spans="47:47" ht="12" customHeight="1">
      <c r="AU6787" s="44"/>
    </row>
    <row r="6788" spans="47:47" ht="12" customHeight="1">
      <c r="AU6788" s="44"/>
    </row>
    <row r="6789" spans="47:47" ht="12" customHeight="1">
      <c r="AU6789" s="44"/>
    </row>
    <row r="6790" spans="47:47" ht="12" customHeight="1">
      <c r="AU6790" s="44"/>
    </row>
    <row r="6791" spans="47:47" ht="12" customHeight="1">
      <c r="AU6791" s="44"/>
    </row>
    <row r="6792" spans="47:47" ht="12" customHeight="1">
      <c r="AU6792" s="44"/>
    </row>
    <row r="6793" spans="47:47" ht="12" customHeight="1">
      <c r="AU6793" s="44"/>
    </row>
    <row r="6794" spans="47:47" ht="12" customHeight="1">
      <c r="AU6794" s="44"/>
    </row>
    <row r="6795" spans="47:47" ht="12" customHeight="1">
      <c r="AU6795" s="44"/>
    </row>
    <row r="6796" spans="47:47" ht="12" customHeight="1">
      <c r="AU6796" s="44"/>
    </row>
    <row r="6797" spans="47:47" ht="12" customHeight="1">
      <c r="AU6797" s="44"/>
    </row>
    <row r="6798" spans="47:47" ht="12" customHeight="1">
      <c r="AU6798" s="44"/>
    </row>
    <row r="6799" spans="47:47" ht="12" customHeight="1">
      <c r="AU6799" s="44"/>
    </row>
    <row r="6800" spans="47:47" ht="12" customHeight="1">
      <c r="AU6800" s="44"/>
    </row>
    <row r="6801" spans="47:47" ht="12" customHeight="1">
      <c r="AU6801" s="44"/>
    </row>
    <row r="6802" spans="47:47" ht="12" customHeight="1">
      <c r="AU6802" s="44"/>
    </row>
    <row r="6803" spans="47:47" ht="12" customHeight="1">
      <c r="AU6803" s="44"/>
    </row>
    <row r="6804" spans="47:47" ht="12" customHeight="1">
      <c r="AU6804" s="44"/>
    </row>
    <row r="6805" spans="47:47" ht="12" customHeight="1">
      <c r="AU6805" s="44"/>
    </row>
    <row r="6806" spans="47:47" ht="12" customHeight="1">
      <c r="AU6806" s="44"/>
    </row>
    <row r="6807" spans="47:47" ht="12" customHeight="1">
      <c r="AU6807" s="44"/>
    </row>
    <row r="6808" spans="47:47" ht="12" customHeight="1">
      <c r="AU6808" s="44"/>
    </row>
    <row r="6809" spans="47:47" ht="12" customHeight="1">
      <c r="AU6809" s="44"/>
    </row>
    <row r="6810" spans="47:47" ht="12" customHeight="1">
      <c r="AU6810" s="44"/>
    </row>
    <row r="6811" spans="47:47" ht="12" customHeight="1">
      <c r="AU6811" s="44"/>
    </row>
    <row r="6812" spans="47:47" ht="12" customHeight="1">
      <c r="AU6812" s="44"/>
    </row>
    <row r="6813" spans="47:47" ht="12" customHeight="1">
      <c r="AU6813" s="44"/>
    </row>
    <row r="6814" spans="47:47" ht="12" customHeight="1">
      <c r="AU6814" s="44"/>
    </row>
    <row r="6815" spans="47:47" ht="12" customHeight="1">
      <c r="AU6815" s="44"/>
    </row>
    <row r="6816" spans="47:47" ht="12" customHeight="1">
      <c r="AU6816" s="44"/>
    </row>
    <row r="6817" spans="47:47" ht="12" customHeight="1">
      <c r="AU6817" s="44"/>
    </row>
    <row r="6818" spans="47:47" ht="12" customHeight="1">
      <c r="AU6818" s="44"/>
    </row>
    <row r="6819" spans="47:47" ht="12" customHeight="1">
      <c r="AU6819" s="44"/>
    </row>
    <row r="6820" spans="47:47" ht="12" customHeight="1">
      <c r="AU6820" s="44"/>
    </row>
    <row r="6821" spans="47:47" ht="12" customHeight="1">
      <c r="AU6821" s="44"/>
    </row>
    <row r="6822" spans="47:47" ht="12" customHeight="1">
      <c r="AU6822" s="44"/>
    </row>
    <row r="6823" spans="47:47" ht="12" customHeight="1">
      <c r="AU6823" s="44"/>
    </row>
    <row r="6824" spans="47:47" ht="12" customHeight="1">
      <c r="AU6824" s="44"/>
    </row>
    <row r="6825" spans="47:47" ht="12" customHeight="1">
      <c r="AU6825" s="44"/>
    </row>
    <row r="6826" spans="47:47" ht="12" customHeight="1">
      <c r="AU6826" s="44"/>
    </row>
    <row r="6827" spans="47:47" ht="12" customHeight="1">
      <c r="AU6827" s="44"/>
    </row>
    <row r="6828" spans="47:47" ht="12" customHeight="1">
      <c r="AU6828" s="44"/>
    </row>
    <row r="6829" spans="47:47" ht="12" customHeight="1">
      <c r="AU6829" s="44"/>
    </row>
    <row r="6830" spans="47:47" ht="12" customHeight="1">
      <c r="AU6830" s="44"/>
    </row>
    <row r="6831" spans="47:47" ht="12" customHeight="1">
      <c r="AU6831" s="44"/>
    </row>
    <row r="6832" spans="47:47" ht="12" customHeight="1">
      <c r="AU6832" s="44"/>
    </row>
    <row r="6833" spans="47:47" ht="12" customHeight="1">
      <c r="AU6833" s="44"/>
    </row>
    <row r="6834" spans="47:47" ht="12" customHeight="1">
      <c r="AU6834" s="44"/>
    </row>
    <row r="6835" spans="47:47" ht="12" customHeight="1">
      <c r="AU6835" s="44"/>
    </row>
    <row r="6836" spans="47:47" ht="12" customHeight="1">
      <c r="AU6836" s="44"/>
    </row>
    <row r="6837" spans="47:47" ht="12" customHeight="1">
      <c r="AU6837" s="44"/>
    </row>
    <row r="6838" spans="47:47" ht="12" customHeight="1">
      <c r="AU6838" s="44"/>
    </row>
    <row r="6839" spans="47:47" ht="12" customHeight="1">
      <c r="AU6839" s="44"/>
    </row>
    <row r="6840" spans="47:47" ht="12" customHeight="1">
      <c r="AU6840" s="44"/>
    </row>
    <row r="6841" spans="47:47" ht="12" customHeight="1">
      <c r="AU6841" s="44"/>
    </row>
    <row r="6842" spans="47:47" ht="12" customHeight="1">
      <c r="AU6842" s="44"/>
    </row>
    <row r="6843" spans="47:47" ht="12" customHeight="1">
      <c r="AU6843" s="44"/>
    </row>
    <row r="6844" spans="47:47" ht="12" customHeight="1">
      <c r="AU6844" s="44"/>
    </row>
    <row r="6845" spans="47:47" ht="12" customHeight="1">
      <c r="AU6845" s="44"/>
    </row>
    <row r="6846" spans="47:47" ht="12" customHeight="1">
      <c r="AU6846" s="44"/>
    </row>
    <row r="6847" spans="47:47" ht="12" customHeight="1">
      <c r="AU6847" s="44"/>
    </row>
    <row r="6848" spans="47:47" ht="12" customHeight="1">
      <c r="AU6848" s="44"/>
    </row>
    <row r="6849" spans="47:47" ht="12" customHeight="1">
      <c r="AU6849" s="44"/>
    </row>
    <row r="6850" spans="47:47" ht="12" customHeight="1">
      <c r="AU6850" s="44"/>
    </row>
    <row r="6851" spans="47:47" ht="12" customHeight="1">
      <c r="AU6851" s="44"/>
    </row>
    <row r="6852" spans="47:47" ht="12" customHeight="1">
      <c r="AU6852" s="44"/>
    </row>
    <row r="6853" spans="47:47" ht="12" customHeight="1">
      <c r="AU6853" s="44"/>
    </row>
    <row r="6854" spans="47:47" ht="12" customHeight="1">
      <c r="AU6854" s="44"/>
    </row>
    <row r="6855" spans="47:47" ht="12" customHeight="1">
      <c r="AU6855" s="44"/>
    </row>
    <row r="6856" spans="47:47" ht="12" customHeight="1">
      <c r="AU6856" s="44"/>
    </row>
    <row r="6857" spans="47:47" ht="12" customHeight="1">
      <c r="AU6857" s="44"/>
    </row>
    <row r="6858" spans="47:47" ht="12" customHeight="1">
      <c r="AU6858" s="44"/>
    </row>
    <row r="6859" spans="47:47" ht="12" customHeight="1">
      <c r="AU6859" s="44"/>
    </row>
    <row r="6860" spans="47:47" ht="12" customHeight="1">
      <c r="AU6860" s="44"/>
    </row>
    <row r="6861" spans="47:47" ht="12" customHeight="1">
      <c r="AU6861" s="44"/>
    </row>
    <row r="6862" spans="47:47" ht="12" customHeight="1">
      <c r="AU6862" s="44"/>
    </row>
    <row r="6863" spans="47:47" ht="12" customHeight="1">
      <c r="AU6863" s="44"/>
    </row>
    <row r="6864" spans="47:47" ht="12" customHeight="1">
      <c r="AU6864" s="44"/>
    </row>
    <row r="6865" spans="47:47" ht="12" customHeight="1">
      <c r="AU6865" s="44"/>
    </row>
    <row r="6866" spans="47:47" ht="12" customHeight="1">
      <c r="AU6866" s="44"/>
    </row>
  </sheetData>
  <autoFilter ref="A1:AU308" xr:uid="{9931A248-8A11-4D8E-BACD-A0C0D59E4D18}">
    <filterColumn colId="2">
      <filters>
        <filter val="Transbordo/Navegação"/>
        <filter val="Transbordo/TotalCare"/>
      </filters>
    </filterColumn>
    <filterColumn colId="16">
      <filters>
        <filter val="1. Aceitou o programa"/>
      </filters>
    </filterColumn>
    <filterColumn colId="17">
      <filters>
        <dateGroupItem year="2026" month="6" day="16" dateTimeGrouping="day"/>
      </filters>
    </filterColumn>
  </autoFilter>
  <conditionalFormatting sqref="A1:A567">
    <cfRule type="containsText" dxfId="25" priority="3" operator="containsText" text="Sim">
      <formula>NOT(ISERROR(SEARCH("Sim",A1)))</formula>
    </cfRule>
  </conditionalFormatting>
  <conditionalFormatting sqref="E1">
    <cfRule type="duplicateValues" dxfId="24" priority="5"/>
  </conditionalFormatting>
  <conditionalFormatting sqref="E568:E1048576">
    <cfRule type="duplicateValues" dxfId="23" priority="138"/>
  </conditionalFormatting>
  <conditionalFormatting sqref="E1:F1">
    <cfRule type="duplicateValues" dxfId="22" priority="7"/>
    <cfRule type="duplicateValues" dxfId="21" priority="8"/>
    <cfRule type="duplicateValues" dxfId="20" priority="9"/>
  </conditionalFormatting>
  <conditionalFormatting sqref="E2:F259">
    <cfRule type="duplicateValues" dxfId="19" priority="18"/>
  </conditionalFormatting>
  <conditionalFormatting sqref="F1">
    <cfRule type="duplicateValues" dxfId="18" priority="4"/>
    <cfRule type="duplicateValues" dxfId="17" priority="6"/>
  </conditionalFormatting>
  <conditionalFormatting sqref="F2:F259">
    <cfRule type="duplicateValues" dxfId="16" priority="17"/>
  </conditionalFormatting>
  <conditionalFormatting sqref="F24:F394">
    <cfRule type="duplicateValues" dxfId="15" priority="148"/>
  </conditionalFormatting>
  <conditionalFormatting sqref="F395:F494">
    <cfRule type="duplicateValues" dxfId="14" priority="19"/>
    <cfRule type="duplicateValues" dxfId="13" priority="20"/>
  </conditionalFormatting>
  <conditionalFormatting sqref="F495:F567">
    <cfRule type="duplicateValues" dxfId="12" priority="21"/>
  </conditionalFormatting>
  <conditionalFormatting sqref="F568:F1048576">
    <cfRule type="duplicateValues" dxfId="11" priority="141"/>
    <cfRule type="duplicateValues" dxfId="10" priority="142"/>
  </conditionalFormatting>
  <conditionalFormatting sqref="J1:J1048576">
    <cfRule type="containsText" dxfId="9" priority="1" operator="containsText" text="M">
      <formula>NOT(ISERROR(SEARCH("M",J1)))</formula>
    </cfRule>
    <cfRule type="containsText" dxfId="8" priority="2" operator="containsText" text="F">
      <formula>NOT(ISERROR(SEARCH("F",J1)))</formula>
    </cfRule>
  </conditionalFormatting>
  <conditionalFormatting sqref="K24:K394">
    <cfRule type="containsText" dxfId="7" priority="16" operator="containsText" text="RJ">
      <formula>NOT(ISERROR(SEARCH("RJ",K24)))</formula>
    </cfRule>
  </conditionalFormatting>
  <conditionalFormatting sqref="AJ2:AJ1048576">
    <cfRule type="containsText" dxfId="6" priority="10" operator="containsText" text="Pendente">
      <formula>NOT(ISERROR(SEARCH("Pendente",AJ2)))</formula>
    </cfRule>
    <cfRule type="containsText" dxfId="5" priority="11" operator="containsText" text="Sim">
      <formula>NOT(ISERROR(SEARCH("Sim",AJ2)))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6">
        <x14:dataValidation type="list" allowBlank="1" showInputMessage="1" showErrorMessage="1" xr:uid="{11727F12-144F-4468-9F80-2D2474DBDC3B}">
          <x14:formula1>
            <xm:f>'Lista Suspensa'!$K$2:$K$54</xm:f>
          </x14:formula1>
          <xm:sqref>AG13 AF119:AF1048576 AG132 AG197 AG101:AG102 AG107 AF2:AF56 AF58:AF117 AG256 AG162 AG29 AG206 AG142 AG27 AG188 AG202 AG178 AG23 AG217 AG258 AG8 AG72</xm:sqref>
        </x14:dataValidation>
        <x14:dataValidation type="list" allowBlank="1" showInputMessage="1" showErrorMessage="1" xr:uid="{81DF10AE-290A-4BDF-B57D-CE764A636D69}">
          <x14:formula1>
            <xm:f>'Lista Suspensa'!$K$2:$K$100</xm:f>
          </x14:formula1>
          <xm:sqref>AF118 AG218:AG255 AG108:AG131 AG103:AG106 AG259:AG1048576 AG28 AF57 AG9:AG12 AG24:AG26 AG143:AG161 AG189:AG196 AG133:AG141 AG179:AG187 AG203:AG205 AG198:AG201 AG163:AG177 AG14:AG22 AG207:AG216 AG257 AG2:AG7 AG30:AG71 AG73:AG100</xm:sqref>
        </x14:dataValidation>
        <x14:dataValidation type="list" allowBlank="1" showInputMessage="1" showErrorMessage="1" xr:uid="{0053F904-F7A0-43EF-BFE3-FB04FD5D7519}">
          <x14:formula1>
            <xm:f>'Lista Suspensa'!$AD$2:$AD$6</xm:f>
          </x14:formula1>
          <xm:sqref>AC118 AB2:AB1048576</xm:sqref>
        </x14:dataValidation>
        <x14:dataValidation type="list" allowBlank="1" showInputMessage="1" showErrorMessage="1" xr:uid="{22F69B06-80DE-41F2-9E05-B0D2DE709B46}">
          <x14:formula1>
            <xm:f>'Lista Suspensa'!$R$2:$R$48</xm:f>
          </x14:formula1>
          <xm:sqref>AL2:AL1048576</xm:sqref>
        </x14:dataValidation>
        <x14:dataValidation type="list" allowBlank="1" showInputMessage="1" showErrorMessage="1" xr:uid="{55A8CD58-2A39-4EDC-A1EF-570999CD4FD9}">
          <x14:formula1>
            <xm:f>'Lista Suspensa'!$D$2:$D$10</xm:f>
          </x14:formula1>
          <xm:sqref>C2:C1048576</xm:sqref>
        </x14:dataValidation>
        <x14:dataValidation type="list" allowBlank="1" showInputMessage="1" showErrorMessage="1" xr:uid="{2F604FB2-9EEF-4CC9-9C78-5AA706C93B7F}">
          <x14:formula1>
            <xm:f>'Lista Suspensa'!$F$2:$F$54</xm:f>
          </x14:formula1>
          <xm:sqref>D2:D1048576</xm:sqref>
        </x14:dataValidation>
        <x14:dataValidation type="list" allowBlank="1" showInputMessage="1" showErrorMessage="1" xr:uid="{D51ED36A-0E8F-4C55-8655-A7BFC10F159A}">
          <x14:formula1>
            <xm:f>'Lista Suspensa'!$V$2:$V$30</xm:f>
          </x14:formula1>
          <xm:sqref>Q2:Q1048576</xm:sqref>
        </x14:dataValidation>
        <x14:dataValidation type="list" allowBlank="1" showInputMessage="1" showErrorMessage="1" xr:uid="{599E59BE-AD4D-4E5C-8A43-BDF16AF91E71}">
          <x14:formula1>
            <xm:f>'Lista Suspensa'!$X$2:$X$7</xm:f>
          </x14:formula1>
          <xm:sqref>T2:T1048576</xm:sqref>
        </x14:dataValidation>
        <x14:dataValidation type="list" allowBlank="1" showInputMessage="1" showErrorMessage="1" xr:uid="{FBE42A50-1365-4BD1-A521-29A52C457D57}">
          <x14:formula1>
            <xm:f>'Lista Suspensa'!$Z$2:$Z$4</xm:f>
          </x14:formula1>
          <xm:sqref>U2:U1048576</xm:sqref>
        </x14:dataValidation>
        <x14:dataValidation type="list" allowBlank="1" showInputMessage="1" showErrorMessage="1" xr:uid="{B6FA822D-27DA-4A1C-84D8-2CC43BEF2122}">
          <x14:formula1>
            <xm:f>'Lista Suspensa'!$AB$2:$AB$6</xm:f>
          </x14:formula1>
          <xm:sqref>Z2:Z1048576</xm:sqref>
        </x14:dataValidation>
        <x14:dataValidation type="list" allowBlank="1" showInputMessage="1" showErrorMessage="1" xr:uid="{7139C0CB-DDC2-452C-8AFB-E6BFBC83039A}">
          <x14:formula1>
            <xm:f>'Lista Suspensa'!$AF$2:$AF$5</xm:f>
          </x14:formula1>
          <xm:sqref>AD2:AD1048576</xm:sqref>
        </x14:dataValidation>
        <x14:dataValidation type="list" allowBlank="1" showInputMessage="1" showErrorMessage="1" xr:uid="{65E2CBA2-87FB-422D-9BE7-DCEE57D02C45}">
          <x14:formula1>
            <xm:f>'Lista Suspensa'!$T$2:$T$6</xm:f>
          </x14:formula1>
          <xm:sqref>AH2:AH1048576</xm:sqref>
        </x14:dataValidation>
        <x14:dataValidation type="list" allowBlank="1" showInputMessage="1" showErrorMessage="1" xr:uid="{12837FB8-E172-4F08-B0B2-447AE68F3A66}">
          <x14:formula1>
            <xm:f>'Lista Suspensa'!$AH$2:$AH$4</xm:f>
          </x14:formula1>
          <xm:sqref>AI2:AI1048576 AK257:AK258 AK10 AK17 AK22 AK28 AK38 AK40 AK65 AK70 AK77 AK83 AK125 AK143 AK155 AK159 AK163 AK167 AK169 AK172 AK179:AK181 AK238 AK254</xm:sqref>
        </x14:dataValidation>
        <x14:dataValidation type="list" allowBlank="1" showInputMessage="1" showErrorMessage="1" xr:uid="{C6DAC078-9E88-44E4-8B86-9736E8F7052A}">
          <x14:formula1>
            <xm:f>'Lista Suspensa'!$AJ$2:$AJ$5</xm:f>
          </x14:formula1>
          <xm:sqref>AJ2:AJ1048576</xm:sqref>
        </x14:dataValidation>
        <x14:dataValidation type="list" allowBlank="1" showInputMessage="1" showErrorMessage="1" xr:uid="{0AB147F2-1A98-462A-8F04-25C9371C2159}">
          <x14:formula1>
            <xm:f>'Lista Suspensa'!$AL$2:$AL$5</xm:f>
          </x14:formula1>
          <xm:sqref>AK259:AK1048576 AK2:AK9 AK11:AK16 AK18:AK21 AK23:AK27 AK255:AK256 AK39 AK29:AK37 AK66:AK69 AK71:AK76 AK41:AK64 AK78:AK82 AK126:AK142 AK144:AK154 AK156:AK158 AK84:AK124 AK164:AK166 AK168 AK170:AK171 AK173:AK178 AK160:AK162 AK182:AK237 AK239:AK253</xm:sqref>
        </x14:dataValidation>
        <x14:dataValidation type="list" allowBlank="1" showInputMessage="1" showErrorMessage="1" xr:uid="{00980B5A-6E11-4EB1-AEA5-DB03D270A1FB}">
          <x14:formula1>
            <xm:f>'Lista Suspensa'!$AN$2:$AN$4</xm:f>
          </x14:formula1>
          <xm:sqref>A2:A1048576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7595B-38D5-4B99-83A3-14898427128C}">
  <sheetPr>
    <tabColor rgb="FFF54CBC"/>
  </sheetPr>
  <dimension ref="A1:AE111"/>
  <sheetViews>
    <sheetView showGridLines="0" workbookViewId="0">
      <pane ySplit="11" topLeftCell="A48" activePane="bottomLeft" state="frozen"/>
      <selection pane="bottomLeft" activeCell="A11" sqref="A1:XFD11"/>
    </sheetView>
  </sheetViews>
  <sheetFormatPr defaultRowHeight="14.45"/>
  <cols>
    <col min="1" max="1" width="3.42578125" customWidth="1"/>
    <col min="2" max="2" width="42.140625" customWidth="1"/>
    <col min="3" max="3" width="16.28515625" customWidth="1"/>
    <col min="4" max="9" width="12.85546875" customWidth="1"/>
    <col min="10" max="10" width="5.5703125" bestFit="1" customWidth="1"/>
    <col min="11" max="11" width="31.28515625" bestFit="1" customWidth="1"/>
    <col min="12" max="17" width="12.7109375" customWidth="1"/>
    <col min="18" max="18" width="5.5703125" bestFit="1" customWidth="1"/>
    <col min="19" max="19" width="40.28515625" bestFit="1" customWidth="1"/>
    <col min="20" max="21" width="12.28515625" customWidth="1"/>
    <col min="22" max="22" width="5.5703125" bestFit="1" customWidth="1"/>
    <col min="23" max="25" width="14.5703125" customWidth="1"/>
    <col min="26" max="26" width="13.42578125" customWidth="1"/>
    <col min="27" max="29" width="18.7109375" customWidth="1"/>
  </cols>
  <sheetData>
    <row r="1" spans="1:31" hidden="1"/>
    <row r="2" spans="1:31" hidden="1">
      <c r="B2" s="208" t="s">
        <v>37</v>
      </c>
      <c r="C2" s="80" t="s">
        <v>62</v>
      </c>
    </row>
    <row r="3" spans="1:31" hidden="1">
      <c r="B3" s="208" t="s">
        <v>2</v>
      </c>
      <c r="C3" s="80"/>
      <c r="F3" s="39"/>
    </row>
    <row r="4" spans="1:31" hidden="1">
      <c r="B4" s="208" t="s">
        <v>830</v>
      </c>
      <c r="C4" s="80" t="s">
        <v>831</v>
      </c>
      <c r="F4" s="39"/>
    </row>
    <row r="5" spans="1:31" hidden="1">
      <c r="F5" s="39"/>
    </row>
    <row r="6" spans="1:31" hidden="1">
      <c r="F6" s="39"/>
    </row>
    <row r="7" spans="1:31" hidden="1">
      <c r="B7" s="209" t="s">
        <v>38</v>
      </c>
      <c r="C7" s="81">
        <v>46143</v>
      </c>
      <c r="D7" t="s">
        <v>832</v>
      </c>
    </row>
    <row r="8" spans="1:31" hidden="1"/>
    <row r="9" spans="1:31" hidden="1">
      <c r="B9" s="210" t="s">
        <v>833</v>
      </c>
      <c r="C9" s="77">
        <v>46023</v>
      </c>
    </row>
    <row r="10" spans="1:31" hidden="1">
      <c r="B10" s="210" t="s">
        <v>834</v>
      </c>
      <c r="C10" s="77">
        <v>46165</v>
      </c>
    </row>
    <row r="11" spans="1:31" hidden="1"/>
    <row r="12" spans="1:31" s="216" customFormat="1">
      <c r="A12" s="214"/>
      <c r="B12" s="215" t="s">
        <v>835</v>
      </c>
      <c r="C12" s="214"/>
      <c r="D12" s="214"/>
      <c r="E12" s="214"/>
      <c r="F12" s="214"/>
      <c r="G12" s="214"/>
      <c r="H12" s="214"/>
      <c r="I12" s="214"/>
      <c r="J12" s="214"/>
      <c r="K12" s="214"/>
      <c r="L12" s="214"/>
      <c r="M12" s="214"/>
      <c r="N12" s="214"/>
      <c r="O12" s="214"/>
      <c r="P12" s="214"/>
      <c r="Q12" s="214"/>
      <c r="R12" s="214"/>
      <c r="S12" s="214"/>
      <c r="T12" s="214"/>
      <c r="U12" s="214"/>
      <c r="V12" s="214"/>
      <c r="W12" s="214"/>
      <c r="X12" s="214"/>
      <c r="Y12" s="214"/>
      <c r="Z12" s="214"/>
      <c r="AA12" s="214"/>
      <c r="AB12" s="214"/>
      <c r="AC12" s="214"/>
      <c r="AD12" s="214"/>
      <c r="AE12" s="214"/>
    </row>
    <row r="14" spans="1:31">
      <c r="B14" s="234" t="s">
        <v>16</v>
      </c>
      <c r="C14" s="173" t="s">
        <v>39</v>
      </c>
      <c r="D14" s="173"/>
      <c r="E14" s="173"/>
      <c r="F14" s="173"/>
      <c r="G14" s="173"/>
      <c r="H14" s="173" t="s">
        <v>836</v>
      </c>
      <c r="I14" s="173"/>
      <c r="K14" s="234" t="s">
        <v>837</v>
      </c>
      <c r="L14" s="173" t="s">
        <v>39</v>
      </c>
      <c r="M14" s="173"/>
      <c r="N14" s="173"/>
      <c r="O14" s="173"/>
      <c r="P14" s="173"/>
      <c r="Q14" s="173"/>
      <c r="S14" s="76" t="s">
        <v>16</v>
      </c>
      <c r="T14" s="76" t="s">
        <v>838</v>
      </c>
      <c r="U14" s="76" t="s">
        <v>839</v>
      </c>
      <c r="W14" s="183" t="s">
        <v>837</v>
      </c>
      <c r="X14" s="183"/>
      <c r="Y14" s="183"/>
    </row>
    <row r="15" spans="1:31">
      <c r="B15" s="234"/>
      <c r="C15" s="36">
        <v>1</v>
      </c>
      <c r="D15" s="173">
        <v>2</v>
      </c>
      <c r="E15" s="173">
        <v>3</v>
      </c>
      <c r="F15" s="173">
        <v>4</v>
      </c>
      <c r="G15" s="173">
        <v>5</v>
      </c>
      <c r="H15" s="173" t="s">
        <v>838</v>
      </c>
      <c r="I15" s="173" t="s">
        <v>839</v>
      </c>
      <c r="K15" s="234"/>
      <c r="L15" s="174">
        <v>1</v>
      </c>
      <c r="M15" s="174">
        <v>2</v>
      </c>
      <c r="N15" s="174">
        <v>3</v>
      </c>
      <c r="O15" s="174">
        <v>4</v>
      </c>
      <c r="P15" s="174">
        <v>5</v>
      </c>
      <c r="Q15" s="173" t="s">
        <v>836</v>
      </c>
      <c r="S15" s="190" t="s">
        <v>68</v>
      </c>
      <c r="T15" s="78">
        <f>COUNTIFS(Consolidado!$AL:$AL,IF(ISBLANK($C$2),"&lt;&gt;",$C$2),Consolidado!$Q:$Q,Análise!S15,Consolidado!$B:$B,"&lt;="&amp;Análise!$C$10,Consolidado!$B:$B,"&gt;="&amp;Análise!$C$9,Consolidado!$C:$C,IF(ISBLANK($C$3),"&lt;&gt;",$C$3),Consolidado!$AU:$AU,"S")</f>
        <v>155</v>
      </c>
      <c r="U15" s="79">
        <f t="shared" ref="U15:U40" si="0">IFERROR(T15/$T$40,0)</f>
        <v>0.60077519379844957</v>
      </c>
      <c r="W15" s="184" t="s">
        <v>840</v>
      </c>
      <c r="X15" s="184"/>
      <c r="Y15" s="185">
        <f>IFERROR(T15/T40,0)</f>
        <v>0.60077519379844957</v>
      </c>
    </row>
    <row r="16" spans="1:31">
      <c r="B16" s="191" t="s">
        <v>68</v>
      </c>
      <c r="C16" s="35">
        <f>COUNTIFS(Consolidado!$AN:$AN,Análise!C$15,Consolidado!$AM:$AM,Análise!$C$7,Consolidado!$AL:$AL,IF(ISBLANK($C$2),"&lt;&gt;",$C$2),Consolidado!$Q:$Q,Análise!$B16,Consolidado!$C:$C,IF(ISBLANK($C$3),"&lt;&gt;",$C$3),Consolidado!$AU:$AU,"S")</f>
        <v>0</v>
      </c>
      <c r="D16" s="35">
        <f>COUNTIFS(Consolidado!$AN:$AN,Análise!D$15,Consolidado!$AM:$AM,Análise!$C$7,Consolidado!$AL:$AL,IF(ISBLANK($C$2),"&lt;&gt;",$C$2),Consolidado!$Q:$Q,Análise!$B16,Consolidado!$C:$C,IF(ISBLANK($C$3),"&lt;&gt;",$C$3),Consolidado!$AU:$AU,"S")</f>
        <v>153</v>
      </c>
      <c r="E16" s="35">
        <f>COUNTIFS(Consolidado!$AN:$AN,Análise!E$15,Consolidado!$AM:$AM,Análise!$C$7,Consolidado!$AL:$AL,IF(ISBLANK($C$2),"&lt;&gt;",$C$2),Consolidado!$Q:$Q,Análise!$B16,Consolidado!$C:$C,IF(ISBLANK($C$3),"&lt;&gt;",$C$3),Consolidado!$AU:$AU,"S")</f>
        <v>2</v>
      </c>
      <c r="F16" s="35">
        <f>COUNTIFS(Consolidado!$AN:$AN,Análise!F$15,Consolidado!$AM:$AM,Análise!$C$7,Consolidado!$AL:$AL,IF(ISBLANK($C$2),"&lt;&gt;",$C$2),Consolidado!$Q:$Q,Análise!$B16,Consolidado!$C:$C,IF(ISBLANK($C$3),"&lt;&gt;",$C$3),Consolidado!$AU:$AU,"S")</f>
        <v>0</v>
      </c>
      <c r="G16" s="35">
        <f>COUNTIFS(Consolidado!$AN:$AN,Análise!G$15,Consolidado!$AM:$AM,Análise!$C$7,Consolidado!$AL:$AL,IF(ISBLANK($C$2),"&lt;&gt;",$C$2),Consolidado!$Q:$Q,Análise!$B16,Consolidado!$C:$C,IF(ISBLANK($C$3),"&lt;&gt;",$C$3),Consolidado!$AU:$AU,"S")</f>
        <v>0</v>
      </c>
      <c r="H16" s="43">
        <f>SUM(C16:G16)</f>
        <v>155</v>
      </c>
      <c r="I16" s="48">
        <f t="shared" ref="I16:I41" si="1">+IFERROR(H16/$H$41,0)</f>
        <v>0.59845559845559848</v>
      </c>
      <c r="K16" s="35" t="s">
        <v>831</v>
      </c>
      <c r="L16" s="35">
        <f t="shared" ref="L16:Q16" si="2">+C41</f>
        <v>0</v>
      </c>
      <c r="M16" s="35">
        <f t="shared" si="2"/>
        <v>255</v>
      </c>
      <c r="N16" s="35">
        <f t="shared" si="2"/>
        <v>3</v>
      </c>
      <c r="O16" s="35">
        <f t="shared" si="2"/>
        <v>0</v>
      </c>
      <c r="P16" s="35">
        <f t="shared" si="2"/>
        <v>1</v>
      </c>
      <c r="Q16" s="43">
        <f t="shared" si="2"/>
        <v>259</v>
      </c>
      <c r="S16" s="203" t="s">
        <v>841</v>
      </c>
      <c r="T16" s="37">
        <f>COUNTIFS(Consolidado!$AL:$AL,IF(ISBLANK($C$2),"&lt;&gt;",$C$2),Consolidado!$Q:$Q,Análise!S16,Consolidado!$B:$B,"&lt;="&amp;Análise!$C$10,Consolidado!$B:$B,"&gt;="&amp;Análise!$C$9,Consolidado!$C:$C,IF(ISBLANK($C$3),"&lt;&gt;",$C$3),Consolidado!$AU:$AU,"S")</f>
        <v>0</v>
      </c>
      <c r="U16" s="180">
        <f t="shared" si="0"/>
        <v>0</v>
      </c>
      <c r="W16" s="205" t="s">
        <v>842</v>
      </c>
      <c r="X16" s="205"/>
      <c r="Y16" s="207">
        <f>IFERROR(SUMIFS(Consolidado!AQ:AQ,Consolidado!$AL:$AL,IF(ISBLANK($C$2),"&lt;&gt;",$C$2),Consolidado!$B:$B,"&lt;="&amp;Análise!$C$10,Consolidado!$B:$B,"&gt;="&amp;Análise!$C$9,Consolidado!$C:$C,IF(ISBLANK($C$3),"&lt;&gt;",$C$3))/T15,0)</f>
        <v>9.6322580645161295</v>
      </c>
    </row>
    <row r="17" spans="2:25">
      <c r="B17" s="192" t="s">
        <v>841</v>
      </c>
      <c r="C17" s="37">
        <f>COUNTIFS(Consolidado!$AN:$AN,Análise!C$15,Consolidado!$AM:$AM,Análise!$C$7,Consolidado!$AL:$AL,IF(ISBLANK($C$2),"&lt;&gt;",$C$2),Consolidado!$Q:$Q,Análise!$B17,Consolidado!$C:$C,IF(ISBLANK($C$3),"&lt;&gt;",$C$3),Consolidado!$AU:$AU,"S")</f>
        <v>0</v>
      </c>
      <c r="D17" s="37">
        <f>COUNTIFS(Consolidado!$AN:$AN,Análise!D$15,Consolidado!$AM:$AM,Análise!$C$7,Consolidado!$AL:$AL,IF(ISBLANK($C$2),"&lt;&gt;",$C$2),Consolidado!$Q:$Q,Análise!$B17,Consolidado!$C:$C,IF(ISBLANK($C$3),"&lt;&gt;",$C$3),Consolidado!$AU:$AU,"S")</f>
        <v>0</v>
      </c>
      <c r="E17" s="37">
        <f>COUNTIFS(Consolidado!$AN:$AN,Análise!E$15,Consolidado!$AM:$AM,Análise!$C$7,Consolidado!$AL:$AL,IF(ISBLANK($C$2),"&lt;&gt;",$C$2),Consolidado!$Q:$Q,Análise!$B17,Consolidado!$C:$C,IF(ISBLANK($C$3),"&lt;&gt;",$C$3),Consolidado!$AU:$AU,"S")</f>
        <v>0</v>
      </c>
      <c r="F17" s="37">
        <f>COUNTIFS(Consolidado!$AN:$AN,Análise!F$15,Consolidado!$AM:$AM,Análise!$C$7,Consolidado!$AL:$AL,IF(ISBLANK($C$2),"&lt;&gt;",$C$2),Consolidado!$Q:$Q,Análise!$B17,Consolidado!$C:$C,IF(ISBLANK($C$3),"&lt;&gt;",$C$3),Consolidado!$AU:$AU,"S")</f>
        <v>0</v>
      </c>
      <c r="G17" s="37">
        <f>COUNTIFS(Consolidado!$AN:$AN,Análise!G$15,Consolidado!$AM:$AM,Análise!$C$7,Consolidado!$AL:$AL,IF(ISBLANK($C$2),"&lt;&gt;",$C$2),Consolidado!$Q:$Q,Análise!$B17,Consolidado!$C:$C,IF(ISBLANK($C$3),"&lt;&gt;",$C$3),Consolidado!$AU:$AU,"S")</f>
        <v>0</v>
      </c>
      <c r="H17" s="38">
        <f t="shared" ref="H17:H40" si="3">SUM(C17:G17)</f>
        <v>0</v>
      </c>
      <c r="I17" s="42">
        <f t="shared" si="1"/>
        <v>0</v>
      </c>
      <c r="K17" s="192" t="s">
        <v>68</v>
      </c>
      <c r="L17" s="37">
        <f t="shared" ref="L17:Q17" si="4">+C16</f>
        <v>0</v>
      </c>
      <c r="M17" s="37">
        <f t="shared" si="4"/>
        <v>153</v>
      </c>
      <c r="N17" s="37">
        <f t="shared" si="4"/>
        <v>2</v>
      </c>
      <c r="O17" s="37">
        <f t="shared" si="4"/>
        <v>0</v>
      </c>
      <c r="P17" s="37">
        <f t="shared" si="4"/>
        <v>0</v>
      </c>
      <c r="Q17" s="38">
        <f t="shared" si="4"/>
        <v>155</v>
      </c>
      <c r="S17" s="190" t="s">
        <v>843</v>
      </c>
      <c r="T17" s="78">
        <f>COUNTIFS(Consolidado!$AL:$AL,IF(ISBLANK($C$2),"&lt;&gt;",$C$2),Consolidado!$Q:$Q,Análise!S17,Consolidado!$B:$B,"&lt;="&amp;Análise!$C$10,Consolidado!$B:$B,"&gt;="&amp;Análise!$C$9,Consolidado!$C:$C,IF(ISBLANK($C$3),"&lt;&gt;",$C$3),Consolidado!$AU:$AU,"S")</f>
        <v>0</v>
      </c>
      <c r="U17" s="79">
        <f t="shared" si="0"/>
        <v>0</v>
      </c>
      <c r="W17" s="184" t="s">
        <v>844</v>
      </c>
      <c r="X17" s="184"/>
      <c r="Y17" s="186">
        <f>IFERROR(SUMIFS(Consolidado!AS:AS,Consolidado!$AL:$AL,IF(ISBLANK($C$2),"&lt;&gt;",$C$2),Consolidado!$B:$B,"&lt;="&amp;Análise!$C$10,Consolidado!$B:$B,"&gt;="&amp;Análise!$C$9,Consolidado!$C:$C,IF(ISBLANK($C$3),"&lt;&gt;",$C$3))/COUNTIFS(Consolidado!$AL:$AL,IF(ISBLANK($C$2),"&lt;&gt;",$C$2),Consolidado!$Q:$Q,S$15,Consolidado!$B:$B,"&lt;="&amp;Análise!$C$10,Consolidado!$B:$B,"&gt;="&amp;Análise!$C$9,Consolidado!$C:$C,IF(ISBLANK($C$3),"&lt;&gt;",$C$3),Consolidado!$AS:$AS,"&lt;&gt;"&amp;0),0)</f>
        <v>2.9144736842105261</v>
      </c>
    </row>
    <row r="18" spans="2:25">
      <c r="B18" s="191" t="s">
        <v>843</v>
      </c>
      <c r="C18" s="35">
        <f>COUNTIFS(Consolidado!$AN:$AN,Análise!C$15,Consolidado!$AM:$AM,Análise!$C$7,Consolidado!$AL:$AL,IF(ISBLANK($C$2),"&lt;&gt;",$C$2),Consolidado!$Q:$Q,Análise!$B18,Consolidado!$C:$C,IF(ISBLANK($C$3),"&lt;&gt;",$C$3),Consolidado!$AU:$AU,"S")</f>
        <v>0</v>
      </c>
      <c r="D18" s="35">
        <f>COUNTIFS(Consolidado!$AN:$AN,Análise!D$15,Consolidado!$AM:$AM,Análise!$C$7,Consolidado!$AL:$AL,IF(ISBLANK($C$2),"&lt;&gt;",$C$2),Consolidado!$Q:$Q,Análise!$B18,Consolidado!$C:$C,IF(ISBLANK($C$3),"&lt;&gt;",$C$3),Consolidado!$AU:$AU,"S")</f>
        <v>0</v>
      </c>
      <c r="E18" s="35">
        <f>COUNTIFS(Consolidado!$AN:$AN,Análise!E$15,Consolidado!$AM:$AM,Análise!$C$7,Consolidado!$AL:$AL,IF(ISBLANK($C$2),"&lt;&gt;",$C$2),Consolidado!$Q:$Q,Análise!$B18,Consolidado!$C:$C,IF(ISBLANK($C$3),"&lt;&gt;",$C$3),Consolidado!$AU:$AU,"S")</f>
        <v>0</v>
      </c>
      <c r="F18" s="35">
        <f>COUNTIFS(Consolidado!$AN:$AN,Análise!F$15,Consolidado!$AM:$AM,Análise!$C$7,Consolidado!$AL:$AL,IF(ISBLANK($C$2),"&lt;&gt;",$C$2),Consolidado!$Q:$Q,Análise!$B18,Consolidado!$C:$C,IF(ISBLANK($C$3),"&lt;&gt;",$C$3),Consolidado!$AU:$AU,"S")</f>
        <v>0</v>
      </c>
      <c r="G18" s="35">
        <f>COUNTIFS(Consolidado!$AN:$AN,Análise!G$15,Consolidado!$AM:$AM,Análise!$C$7,Consolidado!$AL:$AL,IF(ISBLANK($C$2),"&lt;&gt;",$C$2),Consolidado!$Q:$Q,Análise!$B18,Consolidado!$C:$C,IF(ISBLANK($C$3),"&lt;&gt;",$C$3),Consolidado!$AU:$AU,"S")</f>
        <v>0</v>
      </c>
      <c r="H18" s="43">
        <f t="shared" si="3"/>
        <v>0</v>
      </c>
      <c r="I18" s="48">
        <f t="shared" si="1"/>
        <v>0</v>
      </c>
      <c r="K18" s="191" t="s">
        <v>840</v>
      </c>
      <c r="L18" s="40" t="str">
        <f t="shared" ref="L18:Q18" si="5">IFERROR(L17/L16,"")</f>
        <v/>
      </c>
      <c r="M18" s="40">
        <f t="shared" si="5"/>
        <v>0.6</v>
      </c>
      <c r="N18" s="40">
        <f t="shared" si="5"/>
        <v>0.66666666666666663</v>
      </c>
      <c r="O18" s="40" t="str">
        <f t="shared" si="5"/>
        <v/>
      </c>
      <c r="P18" s="40">
        <f t="shared" si="5"/>
        <v>0</v>
      </c>
      <c r="Q18" s="48">
        <f t="shared" si="5"/>
        <v>0.59845559845559848</v>
      </c>
      <c r="S18" s="203" t="s">
        <v>845</v>
      </c>
      <c r="T18" s="37">
        <f>COUNTIFS(Consolidado!$AL:$AL,IF(ISBLANK($C$2),"&lt;&gt;",$C$2),Consolidado!$Q:$Q,Análise!S18,Consolidado!$B:$B,"&lt;="&amp;Análise!$C$10,Consolidado!$B:$B,"&gt;="&amp;Análise!$C$9,Consolidado!$C:$C,IF(ISBLANK($C$3),"&lt;&gt;",$C$3),Consolidado!$AU:$AU,"S")</f>
        <v>0</v>
      </c>
      <c r="U18" s="180">
        <f t="shared" si="0"/>
        <v>0</v>
      </c>
      <c r="W18" s="205" t="s">
        <v>846</v>
      </c>
      <c r="X18" s="205"/>
      <c r="Y18" s="207">
        <f>IFERROR(SUMIFS(Consolidado!AT:AT,Consolidado!$AL:$AL,IF(ISBLANK($C$2),"&lt;&gt;",$C$2),Consolidado!$B:$B,"&lt;="&amp;Análise!$C$10,Consolidado!$B:$B,"&gt;="&amp;Análise!$C$9,Consolidado!$C:$C,IF(ISBLANK($C$3),"&lt;&gt;",$C$3))/COUNTIFS(Consolidado!$AL:$AL,IF(ISBLANK($C$2),"&lt;&gt;",$C$2),Consolidado!$Q:$Q,S$15,Consolidado!$B:$B,"&lt;="&amp;Análise!$C$10,Consolidado!$B:$B,"&gt;="&amp;Análise!$C$9,Consolidado!$C:$C,IF(ISBLANK($C$3),"&lt;&gt;",$C$3),Consolidado!$AT:$AT,"&lt;&gt;"&amp;0),0)</f>
        <v>9.2771650326797985</v>
      </c>
    </row>
    <row r="19" spans="2:25">
      <c r="B19" s="192" t="s">
        <v>845</v>
      </c>
      <c r="C19" s="37">
        <f>COUNTIFS(Consolidado!$AN:$AN,Análise!C$15,Consolidado!$AM:$AM,Análise!$C$7,Consolidado!$AL:$AL,IF(ISBLANK($C$2),"&lt;&gt;",$C$2),Consolidado!$Q:$Q,Análise!$B19,Consolidado!$C:$C,IF(ISBLANK($C$3),"&lt;&gt;",$C$3),Consolidado!$AU:$AU,"S")</f>
        <v>0</v>
      </c>
      <c r="D19" s="37">
        <f>COUNTIFS(Consolidado!$AN:$AN,Análise!D$15,Consolidado!$AM:$AM,Análise!$C$7,Consolidado!$AL:$AL,IF(ISBLANK($C$2),"&lt;&gt;",$C$2),Consolidado!$Q:$Q,Análise!$B19,Consolidado!$C:$C,IF(ISBLANK($C$3),"&lt;&gt;",$C$3),Consolidado!$AU:$AU,"S")</f>
        <v>0</v>
      </c>
      <c r="E19" s="37">
        <f>COUNTIFS(Consolidado!$AN:$AN,Análise!E$15,Consolidado!$AM:$AM,Análise!$C$7,Consolidado!$AL:$AL,IF(ISBLANK($C$2),"&lt;&gt;",$C$2),Consolidado!$Q:$Q,Análise!$B19,Consolidado!$C:$C,IF(ISBLANK($C$3),"&lt;&gt;",$C$3),Consolidado!$AU:$AU,"S")</f>
        <v>0</v>
      </c>
      <c r="F19" s="37">
        <f>COUNTIFS(Consolidado!$AN:$AN,Análise!F$15,Consolidado!$AM:$AM,Análise!$C$7,Consolidado!$AL:$AL,IF(ISBLANK($C$2),"&lt;&gt;",$C$2),Consolidado!$Q:$Q,Análise!$B19,Consolidado!$C:$C,IF(ISBLANK($C$3),"&lt;&gt;",$C$3),Consolidado!$AU:$AU,"S")</f>
        <v>0</v>
      </c>
      <c r="G19" s="37">
        <f>COUNTIFS(Consolidado!$AN:$AN,Análise!G$15,Consolidado!$AM:$AM,Análise!$C$7,Consolidado!$AL:$AL,IF(ISBLANK($C$2),"&lt;&gt;",$C$2),Consolidado!$Q:$Q,Análise!$B19,Consolidado!$C:$C,IF(ISBLANK($C$3),"&lt;&gt;",$C$3),Consolidado!$AU:$AU,"S")</f>
        <v>0</v>
      </c>
      <c r="H19" s="38">
        <f t="shared" si="3"/>
        <v>0</v>
      </c>
      <c r="I19" s="42">
        <f t="shared" si="1"/>
        <v>0</v>
      </c>
      <c r="K19" s="192" t="s">
        <v>842</v>
      </c>
      <c r="L19" s="175">
        <f>IFERROR(SUMIFS(Consolidado!$AQ:$AQ,Consolidado!$AN:$AN,Análise!L15,Consolidado!$AM:$AM,Análise!$C$7,Consolidado!$AL:$AL,IF(ISBLANK($C$2),"&lt;&gt;",$C$2),Consolidado!$C:$C,IF(ISBLANK($C$3),"&lt;&gt;",$C$3))/L$17,0)</f>
        <v>0</v>
      </c>
      <c r="M19" s="175">
        <f>IFERROR(SUMIFS(Consolidado!$AQ:$AQ,Consolidado!$AN:$AN,Análise!M15,Consolidado!$AM:$AM,Análise!$C$7,Consolidado!$AL:$AL,IF(ISBLANK($C$2),"&lt;&gt;",$C$2),Consolidado!$C:$C,IF(ISBLANK($C$3),"&lt;&gt;",$C$3))/M$17,0)</f>
        <v>9.6274509803921564</v>
      </c>
      <c r="N19" s="175">
        <f>IFERROR(SUMIFS(Consolidado!$AQ:$AQ,Consolidado!$AN:$AN,Análise!N15,Consolidado!$AM:$AM,Análise!$C$7,Consolidado!$AL:$AL,IF(ISBLANK($C$2),"&lt;&gt;",$C$2),Consolidado!$C:$C,IF(ISBLANK($C$3),"&lt;&gt;",$C$3))/N$17,0)</f>
        <v>10</v>
      </c>
      <c r="O19" s="175">
        <f>IFERROR(SUMIFS(Consolidado!$AQ:$AQ,Consolidado!$AN:$AN,Análise!O15,Consolidado!$AM:$AM,Análise!$C$7,Consolidado!$AL:$AL,IF(ISBLANK($C$2),"&lt;&gt;",$C$2),Consolidado!$C:$C,IF(ISBLANK($C$3),"&lt;&gt;",$C$3))/O$17,0)</f>
        <v>0</v>
      </c>
      <c r="P19" s="175">
        <f>IFERROR(SUMIFS(Consolidado!$AQ:$AQ,Consolidado!$AN:$AN,Análise!P15,Consolidado!$AM:$AM,Análise!$C$7,Consolidado!$AL:$AL,IF(ISBLANK($C$2),"&lt;&gt;",$C$2),Consolidado!$C:$C,IF(ISBLANK($C$3),"&lt;&gt;",$C$3))/P$17,0)</f>
        <v>0</v>
      </c>
      <c r="Q19" s="178">
        <f>IFERROR(SUMIFS(Consolidado!AQ:AQ,Consolidado!$AM:$AM,Análise!$C$7,Consolidado!$AL:$AL,IF(ISBLANK($C$2),"&lt;&gt;",$C$2),Consolidado!$C:$C,IF(ISBLANK($C$3),"&lt;&gt;",$C$3))/$Q17,0)</f>
        <v>9.6322580645161295</v>
      </c>
      <c r="S19" s="190" t="s">
        <v>200</v>
      </c>
      <c r="T19" s="78">
        <f>COUNTIFS(Consolidado!$AL:$AL,IF(ISBLANK($C$2),"&lt;&gt;",$C$2),Consolidado!$Q:$Q,Análise!S19,Consolidado!$B:$B,"&lt;="&amp;Análise!$C$10,Consolidado!$B:$B,"&gt;="&amp;Análise!$C$9,Consolidado!$C:$C,IF(ISBLANK($C$3),"&lt;&gt;",$C$3),Consolidado!$AU:$AU,"S")</f>
        <v>3</v>
      </c>
      <c r="U19" s="79">
        <f t="shared" si="0"/>
        <v>1.1627906976744186E-2</v>
      </c>
      <c r="W19" s="184" t="s">
        <v>847</v>
      </c>
      <c r="X19" s="184"/>
      <c r="Y19" s="186">
        <f>IFERROR(SUMIFS(Consolidado!$AR:$AR,Consolidado!$B:$B,"&lt;="&amp;Análise!$C$10,Consolidado!$B:$B,"&gt;="&amp;Análise!$C$9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B:$B,"&lt;="&amp;Análise!$C$10,Consolidado!$B:$B,"&gt;="&amp;Análise!$C$9),0)</f>
        <v>10.199999999999999</v>
      </c>
    </row>
    <row r="20" spans="2:25">
      <c r="B20" s="191" t="s">
        <v>200</v>
      </c>
      <c r="C20" s="35">
        <f>COUNTIFS(Consolidado!$AN:$AN,Análise!C$15,Consolidado!$AM:$AM,Análise!$C$7,Consolidado!$AL:$AL,IF(ISBLANK($C$2),"&lt;&gt;",$C$2),Consolidado!$Q:$Q,Análise!$B20,Consolidado!$C:$C,IF(ISBLANK($C$3),"&lt;&gt;",$C$3),Consolidado!$AU:$AU,"S")</f>
        <v>0</v>
      </c>
      <c r="D20" s="35">
        <f>COUNTIFS(Consolidado!$AN:$AN,Análise!D$15,Consolidado!$AM:$AM,Análise!$C$7,Consolidado!$AL:$AL,IF(ISBLANK($C$2),"&lt;&gt;",$C$2),Consolidado!$Q:$Q,Análise!$B20,Consolidado!$C:$C,IF(ISBLANK($C$3),"&lt;&gt;",$C$3),Consolidado!$AU:$AU,"S")</f>
        <v>3</v>
      </c>
      <c r="E20" s="35">
        <f>COUNTIFS(Consolidado!$AN:$AN,Análise!E$15,Consolidado!$AM:$AM,Análise!$C$7,Consolidado!$AL:$AL,IF(ISBLANK($C$2),"&lt;&gt;",$C$2),Consolidado!$Q:$Q,Análise!$B20,Consolidado!$C:$C,IF(ISBLANK($C$3),"&lt;&gt;",$C$3),Consolidado!$AU:$AU,"S")</f>
        <v>0</v>
      </c>
      <c r="F20" s="35">
        <f>COUNTIFS(Consolidado!$AN:$AN,Análise!F$15,Consolidado!$AM:$AM,Análise!$C$7,Consolidado!$AL:$AL,IF(ISBLANK($C$2),"&lt;&gt;",$C$2),Consolidado!$Q:$Q,Análise!$B20,Consolidado!$C:$C,IF(ISBLANK($C$3),"&lt;&gt;",$C$3),Consolidado!$AU:$AU,"S")</f>
        <v>0</v>
      </c>
      <c r="G20" s="35">
        <f>COUNTIFS(Consolidado!$AN:$AN,Análise!G$15,Consolidado!$AM:$AM,Análise!$C$7,Consolidado!$AL:$AL,IF(ISBLANK($C$2),"&lt;&gt;",$C$2),Consolidado!$Q:$Q,Análise!$B20,Consolidado!$C:$C,IF(ISBLANK($C$3),"&lt;&gt;",$C$3),Consolidado!$AU:$AU,"S")</f>
        <v>0</v>
      </c>
      <c r="H20" s="43">
        <f t="shared" si="3"/>
        <v>3</v>
      </c>
      <c r="I20" s="48">
        <f t="shared" si="1"/>
        <v>1.1583011583011582E-2</v>
      </c>
      <c r="K20" s="191" t="s">
        <v>844</v>
      </c>
      <c r="L20" s="176">
        <f>IFERROR(SUMIFS(Consolidado!$AS:$AS,Consolidado!$AN:$AN,Análise!L15,Consolidado!$AM:$AM,Análise!$C$7,Consolidado!$AL:$AL,IF(ISBLANK($C$2),"&lt;&gt;",$C$2),Consolidado!$C:$C,IF(ISBLANK($C$3),"&lt;&gt;",$C$3))/COUNTIFS(Consolidado!$AN:$AN,Análise!L15,Consolidado!$AM:$AM,Análise!$C$7,Consolidado!$AL:$AL,IF(ISBLANK($C$2),"&lt;&gt;",$C$2),Consolidado!$Q:$Q,$K17,Consolidado!$C:$C,IF(ISBLANK($C$3),"&lt;&gt;",$C$3),Consolidado!$AS:$AS,"&lt;&gt;"&amp;0),0)</f>
        <v>0</v>
      </c>
      <c r="M20" s="176">
        <f>IFERROR(SUMIFS(Consolidado!$AS:$AS,Consolidado!$AN:$AN,Análise!M15,Consolidado!$AM:$AM,Análise!$C$7,Consolidado!$AL:$AL,IF(ISBLANK($C$2),"&lt;&gt;",$C$2),Consolidado!$C:$C,IF(ISBLANK($C$3),"&lt;&gt;",$C$3))/COUNTIFS(Consolidado!$AN:$AN,Análise!M15,Consolidado!$AM:$AM,Análise!$C$7,Consolidado!$AL:$AL,IF(ISBLANK($C$2),"&lt;&gt;",$C$2),Consolidado!$Q:$Q,$K17,Consolidado!$C:$C,IF(ISBLANK($C$3),"&lt;&gt;",$C$3),Consolidado!$AS:$AS,"&lt;&gt;"&amp;0),0)</f>
        <v>2.8986486486486487</v>
      </c>
      <c r="N20" s="176">
        <f>IFERROR(SUMIFS(Consolidado!$AS:$AS,Consolidado!$AN:$AN,Análise!N15,Consolidado!$AM:$AM,Análise!$C$7,Consolidado!$AL:$AL,IF(ISBLANK($C$2),"&lt;&gt;",$C$2),Consolidado!$C:$C,IF(ISBLANK($C$3),"&lt;&gt;",$C$3))/COUNTIFS(Consolidado!$AN:$AN,Análise!N15,Consolidado!$AM:$AM,Análise!$C$7,Consolidado!$AL:$AL,IF(ISBLANK($C$2),"&lt;&gt;",$C$2),Consolidado!$Q:$Q,$K17,Consolidado!$C:$C,IF(ISBLANK($C$3),"&lt;&gt;",$C$3),Consolidado!$AS:$AS,"&lt;&gt;"&amp;0),0)</f>
        <v>3.5</v>
      </c>
      <c r="O20" s="176">
        <f>IFERROR(SUMIFS(Consolidado!$AS:$AS,Consolidado!$AN:$AN,Análise!O15,Consolidado!$AM:$AM,Análise!$C$7,Consolidado!$AL:$AL,IF(ISBLANK($C$2),"&lt;&gt;",$C$2),Consolidado!$C:$C,IF(ISBLANK($C$3),"&lt;&gt;",$C$3))/COUNTIFS(Consolidado!$AN:$AN,Análise!O15,Consolidado!$AM:$AM,Análise!$C$7,Consolidado!$AL:$AL,IF(ISBLANK($C$2),"&lt;&gt;",$C$2),Consolidado!$Q:$Q,$K17,Consolidado!$C:$C,IF(ISBLANK($C$3),"&lt;&gt;",$C$3),Consolidado!$AS:$AS,"&lt;&gt;"&amp;0),0)</f>
        <v>0</v>
      </c>
      <c r="P20" s="176">
        <f>IFERROR(SUMIFS(Consolidado!$AS:$AS,Consolidado!$AN:$AN,Análise!P15,Consolidado!$AM:$AM,Análise!$C$7,Consolidado!$AL:$AL,IF(ISBLANK($C$2),"&lt;&gt;",$C$2),Consolidado!$C:$C,IF(ISBLANK($C$3),"&lt;&gt;",$C$3))/COUNTIFS(Consolidado!$AN:$AN,Análise!P15,Consolidado!$AM:$AM,Análise!$C$7,Consolidado!$AL:$AL,IF(ISBLANK($C$2),"&lt;&gt;",$C$2),Consolidado!$Q:$Q,$K17,Consolidado!$C:$C,IF(ISBLANK($C$3),"&lt;&gt;",$C$3),Consolidado!$AS:$AS,"&lt;&gt;"&amp;0),0)</f>
        <v>0</v>
      </c>
      <c r="Q20" s="179">
        <f>IFERROR(SUMIFS(Consolidado!AS:AS,Consolidado!$AM:$AM,Análise!$C$7,Consolidado!$AL:$AL,IF(ISBLANK($C$2),"&lt;&gt;",$C$2),Consolidado!$C:$C,IF(ISBLANK($C$3),"&lt;&gt;",$C$3))/COUNTIFS(Consolidado!$AM:$AM,Análise!$C$7,Consolidado!$AL:$AL,IF(ISBLANK($C$2),"&lt;&gt;",$C$2),Consolidado!$Q:$Q,K$17,Consolidado!$C:$C,IF(ISBLANK($C$3),"&lt;&gt;",$C$3),Consolidado!$AS:$AS,"&lt;&gt;"&amp;0),0)</f>
        <v>2.9144736842105261</v>
      </c>
      <c r="S20" s="203" t="s">
        <v>848</v>
      </c>
      <c r="T20" s="37">
        <f>COUNTIFS(Consolidado!$AL:$AL,IF(ISBLANK($C$2),"&lt;&gt;",$C$2),Consolidado!$Q:$Q,Análise!S20,Consolidado!$B:$B,"&lt;="&amp;Análise!$C$10,Consolidado!$B:$B,"&gt;="&amp;Análise!$C$9,Consolidado!$C:$C,IF(ISBLANK($C$3),"&lt;&gt;",$C$3),Consolidado!$AU:$AU,"S")</f>
        <v>0</v>
      </c>
      <c r="U20" s="180">
        <f t="shared" si="0"/>
        <v>0</v>
      </c>
      <c r="W20" s="205" t="s">
        <v>849</v>
      </c>
      <c r="X20" s="205"/>
      <c r="Y20" s="206">
        <f>IFERROR((T15+T37)/T40,"")</f>
        <v>0.60465116279069764</v>
      </c>
    </row>
    <row r="21" spans="2:25">
      <c r="B21" s="192" t="s">
        <v>848</v>
      </c>
      <c r="C21" s="37">
        <f>COUNTIFS(Consolidado!$AN:$AN,Análise!C$15,Consolidado!$AM:$AM,Análise!$C$7,Consolidado!$AL:$AL,IF(ISBLANK($C$2),"&lt;&gt;",$C$2),Consolidado!$Q:$Q,Análise!$B21,Consolidado!$C:$C,IF(ISBLANK($C$3),"&lt;&gt;",$C$3),Consolidado!$AU:$AU,"S")</f>
        <v>0</v>
      </c>
      <c r="D21" s="37">
        <f>COUNTIFS(Consolidado!$AN:$AN,Análise!D$15,Consolidado!$AM:$AM,Análise!$C$7,Consolidado!$AL:$AL,IF(ISBLANK($C$2),"&lt;&gt;",$C$2),Consolidado!$Q:$Q,Análise!$B21,Consolidado!$C:$C,IF(ISBLANK($C$3),"&lt;&gt;",$C$3),Consolidado!$AU:$AU,"S")</f>
        <v>0</v>
      </c>
      <c r="E21" s="37">
        <f>COUNTIFS(Consolidado!$AN:$AN,Análise!E$15,Consolidado!$AM:$AM,Análise!$C$7,Consolidado!$AL:$AL,IF(ISBLANK($C$2),"&lt;&gt;",$C$2),Consolidado!$Q:$Q,Análise!$B21,Consolidado!$C:$C,IF(ISBLANK($C$3),"&lt;&gt;",$C$3),Consolidado!$AU:$AU,"S")</f>
        <v>0</v>
      </c>
      <c r="F21" s="37">
        <f>COUNTIFS(Consolidado!$AN:$AN,Análise!F$15,Consolidado!$AM:$AM,Análise!$C$7,Consolidado!$AL:$AL,IF(ISBLANK($C$2),"&lt;&gt;",$C$2),Consolidado!$Q:$Q,Análise!$B21,Consolidado!$C:$C,IF(ISBLANK($C$3),"&lt;&gt;",$C$3),Consolidado!$AU:$AU,"S")</f>
        <v>0</v>
      </c>
      <c r="G21" s="37">
        <f>COUNTIFS(Consolidado!$AN:$AN,Análise!G$15,Consolidado!$AM:$AM,Análise!$C$7,Consolidado!$AL:$AL,IF(ISBLANK($C$2),"&lt;&gt;",$C$2),Consolidado!$Q:$Q,Análise!$B21,Consolidado!$C:$C,IF(ISBLANK($C$3),"&lt;&gt;",$C$3),Consolidado!$AU:$AU,"S")</f>
        <v>0</v>
      </c>
      <c r="H21" s="38">
        <f t="shared" si="3"/>
        <v>0</v>
      </c>
      <c r="I21" s="42">
        <f t="shared" si="1"/>
        <v>0</v>
      </c>
      <c r="K21" s="192" t="s">
        <v>846</v>
      </c>
      <c r="L21" s="175">
        <f>IFERROR(SUMIFS(Consolidado!$AT:$AT,Consolidado!$AN:$AN,Análise!L15,Consolidado!$AM:$AM,Análise!$C$7,Consolidado!$AL:$AL,IF(ISBLANK($C$2),"&lt;&gt;",$C$2),Consolidado!$C:$C,IF(ISBLANK($C$3),"&lt;&gt;",$C$3))/COUNTIFS(Consolidado!$AN:$AN,Análise!L15,Consolidado!$AM:$AM,Análise!$C$7,Consolidado!$AL:$AL,IF(ISBLANK($C$2),"&lt;&gt;",$C$2),Consolidado!$Q:$Q,$K17,Consolidado!$C:$C,IF(ISBLANK($C$3),"&lt;&gt;",$C$3),Consolidado!$AT:$AT,"&lt;&gt;"&amp;0),0)</f>
        <v>0</v>
      </c>
      <c r="M21" s="175">
        <f>IFERROR(SUMIFS(Consolidado!$AT:$AT,Consolidado!$AN:$AN,Análise!M15,Consolidado!$AM:$AM,Análise!$C$7,Consolidado!$AL:$AL,IF(ISBLANK($C$2),"&lt;&gt;",$C$2),Consolidado!$C:$C,IF(ISBLANK($C$3),"&lt;&gt;",$C$3))/COUNTIFS(Consolidado!$AN:$AN,Análise!M15,Consolidado!$AM:$AM,Análise!$C$7,Consolidado!$AL:$AL,IF(ISBLANK($C$2),"&lt;&gt;",$C$2),Consolidado!$Q:$Q,$K17,Consolidado!$C:$C,IF(ISBLANK($C$3),"&lt;&gt;",$C$3),Consolidado!$AT:$AT,"&lt;&gt;"&amp;0),0)</f>
        <v>9.3171641791045854</v>
      </c>
      <c r="N21" s="175">
        <f>IFERROR(SUMIFS(Consolidado!$AT:$AT,Consolidado!$AN:$AN,Análise!N15,Consolidado!$AM:$AM,Análise!$C$7,Consolidado!$AL:$AL,IF(ISBLANK($C$2),"&lt;&gt;",$C$2),Consolidado!$C:$C,IF(ISBLANK($C$3),"&lt;&gt;",$C$3))/COUNTIFS(Consolidado!$AN:$AN,Análise!N15,Consolidado!$AM:$AM,Análise!$C$7,Consolidado!$AL:$AL,IF(ISBLANK($C$2),"&lt;&gt;",$C$2),Consolidado!$Q:$Q,$K17,Consolidado!$C:$C,IF(ISBLANK($C$3),"&lt;&gt;",$C$3),Consolidado!$AT:$AT,"&lt;&gt;"&amp;0),0)</f>
        <v>6.5972222222189885</v>
      </c>
      <c r="O21" s="175">
        <f>IFERROR(SUMIFS(Consolidado!$AT:$AT,Consolidado!$AN:$AN,Análise!O15,Consolidado!$AM:$AM,Análise!$C$7,Consolidado!$AL:$AL,IF(ISBLANK($C$2),"&lt;&gt;",$C$2),Consolidado!$C:$C,IF(ISBLANK($C$3),"&lt;&gt;",$C$3))/COUNTIFS(Consolidado!$AN:$AN,Análise!O15,Consolidado!$AM:$AM,Análise!$C$7,Consolidado!$AL:$AL,IF(ISBLANK($C$2),"&lt;&gt;",$C$2),Consolidado!$Q:$Q,$K17,Consolidado!$C:$C,IF(ISBLANK($C$3),"&lt;&gt;",$C$3),Consolidado!$AT:$AT,"&lt;&gt;"&amp;0),0)</f>
        <v>0</v>
      </c>
      <c r="P21" s="175">
        <f>IFERROR(SUMIFS(Consolidado!$AT:$AT,Consolidado!$AN:$AN,Análise!P15,Consolidado!$AM:$AM,Análise!$C$7,Consolidado!$AL:$AL,IF(ISBLANK($C$2),"&lt;&gt;",$C$2),Consolidado!$C:$C,IF(ISBLANK($C$3),"&lt;&gt;",$C$3))/COUNTIFS(Consolidado!$AN:$AN,Análise!P15,Consolidado!$AM:$AM,Análise!$C$7,Consolidado!$AL:$AL,IF(ISBLANK($C$2),"&lt;&gt;",$C$2),Consolidado!$Q:$Q,$K17,Consolidado!$C:$C,IF(ISBLANK($C$3),"&lt;&gt;",$C$3),Consolidado!$AT:$AT,"&lt;&gt;"&amp;0),0)</f>
        <v>0</v>
      </c>
      <c r="Q21" s="178">
        <f>IFERROR(SUMIFS(Consolidado!AT:AT,Consolidado!$AM:$AM,Análise!$C$7,Consolidado!$AL:$AL,IF(ISBLANK($C$2),"&lt;&gt;",$C$2),Consolidado!$C:$C,IF(ISBLANK($C$3),"&lt;&gt;",$C$3))/COUNTIFS(Consolidado!$AM:$AM,Análise!$C$7,Consolidado!$AL:$AL,IF(ISBLANK($C$2),"&lt;&gt;",$C$2),Consolidado!$Q:$Q,K$17,Consolidado!$C:$C,IF(ISBLANK($C$3),"&lt;&gt;",$C$3),Consolidado!$AT:$AT,"&lt;&gt;"&amp;0),0)</f>
        <v>9.2771650326797985</v>
      </c>
      <c r="S21" s="190" t="s">
        <v>850</v>
      </c>
      <c r="T21" s="78">
        <f>COUNTIFS(Consolidado!$AL:$AL,IF(ISBLANK($C$2),"&lt;&gt;",$C$2),Consolidado!$Q:$Q,Análise!S21,Consolidado!$B:$B,"&lt;="&amp;Análise!$C$10,Consolidado!$B:$B,"&gt;="&amp;Análise!$C$9,Consolidado!$C:$C,IF(ISBLANK($C$3),"&lt;&gt;",$C$3),Consolidado!$AU:$AU,"S")</f>
        <v>0</v>
      </c>
      <c r="U21" s="79">
        <f t="shared" si="0"/>
        <v>0</v>
      </c>
    </row>
    <row r="22" spans="2:25">
      <c r="B22" s="191" t="s">
        <v>850</v>
      </c>
      <c r="C22" s="35">
        <f>COUNTIFS(Consolidado!$AN:$AN,Análise!C$15,Consolidado!$AM:$AM,Análise!$C$7,Consolidado!$AL:$AL,IF(ISBLANK($C$2),"&lt;&gt;",$C$2),Consolidado!$Q:$Q,Análise!$B22,Consolidado!$C:$C,IF(ISBLANK($C$3),"&lt;&gt;",$C$3),Consolidado!$AU:$AU,"S")</f>
        <v>0</v>
      </c>
      <c r="D22" s="35">
        <f>COUNTIFS(Consolidado!$AN:$AN,Análise!D$15,Consolidado!$AM:$AM,Análise!$C$7,Consolidado!$AL:$AL,IF(ISBLANK($C$2),"&lt;&gt;",$C$2),Consolidado!$Q:$Q,Análise!$B22,Consolidado!$C:$C,IF(ISBLANK($C$3),"&lt;&gt;",$C$3),Consolidado!$AU:$AU,"S")</f>
        <v>0</v>
      </c>
      <c r="E22" s="35">
        <f>COUNTIFS(Consolidado!$AN:$AN,Análise!E$15,Consolidado!$AM:$AM,Análise!$C$7,Consolidado!$AL:$AL,IF(ISBLANK($C$2),"&lt;&gt;",$C$2),Consolidado!$Q:$Q,Análise!$B22,Consolidado!$C:$C,IF(ISBLANK($C$3),"&lt;&gt;",$C$3),Consolidado!$AU:$AU,"S")</f>
        <v>0</v>
      </c>
      <c r="F22" s="35">
        <f>COUNTIFS(Consolidado!$AN:$AN,Análise!F$15,Consolidado!$AM:$AM,Análise!$C$7,Consolidado!$AL:$AL,IF(ISBLANK($C$2),"&lt;&gt;",$C$2),Consolidado!$Q:$Q,Análise!$B22,Consolidado!$C:$C,IF(ISBLANK($C$3),"&lt;&gt;",$C$3),Consolidado!$AU:$AU,"S")</f>
        <v>0</v>
      </c>
      <c r="G22" s="35">
        <f>COUNTIFS(Consolidado!$AN:$AN,Análise!G$15,Consolidado!$AM:$AM,Análise!$C$7,Consolidado!$AL:$AL,IF(ISBLANK($C$2),"&lt;&gt;",$C$2),Consolidado!$Q:$Q,Análise!$B22,Consolidado!$C:$C,IF(ISBLANK($C$3),"&lt;&gt;",$C$3),Consolidado!$AU:$AU,"S")</f>
        <v>0</v>
      </c>
      <c r="H22" s="43">
        <f t="shared" si="3"/>
        <v>0</v>
      </c>
      <c r="I22" s="48">
        <f t="shared" si="1"/>
        <v>0</v>
      </c>
      <c r="S22" s="203" t="s">
        <v>851</v>
      </c>
      <c r="T22" s="37">
        <f>COUNTIFS(Consolidado!$AL:$AL,IF(ISBLANK($C$2),"&lt;&gt;",$C$2),Consolidado!$Q:$Q,Análise!S22,Consolidado!$B:$B,"&lt;="&amp;Análise!$C$10,Consolidado!$B:$B,"&gt;="&amp;Análise!$C$9,Consolidado!$C:$C,IF(ISBLANK($C$3),"&lt;&gt;",$C$3),Consolidado!$AU:$AU,"S")</f>
        <v>0</v>
      </c>
      <c r="U22" s="180">
        <f t="shared" si="0"/>
        <v>0</v>
      </c>
      <c r="W22" s="76" t="s">
        <v>852</v>
      </c>
      <c r="X22" s="76" t="s">
        <v>838</v>
      </c>
      <c r="Y22" s="76" t="s">
        <v>839</v>
      </c>
    </row>
    <row r="23" spans="2:25">
      <c r="B23" s="192" t="s">
        <v>851</v>
      </c>
      <c r="C23" s="37">
        <f>COUNTIFS(Consolidado!$AN:$AN,Análise!C$15,Consolidado!$AM:$AM,Análise!$C$7,Consolidado!$AL:$AL,IF(ISBLANK($C$2),"&lt;&gt;",$C$2),Consolidado!$Q:$Q,Análise!$B23,Consolidado!$C:$C,IF(ISBLANK($C$3),"&lt;&gt;",$C$3),Consolidado!$AU:$AU,"S")</f>
        <v>0</v>
      </c>
      <c r="D23" s="37">
        <f>COUNTIFS(Consolidado!$AN:$AN,Análise!D$15,Consolidado!$AM:$AM,Análise!$C$7,Consolidado!$AL:$AL,IF(ISBLANK($C$2),"&lt;&gt;",$C$2),Consolidado!$Q:$Q,Análise!$B23,Consolidado!$C:$C,IF(ISBLANK($C$3),"&lt;&gt;",$C$3),Consolidado!$AU:$AU,"S")</f>
        <v>0</v>
      </c>
      <c r="E23" s="37">
        <f>COUNTIFS(Consolidado!$AN:$AN,Análise!E$15,Consolidado!$AM:$AM,Análise!$C$7,Consolidado!$AL:$AL,IF(ISBLANK($C$2),"&lt;&gt;",$C$2),Consolidado!$Q:$Q,Análise!$B23,Consolidado!$C:$C,IF(ISBLANK($C$3),"&lt;&gt;",$C$3),Consolidado!$AU:$AU,"S")</f>
        <v>0</v>
      </c>
      <c r="F23" s="37">
        <f>COUNTIFS(Consolidado!$AN:$AN,Análise!F$15,Consolidado!$AM:$AM,Análise!$C$7,Consolidado!$AL:$AL,IF(ISBLANK($C$2),"&lt;&gt;",$C$2),Consolidado!$Q:$Q,Análise!$B23,Consolidado!$C:$C,IF(ISBLANK($C$3),"&lt;&gt;",$C$3),Consolidado!$AU:$AU,"S")</f>
        <v>0</v>
      </c>
      <c r="G23" s="37">
        <f>COUNTIFS(Consolidado!$AN:$AN,Análise!G$15,Consolidado!$AM:$AM,Análise!$C$7,Consolidado!$AL:$AL,IF(ISBLANK($C$2),"&lt;&gt;",$C$2),Consolidado!$Q:$Q,Análise!$B23,Consolidado!$C:$C,IF(ISBLANK($C$3),"&lt;&gt;",$C$3),Consolidado!$AU:$AU,"S")</f>
        <v>0</v>
      </c>
      <c r="H23" s="38">
        <f t="shared" si="3"/>
        <v>0</v>
      </c>
      <c r="I23" s="42">
        <f t="shared" si="1"/>
        <v>0</v>
      </c>
      <c r="S23" s="190" t="s">
        <v>274</v>
      </c>
      <c r="T23" s="78">
        <f>COUNTIFS(Consolidado!$AL:$AL,IF(ISBLANK($C$2),"&lt;&gt;",$C$2),Consolidado!$Q:$Q,Análise!S23,Consolidado!$B:$B,"&lt;="&amp;Análise!$C$10,Consolidado!$B:$B,"&gt;="&amp;Análise!$C$9,Consolidado!$C:$C,IF(ISBLANK($C$3),"&lt;&gt;",$C$3),Consolidado!$AU:$AU,"S")</f>
        <v>1</v>
      </c>
      <c r="U23" s="79">
        <f t="shared" si="0"/>
        <v>3.875968992248062E-3</v>
      </c>
      <c r="W23" s="182" t="s">
        <v>64</v>
      </c>
      <c r="X23" s="78">
        <f>COUNTIFS(Consolidado!$AL:$AL,IF(ISBLANK($C$2),"&lt;&gt;",$C$2),Consolidado!$Q:$Q,Análise!S15,Consolidado!$B:$B,"&lt;="&amp;Análise!$C$10,Consolidado!$B:$B,"&gt;="&amp;Análise!$C$9,Consolidado!$C:$C,IF(ISBLANK($C$3),"&lt;&gt;",$C$3),Consolidado!$J:$J,$W23,Consolidado!$AU:$AU,"S")</f>
        <v>74</v>
      </c>
      <c r="Y23" s="79">
        <f>IFERROR(X23/SUM($X$23:$X$24),"")</f>
        <v>0.47741935483870968</v>
      </c>
    </row>
    <row r="24" spans="2:25">
      <c r="B24" s="191" t="s">
        <v>274</v>
      </c>
      <c r="C24" s="35">
        <f>COUNTIFS(Consolidado!$AN:$AN,Análise!C$15,Consolidado!$AM:$AM,Análise!$C$7,Consolidado!$AL:$AL,IF(ISBLANK($C$2),"&lt;&gt;",$C$2),Consolidado!$Q:$Q,Análise!$B24,Consolidado!$C:$C,IF(ISBLANK($C$3),"&lt;&gt;",$C$3),Consolidado!$AU:$AU,"S")</f>
        <v>0</v>
      </c>
      <c r="D24" s="35">
        <f>COUNTIFS(Consolidado!$AN:$AN,Análise!D$15,Consolidado!$AM:$AM,Análise!$C$7,Consolidado!$AL:$AL,IF(ISBLANK($C$2),"&lt;&gt;",$C$2),Consolidado!$Q:$Q,Análise!$B24,Consolidado!$C:$C,IF(ISBLANK($C$3),"&lt;&gt;",$C$3),Consolidado!$AU:$AU,"S")</f>
        <v>1</v>
      </c>
      <c r="E24" s="35">
        <f>COUNTIFS(Consolidado!$AN:$AN,Análise!E$15,Consolidado!$AM:$AM,Análise!$C$7,Consolidado!$AL:$AL,IF(ISBLANK($C$2),"&lt;&gt;",$C$2),Consolidado!$Q:$Q,Análise!$B24,Consolidado!$C:$C,IF(ISBLANK($C$3),"&lt;&gt;",$C$3),Consolidado!$AU:$AU,"S")</f>
        <v>0</v>
      </c>
      <c r="F24" s="35">
        <f>COUNTIFS(Consolidado!$AN:$AN,Análise!F$15,Consolidado!$AM:$AM,Análise!$C$7,Consolidado!$AL:$AL,IF(ISBLANK($C$2),"&lt;&gt;",$C$2),Consolidado!$Q:$Q,Análise!$B24,Consolidado!$C:$C,IF(ISBLANK($C$3),"&lt;&gt;",$C$3),Consolidado!$AU:$AU,"S")</f>
        <v>0</v>
      </c>
      <c r="G24" s="35">
        <f>COUNTIFS(Consolidado!$AN:$AN,Análise!G$15,Consolidado!$AM:$AM,Análise!$C$7,Consolidado!$AL:$AL,IF(ISBLANK($C$2),"&lt;&gt;",$C$2),Consolidado!$Q:$Q,Análise!$B24,Consolidado!$C:$C,IF(ISBLANK($C$3),"&lt;&gt;",$C$3),Consolidado!$AU:$AU,"S")</f>
        <v>0</v>
      </c>
      <c r="H24" s="43">
        <f t="shared" si="3"/>
        <v>1</v>
      </c>
      <c r="I24" s="48">
        <f t="shared" si="1"/>
        <v>3.8610038610038611E-3</v>
      </c>
      <c r="K24" s="234" t="s">
        <v>837</v>
      </c>
      <c r="L24" s="173" t="s">
        <v>39</v>
      </c>
      <c r="M24" s="173"/>
      <c r="N24" s="173"/>
      <c r="O24" s="173"/>
      <c r="P24" s="173"/>
      <c r="Q24" s="173"/>
      <c r="S24" s="203" t="s">
        <v>853</v>
      </c>
      <c r="T24" s="37">
        <f>COUNTIFS(Consolidado!$AL:$AL,IF(ISBLANK($C$2),"&lt;&gt;",$C$2),Consolidado!$Q:$Q,Análise!S24,Consolidado!$B:$B,"&lt;="&amp;Análise!$C$10,Consolidado!$B:$B,"&gt;="&amp;Análise!$C$9,Consolidado!$C:$C,IF(ISBLANK($C$3),"&lt;&gt;",$C$3),Consolidado!$AU:$AU,"S")</f>
        <v>0</v>
      </c>
      <c r="U24" s="180">
        <f t="shared" si="0"/>
        <v>0</v>
      </c>
      <c r="W24" s="204" t="s">
        <v>51</v>
      </c>
      <c r="X24" s="37">
        <f>COUNTIFS(Consolidado!$AL:$AL,IF(ISBLANK($C$2),"&lt;&gt;",$C$2),Consolidado!$Q:$Q,S15,Consolidado!$B:$B,"&lt;="&amp;Análise!$C$10,Consolidado!$B:$B,"&gt;="&amp;Análise!$C$9,Consolidado!$C:$C,IF(ISBLANK($C$3),"&lt;&gt;",$C$3),Consolidado!$J:$J,$W24,Consolidado!$AU:$AU,"S")</f>
        <v>81</v>
      </c>
      <c r="Y24" s="180">
        <f>IFERROR(X24/SUM($X$23:$X$24),"")</f>
        <v>0.52258064516129032</v>
      </c>
    </row>
    <row r="25" spans="2:25">
      <c r="B25" s="192" t="s">
        <v>853</v>
      </c>
      <c r="C25" s="37">
        <f>COUNTIFS(Consolidado!$AN:$AN,Análise!C$15,Consolidado!$AM:$AM,Análise!$C$7,Consolidado!$AL:$AL,IF(ISBLANK($C$2),"&lt;&gt;",$C$2),Consolidado!$Q:$Q,Análise!$B25,Consolidado!$C:$C,IF(ISBLANK($C$3),"&lt;&gt;",$C$3),Consolidado!$AU:$AU,"S")</f>
        <v>0</v>
      </c>
      <c r="D25" s="37">
        <f>COUNTIFS(Consolidado!$AN:$AN,Análise!D$15,Consolidado!$AM:$AM,Análise!$C$7,Consolidado!$AL:$AL,IF(ISBLANK($C$2),"&lt;&gt;",$C$2),Consolidado!$Q:$Q,Análise!$B25,Consolidado!$C:$C,IF(ISBLANK($C$3),"&lt;&gt;",$C$3),Consolidado!$AU:$AU,"S")</f>
        <v>0</v>
      </c>
      <c r="E25" s="37">
        <f>COUNTIFS(Consolidado!$AN:$AN,Análise!E$15,Consolidado!$AM:$AM,Análise!$C$7,Consolidado!$AL:$AL,IF(ISBLANK($C$2),"&lt;&gt;",$C$2),Consolidado!$Q:$Q,Análise!$B25,Consolidado!$C:$C,IF(ISBLANK($C$3),"&lt;&gt;",$C$3),Consolidado!$AU:$AU,"S")</f>
        <v>0</v>
      </c>
      <c r="F25" s="37">
        <f>COUNTIFS(Consolidado!$AN:$AN,Análise!F$15,Consolidado!$AM:$AM,Análise!$C$7,Consolidado!$AL:$AL,IF(ISBLANK($C$2),"&lt;&gt;",$C$2),Consolidado!$Q:$Q,Análise!$B25,Consolidado!$C:$C,IF(ISBLANK($C$3),"&lt;&gt;",$C$3),Consolidado!$AU:$AU,"S")</f>
        <v>0</v>
      </c>
      <c r="G25" s="37">
        <f>COUNTIFS(Consolidado!$AN:$AN,Análise!G$15,Consolidado!$AM:$AM,Análise!$C$7,Consolidado!$AL:$AL,IF(ISBLANK($C$2),"&lt;&gt;",$C$2),Consolidado!$Q:$Q,Análise!$B25,Consolidado!$C:$C,IF(ISBLANK($C$3),"&lt;&gt;",$C$3),Consolidado!$AU:$AU,"S")</f>
        <v>0</v>
      </c>
      <c r="H25" s="38">
        <f t="shared" si="3"/>
        <v>0</v>
      </c>
      <c r="I25" s="42">
        <f t="shared" si="1"/>
        <v>0</v>
      </c>
      <c r="K25" s="234"/>
      <c r="L25" s="174">
        <v>1</v>
      </c>
      <c r="M25" s="174">
        <v>2</v>
      </c>
      <c r="N25" s="174">
        <v>3</v>
      </c>
      <c r="O25" s="174">
        <v>4</v>
      </c>
      <c r="P25" s="174">
        <v>5</v>
      </c>
      <c r="Q25" s="173" t="s">
        <v>836</v>
      </c>
      <c r="S25" s="190" t="s">
        <v>854</v>
      </c>
      <c r="T25" s="78">
        <f>COUNTIFS(Consolidado!$AL:$AL,IF(ISBLANK($C$2),"&lt;&gt;",$C$2),Consolidado!$Q:$Q,Análise!S25,Consolidado!$B:$B,"&lt;="&amp;Análise!$C$10,Consolidado!$B:$B,"&gt;="&amp;Análise!$C$9,Consolidado!$C:$C,IF(ISBLANK($C$3),"&lt;&gt;",$C$3),Consolidado!$AU:$AU,"S")</f>
        <v>0</v>
      </c>
      <c r="U25" s="79">
        <f t="shared" si="0"/>
        <v>0</v>
      </c>
    </row>
    <row r="26" spans="2:25">
      <c r="B26" s="191" t="s">
        <v>854</v>
      </c>
      <c r="C26" s="35">
        <f>COUNTIFS(Consolidado!$AN:$AN,Análise!C$15,Consolidado!$AM:$AM,Análise!$C$7,Consolidado!$AL:$AL,IF(ISBLANK($C$2),"&lt;&gt;",$C$2),Consolidado!$Q:$Q,Análise!$B26,Consolidado!$C:$C,IF(ISBLANK($C$3),"&lt;&gt;",$C$3),Consolidado!$AU:$AU,"S")</f>
        <v>0</v>
      </c>
      <c r="D26" s="35">
        <f>COUNTIFS(Consolidado!$AN:$AN,Análise!D$15,Consolidado!$AM:$AM,Análise!$C$7,Consolidado!$AL:$AL,IF(ISBLANK($C$2),"&lt;&gt;",$C$2),Consolidado!$Q:$Q,Análise!$B26,Consolidado!$C:$C,IF(ISBLANK($C$3),"&lt;&gt;",$C$3),Consolidado!$AU:$AU,"S")</f>
        <v>0</v>
      </c>
      <c r="E26" s="35">
        <f>COUNTIFS(Consolidado!$AN:$AN,Análise!E$15,Consolidado!$AM:$AM,Análise!$C$7,Consolidado!$AL:$AL,IF(ISBLANK($C$2),"&lt;&gt;",$C$2),Consolidado!$Q:$Q,Análise!$B26,Consolidado!$C:$C,IF(ISBLANK($C$3),"&lt;&gt;",$C$3),Consolidado!$AU:$AU,"S")</f>
        <v>0</v>
      </c>
      <c r="F26" s="35">
        <f>COUNTIFS(Consolidado!$AN:$AN,Análise!F$15,Consolidado!$AM:$AM,Análise!$C$7,Consolidado!$AL:$AL,IF(ISBLANK($C$2),"&lt;&gt;",$C$2),Consolidado!$Q:$Q,Análise!$B26,Consolidado!$C:$C,IF(ISBLANK($C$3),"&lt;&gt;",$C$3),Consolidado!$AU:$AU,"S")</f>
        <v>0</v>
      </c>
      <c r="G26" s="35">
        <f>COUNTIFS(Consolidado!$AN:$AN,Análise!G$15,Consolidado!$AM:$AM,Análise!$C$7,Consolidado!$AL:$AL,IF(ISBLANK($C$2),"&lt;&gt;",$C$2),Consolidado!$Q:$Q,Análise!$B26,Consolidado!$C:$C,IF(ISBLANK($C$3),"&lt;&gt;",$C$3),Consolidado!$AU:$AU,"S")</f>
        <v>0</v>
      </c>
      <c r="H26" s="43">
        <f t="shared" si="3"/>
        <v>0</v>
      </c>
      <c r="I26" s="48">
        <f t="shared" si="1"/>
        <v>0</v>
      </c>
      <c r="K26" s="35" t="s">
        <v>847</v>
      </c>
      <c r="L26" s="74">
        <f>IFERROR(SUMIFS(Consolidado!AR:AR,Consolidado!$AN:$AN,L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L25),0)</f>
        <v>0</v>
      </c>
      <c r="M26" s="74">
        <f>IFERROR(SUMIFS(Consolidado!AR:AR,Consolidado!$AN:$AN,M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M25),0)</f>
        <v>10.199999999999999</v>
      </c>
      <c r="N26" s="74">
        <f>IFERROR(SUMIFS(Consolidado!AR:AR,Consolidado!$AN:$AN,N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N25),0)</f>
        <v>0</v>
      </c>
      <c r="O26" s="74">
        <f>IFERROR(SUMIFS(Consolidado!AR:AR,Consolidado!$AN:$AN,O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O25),0)</f>
        <v>0</v>
      </c>
      <c r="P26" s="74">
        <f>IFERROR(SUMIFS(Consolidado!AR:AR,Consolidado!$AN:$AN,P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P25),0)</f>
        <v>0</v>
      </c>
      <c r="Q26" s="177">
        <f>IFERROR(SUMIFS(Consolidado!AR:AR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),0)</f>
        <v>10.199999999999999</v>
      </c>
      <c r="S26" s="203" t="s">
        <v>855</v>
      </c>
      <c r="T26" s="37">
        <f>COUNTIFS(Consolidado!$AL:$AL,IF(ISBLANK($C$2),"&lt;&gt;",$C$2),Consolidado!$Q:$Q,Análise!S26,Consolidado!$B:$B,"&lt;="&amp;Análise!$C$10,Consolidado!$B:$B,"&gt;="&amp;Análise!$C$9,Consolidado!$C:$C,IF(ISBLANK($C$3),"&lt;&gt;",$C$3),Consolidado!$AU:$AU,"S")</f>
        <v>0</v>
      </c>
      <c r="U26" s="180">
        <f t="shared" si="0"/>
        <v>0</v>
      </c>
    </row>
    <row r="27" spans="2:25">
      <c r="B27" s="192" t="s">
        <v>855</v>
      </c>
      <c r="C27" s="37">
        <f>COUNTIFS(Consolidado!$AN:$AN,Análise!C$15,Consolidado!$AM:$AM,Análise!$C$7,Consolidado!$AL:$AL,IF(ISBLANK($C$2),"&lt;&gt;",$C$2),Consolidado!$Q:$Q,Análise!$B27,Consolidado!$C:$C,IF(ISBLANK($C$3),"&lt;&gt;",$C$3),Consolidado!$AU:$AU,"S")</f>
        <v>0</v>
      </c>
      <c r="D27" s="37">
        <f>COUNTIFS(Consolidado!$AN:$AN,Análise!D$15,Consolidado!$AM:$AM,Análise!$C$7,Consolidado!$AL:$AL,IF(ISBLANK($C$2),"&lt;&gt;",$C$2),Consolidado!$Q:$Q,Análise!$B27,Consolidado!$C:$C,IF(ISBLANK($C$3),"&lt;&gt;",$C$3),Consolidado!$AU:$AU,"S")</f>
        <v>0</v>
      </c>
      <c r="E27" s="37">
        <f>COUNTIFS(Consolidado!$AN:$AN,Análise!E$15,Consolidado!$AM:$AM,Análise!$C$7,Consolidado!$AL:$AL,IF(ISBLANK($C$2),"&lt;&gt;",$C$2),Consolidado!$Q:$Q,Análise!$B27,Consolidado!$C:$C,IF(ISBLANK($C$3),"&lt;&gt;",$C$3),Consolidado!$AU:$AU,"S")</f>
        <v>0</v>
      </c>
      <c r="F27" s="37">
        <f>COUNTIFS(Consolidado!$AN:$AN,Análise!F$15,Consolidado!$AM:$AM,Análise!$C$7,Consolidado!$AL:$AL,IF(ISBLANK($C$2),"&lt;&gt;",$C$2),Consolidado!$Q:$Q,Análise!$B27,Consolidado!$C:$C,IF(ISBLANK($C$3),"&lt;&gt;",$C$3),Consolidado!$AU:$AU,"S")</f>
        <v>0</v>
      </c>
      <c r="G27" s="37">
        <f>COUNTIFS(Consolidado!$AN:$AN,Análise!G$15,Consolidado!$AM:$AM,Análise!$C$7,Consolidado!$AL:$AL,IF(ISBLANK($C$2),"&lt;&gt;",$C$2),Consolidado!$Q:$Q,Análise!$B27,Consolidado!$C:$C,IF(ISBLANK($C$3),"&lt;&gt;",$C$3),Consolidado!$AU:$AU,"S")</f>
        <v>0</v>
      </c>
      <c r="H27" s="38">
        <f t="shared" si="3"/>
        <v>0</v>
      </c>
      <c r="I27" s="42">
        <f t="shared" si="1"/>
        <v>0</v>
      </c>
      <c r="S27" s="190" t="s">
        <v>856</v>
      </c>
      <c r="T27" s="78">
        <f>COUNTIFS(Consolidado!$AL:$AL,IF(ISBLANK($C$2),"&lt;&gt;",$C$2),Consolidado!$Q:$Q,Análise!S27,Consolidado!$B:$B,"&lt;="&amp;Análise!$C$10,Consolidado!$B:$B,"&gt;="&amp;Análise!$C$9,Consolidado!$C:$C,IF(ISBLANK($C$3),"&lt;&gt;",$C$3),Consolidado!$AU:$AU,"S")</f>
        <v>0</v>
      </c>
      <c r="U27" s="79">
        <f t="shared" si="0"/>
        <v>0</v>
      </c>
    </row>
    <row r="28" spans="2:25">
      <c r="B28" s="191" t="s">
        <v>856</v>
      </c>
      <c r="C28" s="35">
        <f>COUNTIFS(Consolidado!$AN:$AN,Análise!C$15,Consolidado!$AM:$AM,Análise!$C$7,Consolidado!$AL:$AL,IF(ISBLANK($C$2),"&lt;&gt;",$C$2),Consolidado!$Q:$Q,Análise!$B28,Consolidado!$C:$C,IF(ISBLANK($C$3),"&lt;&gt;",$C$3),Consolidado!$AU:$AU,"S")</f>
        <v>0</v>
      </c>
      <c r="D28" s="35">
        <f>COUNTIFS(Consolidado!$AN:$AN,Análise!D$15,Consolidado!$AM:$AM,Análise!$C$7,Consolidado!$AL:$AL,IF(ISBLANK($C$2),"&lt;&gt;",$C$2),Consolidado!$Q:$Q,Análise!$B28,Consolidado!$C:$C,IF(ISBLANK($C$3),"&lt;&gt;",$C$3),Consolidado!$AU:$AU,"S")</f>
        <v>0</v>
      </c>
      <c r="E28" s="35">
        <f>COUNTIFS(Consolidado!$AN:$AN,Análise!E$15,Consolidado!$AM:$AM,Análise!$C$7,Consolidado!$AL:$AL,IF(ISBLANK($C$2),"&lt;&gt;",$C$2),Consolidado!$Q:$Q,Análise!$B28,Consolidado!$C:$C,IF(ISBLANK($C$3),"&lt;&gt;",$C$3),Consolidado!$AU:$AU,"S")</f>
        <v>0</v>
      </c>
      <c r="F28" s="35">
        <f>COUNTIFS(Consolidado!$AN:$AN,Análise!F$15,Consolidado!$AM:$AM,Análise!$C$7,Consolidado!$AL:$AL,IF(ISBLANK($C$2),"&lt;&gt;",$C$2),Consolidado!$Q:$Q,Análise!$B28,Consolidado!$C:$C,IF(ISBLANK($C$3),"&lt;&gt;",$C$3),Consolidado!$AU:$AU,"S")</f>
        <v>0</v>
      </c>
      <c r="G28" s="35">
        <f>COUNTIFS(Consolidado!$AN:$AN,Análise!G$15,Consolidado!$AM:$AM,Análise!$C$7,Consolidado!$AL:$AL,IF(ISBLANK($C$2),"&lt;&gt;",$C$2),Consolidado!$Q:$Q,Análise!$B28,Consolidado!$C:$C,IF(ISBLANK($C$3),"&lt;&gt;",$C$3),Consolidado!$AU:$AU,"S")</f>
        <v>0</v>
      </c>
      <c r="H28" s="43">
        <f t="shared" si="3"/>
        <v>0</v>
      </c>
      <c r="I28" s="48">
        <f t="shared" si="1"/>
        <v>0</v>
      </c>
      <c r="S28" s="203" t="s">
        <v>443</v>
      </c>
      <c r="T28" s="37">
        <f>COUNTIFS(Consolidado!$AL:$AL,IF(ISBLANK($C$2),"&lt;&gt;",$C$2),Consolidado!$Q:$Q,Análise!S28,Consolidado!$B:$B,"&lt;="&amp;Análise!$C$10,Consolidado!$B:$B,"&gt;="&amp;Análise!$C$9,Consolidado!$C:$C,IF(ISBLANK($C$3),"&lt;&gt;",$C$3),Consolidado!$AU:$AU,"S")</f>
        <v>3</v>
      </c>
      <c r="U28" s="180">
        <f t="shared" si="0"/>
        <v>1.1627906976744186E-2</v>
      </c>
    </row>
    <row r="29" spans="2:25">
      <c r="B29" s="192" t="s">
        <v>443</v>
      </c>
      <c r="C29" s="37">
        <f>COUNTIFS(Consolidado!$AN:$AN,Análise!C$15,Consolidado!$AM:$AM,Análise!$C$7,Consolidado!$AL:$AL,IF(ISBLANK($C$2),"&lt;&gt;",$C$2),Consolidado!$Q:$Q,Análise!$B29,Consolidado!$C:$C,IF(ISBLANK($C$3),"&lt;&gt;",$C$3),Consolidado!$AU:$AU,"S")</f>
        <v>0</v>
      </c>
      <c r="D29" s="37">
        <f>COUNTIFS(Consolidado!$AN:$AN,Análise!D$15,Consolidado!$AM:$AM,Análise!$C$7,Consolidado!$AL:$AL,IF(ISBLANK($C$2),"&lt;&gt;",$C$2),Consolidado!$Q:$Q,Análise!$B29,Consolidado!$C:$C,IF(ISBLANK($C$3),"&lt;&gt;",$C$3),Consolidado!$AU:$AU,"S")</f>
        <v>3</v>
      </c>
      <c r="E29" s="37">
        <f>COUNTIFS(Consolidado!$AN:$AN,Análise!E$15,Consolidado!$AM:$AM,Análise!$C$7,Consolidado!$AL:$AL,IF(ISBLANK($C$2),"&lt;&gt;",$C$2),Consolidado!$Q:$Q,Análise!$B29,Consolidado!$C:$C,IF(ISBLANK($C$3),"&lt;&gt;",$C$3),Consolidado!$AU:$AU,"S")</f>
        <v>0</v>
      </c>
      <c r="F29" s="37">
        <f>COUNTIFS(Consolidado!$AN:$AN,Análise!F$15,Consolidado!$AM:$AM,Análise!$C$7,Consolidado!$AL:$AL,IF(ISBLANK($C$2),"&lt;&gt;",$C$2),Consolidado!$Q:$Q,Análise!$B29,Consolidado!$C:$C,IF(ISBLANK($C$3),"&lt;&gt;",$C$3),Consolidado!$AU:$AU,"S")</f>
        <v>0</v>
      </c>
      <c r="G29" s="37">
        <f>COUNTIFS(Consolidado!$AN:$AN,Análise!G$15,Consolidado!$AM:$AM,Análise!$C$7,Consolidado!$AL:$AL,IF(ISBLANK($C$2),"&lt;&gt;",$C$2),Consolidado!$Q:$Q,Análise!$B29,Consolidado!$C:$C,IF(ISBLANK($C$3),"&lt;&gt;",$C$3),Consolidado!$AU:$AU,"S")</f>
        <v>0</v>
      </c>
      <c r="H29" s="38">
        <f t="shared" si="3"/>
        <v>3</v>
      </c>
      <c r="I29" s="42">
        <f t="shared" si="1"/>
        <v>1.1583011583011582E-2</v>
      </c>
      <c r="K29" s="234" t="s">
        <v>837</v>
      </c>
      <c r="L29" s="173" t="s">
        <v>39</v>
      </c>
      <c r="M29" s="173"/>
      <c r="N29" s="173"/>
      <c r="O29" s="173"/>
      <c r="P29" s="173"/>
      <c r="Q29" s="173"/>
      <c r="S29" s="190" t="s">
        <v>461</v>
      </c>
      <c r="T29" s="78">
        <f>COUNTIFS(Consolidado!$AL:$AL,IF(ISBLANK($C$2),"&lt;&gt;",$C$2),Consolidado!$Q:$Q,Análise!S29,Consolidado!$B:$B,"&lt;="&amp;Análise!$C$10,Consolidado!$B:$B,"&gt;="&amp;Análise!$C$9,Consolidado!$C:$C,IF(ISBLANK($C$3),"&lt;&gt;",$C$3),Consolidado!$AU:$AU,"S")</f>
        <v>1</v>
      </c>
      <c r="U29" s="79">
        <f t="shared" si="0"/>
        <v>3.875968992248062E-3</v>
      </c>
    </row>
    <row r="30" spans="2:25">
      <c r="B30" s="191" t="s">
        <v>461</v>
      </c>
      <c r="C30" s="35">
        <f>COUNTIFS(Consolidado!$AN:$AN,Análise!C$15,Consolidado!$AM:$AM,Análise!$C$7,Consolidado!$AL:$AL,IF(ISBLANK($C$2),"&lt;&gt;",$C$2),Consolidado!$Q:$Q,Análise!$B30,Consolidado!$C:$C,IF(ISBLANK($C$3),"&lt;&gt;",$C$3),Consolidado!$AU:$AU,"S")</f>
        <v>0</v>
      </c>
      <c r="D30" s="35">
        <f>COUNTIFS(Consolidado!$AN:$AN,Análise!D$15,Consolidado!$AM:$AM,Análise!$C$7,Consolidado!$AL:$AL,IF(ISBLANK($C$2),"&lt;&gt;",$C$2),Consolidado!$Q:$Q,Análise!$B30,Consolidado!$C:$C,IF(ISBLANK($C$3),"&lt;&gt;",$C$3),Consolidado!$AU:$AU,"S")</f>
        <v>1</v>
      </c>
      <c r="E30" s="35">
        <f>COUNTIFS(Consolidado!$AN:$AN,Análise!E$15,Consolidado!$AM:$AM,Análise!$C$7,Consolidado!$AL:$AL,IF(ISBLANK($C$2),"&lt;&gt;",$C$2),Consolidado!$Q:$Q,Análise!$B30,Consolidado!$C:$C,IF(ISBLANK($C$3),"&lt;&gt;",$C$3),Consolidado!$AU:$AU,"S")</f>
        <v>0</v>
      </c>
      <c r="F30" s="35">
        <f>COUNTIFS(Consolidado!$AN:$AN,Análise!F$15,Consolidado!$AM:$AM,Análise!$C$7,Consolidado!$AL:$AL,IF(ISBLANK($C$2),"&lt;&gt;",$C$2),Consolidado!$Q:$Q,Análise!$B30,Consolidado!$C:$C,IF(ISBLANK($C$3),"&lt;&gt;",$C$3),Consolidado!$AU:$AU,"S")</f>
        <v>0</v>
      </c>
      <c r="G30" s="35">
        <f>COUNTIFS(Consolidado!$AN:$AN,Análise!G$15,Consolidado!$AM:$AM,Análise!$C$7,Consolidado!$AL:$AL,IF(ISBLANK($C$2),"&lt;&gt;",$C$2),Consolidado!$Q:$Q,Análise!$B30,Consolidado!$C:$C,IF(ISBLANK($C$3),"&lt;&gt;",$C$3),Consolidado!$AU:$AU,"S")</f>
        <v>0</v>
      </c>
      <c r="H30" s="43">
        <f t="shared" si="3"/>
        <v>1</v>
      </c>
      <c r="I30" s="48">
        <f t="shared" si="1"/>
        <v>3.8610038610038611E-3</v>
      </c>
      <c r="K30" s="234"/>
      <c r="L30" s="174">
        <v>1</v>
      </c>
      <c r="M30" s="174">
        <v>2</v>
      </c>
      <c r="N30" s="174">
        <v>3</v>
      </c>
      <c r="O30" s="174">
        <v>4</v>
      </c>
      <c r="P30" s="174">
        <v>5</v>
      </c>
      <c r="Q30" s="173" t="s">
        <v>836</v>
      </c>
      <c r="S30" s="203" t="s">
        <v>857</v>
      </c>
      <c r="T30" s="37">
        <f>COUNTIFS(Consolidado!$AL:$AL,IF(ISBLANK($C$2),"&lt;&gt;",$C$2),Consolidado!$Q:$Q,Análise!S30,Consolidado!$B:$B,"&lt;="&amp;Análise!$C$10,Consolidado!$B:$B,"&gt;="&amp;Análise!$C$9,Consolidado!$C:$C,IF(ISBLANK($C$3),"&lt;&gt;",$C$3),Consolidado!$AU:$AU,"S")</f>
        <v>0</v>
      </c>
      <c r="U30" s="180">
        <f t="shared" si="0"/>
        <v>0</v>
      </c>
    </row>
    <row r="31" spans="2:25">
      <c r="B31" s="192" t="s">
        <v>857</v>
      </c>
      <c r="C31" s="37">
        <f>COUNTIFS(Consolidado!$AN:$AN,Análise!C$15,Consolidado!$AM:$AM,Análise!$C$7,Consolidado!$AL:$AL,IF(ISBLANK($C$2),"&lt;&gt;",$C$2),Consolidado!$Q:$Q,Análise!$B31,Consolidado!$C:$C,IF(ISBLANK($C$3),"&lt;&gt;",$C$3),Consolidado!$AU:$AU,"S")</f>
        <v>0</v>
      </c>
      <c r="D31" s="37">
        <f>COUNTIFS(Consolidado!$AN:$AN,Análise!D$15,Consolidado!$AM:$AM,Análise!$C$7,Consolidado!$AL:$AL,IF(ISBLANK($C$2),"&lt;&gt;",$C$2),Consolidado!$Q:$Q,Análise!$B31,Consolidado!$C:$C,IF(ISBLANK($C$3),"&lt;&gt;",$C$3),Consolidado!$AU:$AU,"S")</f>
        <v>0</v>
      </c>
      <c r="E31" s="37">
        <f>COUNTIFS(Consolidado!$AN:$AN,Análise!E$15,Consolidado!$AM:$AM,Análise!$C$7,Consolidado!$AL:$AL,IF(ISBLANK($C$2),"&lt;&gt;",$C$2),Consolidado!$Q:$Q,Análise!$B31,Consolidado!$C:$C,IF(ISBLANK($C$3),"&lt;&gt;",$C$3),Consolidado!$AU:$AU,"S")</f>
        <v>0</v>
      </c>
      <c r="F31" s="37">
        <f>COUNTIFS(Consolidado!$AN:$AN,Análise!F$15,Consolidado!$AM:$AM,Análise!$C$7,Consolidado!$AL:$AL,IF(ISBLANK($C$2),"&lt;&gt;",$C$2),Consolidado!$Q:$Q,Análise!$B31,Consolidado!$C:$C,IF(ISBLANK($C$3),"&lt;&gt;",$C$3),Consolidado!$AU:$AU,"S")</f>
        <v>0</v>
      </c>
      <c r="G31" s="37">
        <f>COUNTIFS(Consolidado!$AN:$AN,Análise!G$15,Consolidado!$AM:$AM,Análise!$C$7,Consolidado!$AL:$AL,IF(ISBLANK($C$2),"&lt;&gt;",$C$2),Consolidado!$Q:$Q,Análise!$B31,Consolidado!$C:$C,IF(ISBLANK($C$3),"&lt;&gt;",$C$3),Consolidado!$AU:$AU,"S")</f>
        <v>0</v>
      </c>
      <c r="H31" s="38">
        <f t="shared" si="3"/>
        <v>0</v>
      </c>
      <c r="I31" s="42">
        <f t="shared" si="1"/>
        <v>0</v>
      </c>
      <c r="K31" s="37" t="s">
        <v>849</v>
      </c>
      <c r="L31" s="180" t="str">
        <f t="shared" ref="L31:Q31" si="6">IFERROR((C16+C38)/C41,"")</f>
        <v/>
      </c>
      <c r="M31" s="180">
        <f t="shared" si="6"/>
        <v>0.6</v>
      </c>
      <c r="N31" s="180">
        <f t="shared" si="6"/>
        <v>1</v>
      </c>
      <c r="O31" s="180" t="str">
        <f t="shared" si="6"/>
        <v/>
      </c>
      <c r="P31" s="180">
        <f t="shared" si="6"/>
        <v>1</v>
      </c>
      <c r="Q31" s="181">
        <f t="shared" si="6"/>
        <v>0.60617760617760619</v>
      </c>
      <c r="S31" s="190" t="s">
        <v>858</v>
      </c>
      <c r="T31" s="78">
        <f>COUNTIFS(Consolidado!$AL:$AL,IF(ISBLANK($C$2),"&lt;&gt;",$C$2),Consolidado!$Q:$Q,Análise!S31,Consolidado!$B:$B,"&lt;="&amp;Análise!$C$10,Consolidado!$B:$B,"&gt;="&amp;Análise!$C$9,Consolidado!$C:$C,IF(ISBLANK($C$3),"&lt;&gt;",$C$3),Consolidado!$AU:$AU,"S")</f>
        <v>0</v>
      </c>
      <c r="U31" s="79">
        <f t="shared" si="0"/>
        <v>0</v>
      </c>
    </row>
    <row r="32" spans="2:25">
      <c r="B32" s="191" t="s">
        <v>858</v>
      </c>
      <c r="C32" s="35">
        <f>COUNTIFS(Consolidado!$AN:$AN,Análise!C$15,Consolidado!$AM:$AM,Análise!$C$7,Consolidado!$AL:$AL,IF(ISBLANK($C$2),"&lt;&gt;",$C$2),Consolidado!$Q:$Q,Análise!$B32,Consolidado!$C:$C,IF(ISBLANK($C$3),"&lt;&gt;",$C$3),Consolidado!$AU:$AU,"S")</f>
        <v>0</v>
      </c>
      <c r="D32" s="35">
        <f>COUNTIFS(Consolidado!$AN:$AN,Análise!D$15,Consolidado!$AM:$AM,Análise!$C$7,Consolidado!$AL:$AL,IF(ISBLANK($C$2),"&lt;&gt;",$C$2),Consolidado!$Q:$Q,Análise!$B32,Consolidado!$C:$C,IF(ISBLANK($C$3),"&lt;&gt;",$C$3),Consolidado!$AU:$AU,"S")</f>
        <v>0</v>
      </c>
      <c r="E32" s="35">
        <f>COUNTIFS(Consolidado!$AN:$AN,Análise!E$15,Consolidado!$AM:$AM,Análise!$C$7,Consolidado!$AL:$AL,IF(ISBLANK($C$2),"&lt;&gt;",$C$2),Consolidado!$Q:$Q,Análise!$B32,Consolidado!$C:$C,IF(ISBLANK($C$3),"&lt;&gt;",$C$3),Consolidado!$AU:$AU,"S")</f>
        <v>0</v>
      </c>
      <c r="F32" s="35">
        <f>COUNTIFS(Consolidado!$AN:$AN,Análise!F$15,Consolidado!$AM:$AM,Análise!$C$7,Consolidado!$AL:$AL,IF(ISBLANK($C$2),"&lt;&gt;",$C$2),Consolidado!$Q:$Q,Análise!$B32,Consolidado!$C:$C,IF(ISBLANK($C$3),"&lt;&gt;",$C$3),Consolidado!$AU:$AU,"S")</f>
        <v>0</v>
      </c>
      <c r="G32" s="35">
        <f>COUNTIFS(Consolidado!$AN:$AN,Análise!G$15,Consolidado!$AM:$AM,Análise!$C$7,Consolidado!$AL:$AL,IF(ISBLANK($C$2),"&lt;&gt;",$C$2),Consolidado!$Q:$Q,Análise!$B32,Consolidado!$C:$C,IF(ISBLANK($C$3),"&lt;&gt;",$C$3),Consolidado!$AU:$AU,"S")</f>
        <v>0</v>
      </c>
      <c r="H32" s="43">
        <f t="shared" si="3"/>
        <v>0</v>
      </c>
      <c r="I32" s="48">
        <f t="shared" si="1"/>
        <v>0</v>
      </c>
      <c r="S32" s="203" t="s">
        <v>859</v>
      </c>
      <c r="T32" s="37">
        <f>COUNTIFS(Consolidado!$AL:$AL,IF(ISBLANK($C$2),"&lt;&gt;",$C$2),Consolidado!$Q:$Q,Análise!S32,Consolidado!$B:$B,"&lt;="&amp;Análise!$C$10,Consolidado!$B:$B,"&gt;="&amp;Análise!$C$9,Consolidado!$C:$C,IF(ISBLANK($C$3),"&lt;&gt;",$C$3),Consolidado!$AU:$AU,"S")</f>
        <v>0</v>
      </c>
      <c r="U32" s="180">
        <f t="shared" si="0"/>
        <v>0</v>
      </c>
    </row>
    <row r="33" spans="1:31">
      <c r="B33" s="192" t="s">
        <v>859</v>
      </c>
      <c r="C33" s="37">
        <f>COUNTIFS(Consolidado!$AN:$AN,Análise!C$15,Consolidado!$AM:$AM,Análise!$C$7,Consolidado!$AL:$AL,IF(ISBLANK($C$2),"&lt;&gt;",$C$2),Consolidado!$Q:$Q,Análise!$B33,Consolidado!$C:$C,IF(ISBLANK($C$3),"&lt;&gt;",$C$3),Consolidado!$AU:$AU,"S")</f>
        <v>0</v>
      </c>
      <c r="D33" s="37">
        <f>COUNTIFS(Consolidado!$AN:$AN,Análise!D$15,Consolidado!$AM:$AM,Análise!$C$7,Consolidado!$AL:$AL,IF(ISBLANK($C$2),"&lt;&gt;",$C$2),Consolidado!$Q:$Q,Análise!$B33,Consolidado!$C:$C,IF(ISBLANK($C$3),"&lt;&gt;",$C$3),Consolidado!$AU:$AU,"S")</f>
        <v>0</v>
      </c>
      <c r="E33" s="37">
        <f>COUNTIFS(Consolidado!$AN:$AN,Análise!E$15,Consolidado!$AM:$AM,Análise!$C$7,Consolidado!$AL:$AL,IF(ISBLANK($C$2),"&lt;&gt;",$C$2),Consolidado!$Q:$Q,Análise!$B33,Consolidado!$C:$C,IF(ISBLANK($C$3),"&lt;&gt;",$C$3),Consolidado!$AU:$AU,"S")</f>
        <v>0</v>
      </c>
      <c r="F33" s="37">
        <f>COUNTIFS(Consolidado!$AN:$AN,Análise!F$15,Consolidado!$AM:$AM,Análise!$C$7,Consolidado!$AL:$AL,IF(ISBLANK($C$2),"&lt;&gt;",$C$2),Consolidado!$Q:$Q,Análise!$B33,Consolidado!$C:$C,IF(ISBLANK($C$3),"&lt;&gt;",$C$3),Consolidado!$AU:$AU,"S")</f>
        <v>0</v>
      </c>
      <c r="G33" s="37">
        <f>COUNTIFS(Consolidado!$AN:$AN,Análise!G$15,Consolidado!$AM:$AM,Análise!$C$7,Consolidado!$AL:$AL,IF(ISBLANK($C$2),"&lt;&gt;",$C$2),Consolidado!$Q:$Q,Análise!$B33,Consolidado!$C:$C,IF(ISBLANK($C$3),"&lt;&gt;",$C$3),Consolidado!$AU:$AU,"S")</f>
        <v>0</v>
      </c>
      <c r="H33" s="38">
        <f t="shared" si="3"/>
        <v>0</v>
      </c>
      <c r="I33" s="42">
        <f t="shared" si="1"/>
        <v>0</v>
      </c>
      <c r="S33" s="190" t="s">
        <v>860</v>
      </c>
      <c r="T33" s="78">
        <f>COUNTIFS(Consolidado!$AL:$AL,IF(ISBLANK($C$2),"&lt;&gt;",$C$2),Consolidado!$Q:$Q,Análise!S33,Consolidado!$B:$B,"&lt;="&amp;Análise!$C$10,Consolidado!$B:$B,"&gt;="&amp;Análise!$C$9,Consolidado!$C:$C,IF(ISBLANK($C$3),"&lt;&gt;",$C$3),Consolidado!$AU:$AU,"S")</f>
        <v>0</v>
      </c>
      <c r="U33" s="79">
        <f t="shared" si="0"/>
        <v>0</v>
      </c>
    </row>
    <row r="34" spans="1:31">
      <c r="B34" s="191" t="s">
        <v>860</v>
      </c>
      <c r="C34" s="35">
        <f>COUNTIFS(Consolidado!$AN:$AN,Análise!C$15,Consolidado!$AM:$AM,Análise!$C$7,Consolidado!$AL:$AL,IF(ISBLANK($C$2),"&lt;&gt;",$C$2),Consolidado!$Q:$Q,Análise!$B34,Consolidado!$C:$C,IF(ISBLANK($C$3),"&lt;&gt;",$C$3),Consolidado!$AU:$AU,"S")</f>
        <v>0</v>
      </c>
      <c r="D34" s="35">
        <f>COUNTIFS(Consolidado!$AN:$AN,Análise!D$15,Consolidado!$AM:$AM,Análise!$C$7,Consolidado!$AL:$AL,IF(ISBLANK($C$2),"&lt;&gt;",$C$2),Consolidado!$Q:$Q,Análise!$B34,Consolidado!$C:$C,IF(ISBLANK($C$3),"&lt;&gt;",$C$3),Consolidado!$AU:$AU,"S")</f>
        <v>0</v>
      </c>
      <c r="E34" s="35">
        <f>COUNTIFS(Consolidado!$AN:$AN,Análise!E$15,Consolidado!$AM:$AM,Análise!$C$7,Consolidado!$AL:$AL,IF(ISBLANK($C$2),"&lt;&gt;",$C$2),Consolidado!$Q:$Q,Análise!$B34,Consolidado!$C:$C,IF(ISBLANK($C$3),"&lt;&gt;",$C$3),Consolidado!$AU:$AU,"S")</f>
        <v>0</v>
      </c>
      <c r="F34" s="35">
        <f>COUNTIFS(Consolidado!$AN:$AN,Análise!F$15,Consolidado!$AM:$AM,Análise!$C$7,Consolidado!$AL:$AL,IF(ISBLANK($C$2),"&lt;&gt;",$C$2),Consolidado!$Q:$Q,Análise!$B34,Consolidado!$C:$C,IF(ISBLANK($C$3),"&lt;&gt;",$C$3),Consolidado!$AU:$AU,"S")</f>
        <v>0</v>
      </c>
      <c r="G34" s="35">
        <f>COUNTIFS(Consolidado!$AN:$AN,Análise!G$15,Consolidado!$AM:$AM,Análise!$C$7,Consolidado!$AL:$AL,IF(ISBLANK($C$2),"&lt;&gt;",$C$2),Consolidado!$Q:$Q,Análise!$B34,Consolidado!$C:$C,IF(ISBLANK($C$3),"&lt;&gt;",$C$3),Consolidado!$AU:$AU,"S")</f>
        <v>0</v>
      </c>
      <c r="H34" s="43">
        <f t="shared" si="3"/>
        <v>0</v>
      </c>
      <c r="I34" s="48">
        <f t="shared" si="1"/>
        <v>0</v>
      </c>
      <c r="K34" s="36" t="s">
        <v>852</v>
      </c>
      <c r="L34" s="36" t="s">
        <v>838</v>
      </c>
      <c r="M34" s="173" t="s">
        <v>839</v>
      </c>
      <c r="S34" s="203" t="s">
        <v>334</v>
      </c>
      <c r="T34" s="37">
        <f>COUNTIFS(Consolidado!$AL:$AL,IF(ISBLANK($C$2),"&lt;&gt;",$C$2),Consolidado!$Q:$Q,Análise!S34,Consolidado!$B:$B,"&lt;="&amp;Análise!$C$10,Consolidado!$B:$B,"&gt;="&amp;Análise!$C$9,Consolidado!$C:$C,IF(ISBLANK($C$3),"&lt;&gt;",$C$3),Consolidado!$AU:$AU,"S")</f>
        <v>1</v>
      </c>
      <c r="U34" s="180">
        <f t="shared" si="0"/>
        <v>3.875968992248062E-3</v>
      </c>
    </row>
    <row r="35" spans="1:31">
      <c r="B35" s="192" t="s">
        <v>334</v>
      </c>
      <c r="C35" s="37">
        <f>COUNTIFS(Consolidado!$AN:$AN,Análise!C$15,Consolidado!$AM:$AM,Análise!$C$7,Consolidado!$AL:$AL,IF(ISBLANK($C$2),"&lt;&gt;",$C$2),Consolidado!$Q:$Q,Análise!$B35,Consolidado!$C:$C,IF(ISBLANK($C$3),"&lt;&gt;",$C$3),Consolidado!$AU:$AU,"S")</f>
        <v>0</v>
      </c>
      <c r="D35" s="37">
        <f>COUNTIFS(Consolidado!$AN:$AN,Análise!D$15,Consolidado!$AM:$AM,Análise!$C$7,Consolidado!$AL:$AL,IF(ISBLANK($C$2),"&lt;&gt;",$C$2),Consolidado!$Q:$Q,Análise!$B35,Consolidado!$C:$C,IF(ISBLANK($C$3),"&lt;&gt;",$C$3),Consolidado!$AU:$AU,"S")</f>
        <v>1</v>
      </c>
      <c r="E35" s="37">
        <f>COUNTIFS(Consolidado!$AN:$AN,Análise!E$15,Consolidado!$AM:$AM,Análise!$C$7,Consolidado!$AL:$AL,IF(ISBLANK($C$2),"&lt;&gt;",$C$2),Consolidado!$Q:$Q,Análise!$B35,Consolidado!$C:$C,IF(ISBLANK($C$3),"&lt;&gt;",$C$3),Consolidado!$AU:$AU,"S")</f>
        <v>0</v>
      </c>
      <c r="F35" s="37">
        <f>COUNTIFS(Consolidado!$AN:$AN,Análise!F$15,Consolidado!$AM:$AM,Análise!$C$7,Consolidado!$AL:$AL,IF(ISBLANK($C$2),"&lt;&gt;",$C$2),Consolidado!$Q:$Q,Análise!$B35,Consolidado!$C:$C,IF(ISBLANK($C$3),"&lt;&gt;",$C$3),Consolidado!$AU:$AU,"S")</f>
        <v>0</v>
      </c>
      <c r="G35" s="37">
        <f>COUNTIFS(Consolidado!$AN:$AN,Análise!G$15,Consolidado!$AM:$AM,Análise!$C$7,Consolidado!$AL:$AL,IF(ISBLANK($C$2),"&lt;&gt;",$C$2),Consolidado!$Q:$Q,Análise!$B35,Consolidado!$C:$C,IF(ISBLANK($C$3),"&lt;&gt;",$C$3),Consolidado!$AU:$AU,"S")</f>
        <v>0</v>
      </c>
      <c r="H35" s="38">
        <f t="shared" si="3"/>
        <v>1</v>
      </c>
      <c r="I35" s="42">
        <f t="shared" si="1"/>
        <v>3.8610038610038611E-3</v>
      </c>
      <c r="K35" s="35" t="s">
        <v>64</v>
      </c>
      <c r="L35" s="35">
        <f>COUNTIFS(Consolidado!$AM:$AM,Análise!$C$7,Consolidado!$AL:$AL,IF(ISBLANK($C$2),"&lt;&gt;",$C$2),Consolidado!$Q:$Q,Análise!$B16,Consolidado!$C:$C,IF(ISBLANK($C$3),"&lt;&gt;",$C$3),Consolidado!$J:$J,K35,Consolidado!$AU:$AU,"S")</f>
        <v>74</v>
      </c>
      <c r="M35" s="40">
        <f>IFERROR(L35/SUM($L$35:$L$36),"")</f>
        <v>0.47741935483870968</v>
      </c>
      <c r="S35" s="190" t="s">
        <v>861</v>
      </c>
      <c r="T35" s="78">
        <f>COUNTIFS(Consolidado!$AL:$AL,IF(ISBLANK($C$2),"&lt;&gt;",$C$2),Consolidado!$Q:$Q,Análise!S35,Consolidado!$B:$B,"&lt;="&amp;Análise!$C$10,Consolidado!$B:$B,"&gt;="&amp;Análise!$C$9,Consolidado!$C:$C,IF(ISBLANK($C$3),"&lt;&gt;",$C$3),Consolidado!$AU:$AU,"S")</f>
        <v>0</v>
      </c>
      <c r="U35" s="79">
        <f t="shared" si="0"/>
        <v>0</v>
      </c>
    </row>
    <row r="36" spans="1:31">
      <c r="B36" s="191" t="s">
        <v>861</v>
      </c>
      <c r="C36" s="35">
        <f>COUNTIFS(Consolidado!$AN:$AN,Análise!C$15,Consolidado!$AM:$AM,Análise!$C$7,Consolidado!$AL:$AL,IF(ISBLANK($C$2),"&lt;&gt;",$C$2),Consolidado!$Q:$Q,Análise!$B36,Consolidado!$C:$C,IF(ISBLANK($C$3),"&lt;&gt;",$C$3),Consolidado!$AU:$AU,"S")</f>
        <v>0</v>
      </c>
      <c r="D36" s="35">
        <f>COUNTIFS(Consolidado!$AN:$AN,Análise!D$15,Consolidado!$AM:$AM,Análise!$C$7,Consolidado!$AL:$AL,IF(ISBLANK($C$2),"&lt;&gt;",$C$2),Consolidado!$Q:$Q,Análise!$B36,Consolidado!$C:$C,IF(ISBLANK($C$3),"&lt;&gt;",$C$3),Consolidado!$AU:$AU,"S")</f>
        <v>0</v>
      </c>
      <c r="E36" s="35">
        <f>COUNTIFS(Consolidado!$AN:$AN,Análise!E$15,Consolidado!$AM:$AM,Análise!$C$7,Consolidado!$AL:$AL,IF(ISBLANK($C$2),"&lt;&gt;",$C$2),Consolidado!$Q:$Q,Análise!$B36,Consolidado!$C:$C,IF(ISBLANK($C$3),"&lt;&gt;",$C$3),Consolidado!$AU:$AU,"S")</f>
        <v>0</v>
      </c>
      <c r="F36" s="35">
        <f>COUNTIFS(Consolidado!$AN:$AN,Análise!F$15,Consolidado!$AM:$AM,Análise!$C$7,Consolidado!$AL:$AL,IF(ISBLANK($C$2),"&lt;&gt;",$C$2),Consolidado!$Q:$Q,Análise!$B36,Consolidado!$C:$C,IF(ISBLANK($C$3),"&lt;&gt;",$C$3),Consolidado!$AU:$AU,"S")</f>
        <v>0</v>
      </c>
      <c r="G36" s="35">
        <f>COUNTIFS(Consolidado!$AN:$AN,Análise!G$15,Consolidado!$AM:$AM,Análise!$C$7,Consolidado!$AL:$AL,IF(ISBLANK($C$2),"&lt;&gt;",$C$2),Consolidado!$Q:$Q,Análise!$B36,Consolidado!$C:$C,IF(ISBLANK($C$3),"&lt;&gt;",$C$3),Consolidado!$AU:$AU,"S")</f>
        <v>0</v>
      </c>
      <c r="H36" s="43">
        <f t="shared" si="3"/>
        <v>0</v>
      </c>
      <c r="I36" s="48">
        <f t="shared" si="1"/>
        <v>0</v>
      </c>
      <c r="K36" s="37" t="s">
        <v>51</v>
      </c>
      <c r="L36" s="37">
        <f>COUNTIFS(Consolidado!$AM:$AM,Análise!$C$7,Consolidado!$AL:$AL,IF(ISBLANK($C$2),"&lt;&gt;",$C$2),Consolidado!$Q:$Q,$B16,Consolidado!$C:$C,IF(ISBLANK($C$3),"&lt;&gt;",$C$3),Consolidado!$J:$J,K36,Consolidado!$AU:$AU,"S")</f>
        <v>81</v>
      </c>
      <c r="M36" s="41">
        <f>IFERROR(L36/SUM($L$35:$L$36),"")</f>
        <v>0.52258064516129032</v>
      </c>
      <c r="S36" s="203" t="s">
        <v>57</v>
      </c>
      <c r="T36" s="37">
        <f>COUNTIFS(Consolidado!$AL:$AL,IF(ISBLANK($C$2),"&lt;&gt;",$C$2),Consolidado!$Q:$Q,Análise!S36,Consolidado!$B:$B,"&lt;="&amp;Análise!$C$10,Consolidado!$B:$B,"&gt;="&amp;Análise!$C$9,Consolidado!$C:$C,IF(ISBLANK($C$3),"&lt;&gt;",$C$3),Consolidado!$AU:$AU,"S")</f>
        <v>93</v>
      </c>
      <c r="U36" s="180">
        <f t="shared" si="0"/>
        <v>0.36046511627906974</v>
      </c>
    </row>
    <row r="37" spans="1:31">
      <c r="B37" s="192" t="s">
        <v>57</v>
      </c>
      <c r="C37" s="37">
        <f>COUNTIFS(Consolidado!$AN:$AN,Análise!C$15,Consolidado!$AM:$AM,Análise!$C$7,Consolidado!$AL:$AL,IF(ISBLANK($C$2),"&lt;&gt;",$C$2),Consolidado!$Q:$Q,Análise!$B37,Consolidado!$C:$C,IF(ISBLANK($C$3),"&lt;&gt;",$C$3),Consolidado!$AU:$AU,"S")</f>
        <v>0</v>
      </c>
      <c r="D37" s="37">
        <f>COUNTIFS(Consolidado!$AN:$AN,Análise!D$15,Consolidado!$AM:$AM,Análise!$C$7,Consolidado!$AL:$AL,IF(ISBLANK($C$2),"&lt;&gt;",$C$2),Consolidado!$Q:$Q,Análise!$B37,Consolidado!$C:$C,IF(ISBLANK($C$3),"&lt;&gt;",$C$3),Consolidado!$AU:$AU,"S")</f>
        <v>93</v>
      </c>
      <c r="E37" s="37">
        <f>COUNTIFS(Consolidado!$AN:$AN,Análise!E$15,Consolidado!$AM:$AM,Análise!$C$7,Consolidado!$AL:$AL,IF(ISBLANK($C$2),"&lt;&gt;",$C$2),Consolidado!$Q:$Q,Análise!$B37,Consolidado!$C:$C,IF(ISBLANK($C$3),"&lt;&gt;",$C$3),Consolidado!$AU:$AU,"S")</f>
        <v>0</v>
      </c>
      <c r="F37" s="37">
        <f>COUNTIFS(Consolidado!$AN:$AN,Análise!F$15,Consolidado!$AM:$AM,Análise!$C$7,Consolidado!$AL:$AL,IF(ISBLANK($C$2),"&lt;&gt;",$C$2),Consolidado!$Q:$Q,Análise!$B37,Consolidado!$C:$C,IF(ISBLANK($C$3),"&lt;&gt;",$C$3),Consolidado!$AU:$AU,"S")</f>
        <v>0</v>
      </c>
      <c r="G37" s="37">
        <f>COUNTIFS(Consolidado!$AN:$AN,Análise!G$15,Consolidado!$AM:$AM,Análise!$C$7,Consolidado!$AL:$AL,IF(ISBLANK($C$2),"&lt;&gt;",$C$2),Consolidado!$Q:$Q,Análise!$B37,Consolidado!$C:$C,IF(ISBLANK($C$3),"&lt;&gt;",$C$3),Consolidado!$AU:$AU,"S")</f>
        <v>0</v>
      </c>
      <c r="H37" s="38">
        <f t="shared" si="3"/>
        <v>93</v>
      </c>
      <c r="I37" s="42">
        <f t="shared" si="1"/>
        <v>0.35907335907335908</v>
      </c>
      <c r="S37" s="190" t="s">
        <v>750</v>
      </c>
      <c r="T37" s="78">
        <f>COUNTIFS(Consolidado!$AL:$AL,IF(ISBLANK($C$2),"&lt;&gt;",$C$2),Consolidado!$Q:$Q,Análise!S37,Consolidado!$B:$B,"&lt;="&amp;Análise!$C$10,Consolidado!$B:$B,"&gt;="&amp;Análise!$C$9,Consolidado!$C:$C,IF(ISBLANK($C$3),"&lt;&gt;",$C$3),Consolidado!$AU:$AU,"S")</f>
        <v>1</v>
      </c>
      <c r="U37" s="79">
        <f t="shared" si="0"/>
        <v>3.875968992248062E-3</v>
      </c>
    </row>
    <row r="38" spans="1:31">
      <c r="B38" s="191" t="s">
        <v>750</v>
      </c>
      <c r="C38" s="35">
        <f>COUNTIFS(Consolidado!$AN:$AN,Análise!C$15,Consolidado!$AM:$AM,Análise!$C$7,Consolidado!$AL:$AL,IF(ISBLANK($C$2),"&lt;&gt;",$C$2),Consolidado!$Q:$Q,Análise!$B38,Consolidado!$C:$C,IF(ISBLANK($C$3),"&lt;&gt;",$C$3),Consolidado!$AU:$AU,"S")</f>
        <v>0</v>
      </c>
      <c r="D38" s="35">
        <f>COUNTIFS(Consolidado!$AN:$AN,Análise!D$15,Consolidado!$AM:$AM,Análise!$C$7,Consolidado!$AL:$AL,IF(ISBLANK($C$2),"&lt;&gt;",$C$2),Consolidado!$Q:$Q,Análise!$B38,Consolidado!$C:$C,IF(ISBLANK($C$3),"&lt;&gt;",$C$3),Consolidado!$AU:$AU,"S")</f>
        <v>0</v>
      </c>
      <c r="E38" s="35">
        <f>COUNTIFS(Consolidado!$AN:$AN,Análise!E$15,Consolidado!$AM:$AM,Análise!$C$7,Consolidado!$AL:$AL,IF(ISBLANK($C$2),"&lt;&gt;",$C$2),Consolidado!$Q:$Q,Análise!$B38,Consolidado!$C:$C,IF(ISBLANK($C$3),"&lt;&gt;",$C$3),Consolidado!$AU:$AU,"S")</f>
        <v>1</v>
      </c>
      <c r="F38" s="35">
        <f>COUNTIFS(Consolidado!$AN:$AN,Análise!F$15,Consolidado!$AM:$AM,Análise!$C$7,Consolidado!$AL:$AL,IF(ISBLANK($C$2),"&lt;&gt;",$C$2),Consolidado!$Q:$Q,Análise!$B38,Consolidado!$C:$C,IF(ISBLANK($C$3),"&lt;&gt;",$C$3),Consolidado!$AU:$AU,"S")</f>
        <v>0</v>
      </c>
      <c r="G38" s="35">
        <f>COUNTIFS(Consolidado!$AN:$AN,Análise!G$15,Consolidado!$AM:$AM,Análise!$C$7,Consolidado!$AL:$AL,IF(ISBLANK($C$2),"&lt;&gt;",$C$2),Consolidado!$Q:$Q,Análise!$B38,Consolidado!$C:$C,IF(ISBLANK($C$3),"&lt;&gt;",$C$3),Consolidado!$AU:$AU,"S")</f>
        <v>1</v>
      </c>
      <c r="H38" s="43">
        <f t="shared" si="3"/>
        <v>2</v>
      </c>
      <c r="I38" s="48">
        <f t="shared" si="1"/>
        <v>7.7220077220077222E-3</v>
      </c>
      <c r="S38" s="203" t="s">
        <v>766</v>
      </c>
      <c r="T38" s="37">
        <f>COUNTIFS(Consolidado!$AL:$AL,IF(ISBLANK($C$2),"&lt;&gt;",$C$2),Consolidado!$Q:$Q,Análise!S38,Consolidado!$B:$B,"&lt;="&amp;Análise!$C$10,Consolidado!$B:$B,"&gt;="&amp;Análise!$C$9,Consolidado!$C:$C,IF(ISBLANK($C$3),"&lt;&gt;",$C$3),Consolidado!$AU:$AU,"S")</f>
        <v>0</v>
      </c>
      <c r="U38" s="180">
        <f t="shared" si="0"/>
        <v>0</v>
      </c>
    </row>
    <row r="39" spans="1:31">
      <c r="B39" s="192" t="s">
        <v>766</v>
      </c>
      <c r="C39" s="37">
        <f>COUNTIFS(Consolidado!$AN:$AN,Análise!C$15,Consolidado!$AM:$AM,Análise!$C$7,Consolidado!$AL:$AL,IF(ISBLANK($C$2),"&lt;&gt;",$C$2),Consolidado!$Q:$Q,Análise!$B39,Consolidado!$C:$C,IF(ISBLANK($C$3),"&lt;&gt;",$C$3),Consolidado!$AU:$AU,"S")</f>
        <v>0</v>
      </c>
      <c r="D39" s="37">
        <f>COUNTIFS(Consolidado!$AN:$AN,Análise!D$15,Consolidado!$AM:$AM,Análise!$C$7,Consolidado!$AL:$AL,IF(ISBLANK($C$2),"&lt;&gt;",$C$2),Consolidado!$Q:$Q,Análise!$B39,Consolidado!$C:$C,IF(ISBLANK($C$3),"&lt;&gt;",$C$3),Consolidado!$AU:$AU,"S")</f>
        <v>0</v>
      </c>
      <c r="E39" s="37">
        <f>COUNTIFS(Consolidado!$AN:$AN,Análise!E$15,Consolidado!$AM:$AM,Análise!$C$7,Consolidado!$AL:$AL,IF(ISBLANK($C$2),"&lt;&gt;",$C$2),Consolidado!$Q:$Q,Análise!$B39,Consolidado!$C:$C,IF(ISBLANK($C$3),"&lt;&gt;",$C$3),Consolidado!$AU:$AU,"S")</f>
        <v>0</v>
      </c>
      <c r="F39" s="37">
        <f>COUNTIFS(Consolidado!$AN:$AN,Análise!F$15,Consolidado!$AM:$AM,Análise!$C$7,Consolidado!$AL:$AL,IF(ISBLANK($C$2),"&lt;&gt;",$C$2),Consolidado!$Q:$Q,Análise!$B39,Consolidado!$C:$C,IF(ISBLANK($C$3),"&lt;&gt;",$C$3),Consolidado!$AU:$AU,"S")</f>
        <v>0</v>
      </c>
      <c r="G39" s="37">
        <f>COUNTIFS(Consolidado!$AN:$AN,Análise!G$15,Consolidado!$AM:$AM,Análise!$C$7,Consolidado!$AL:$AL,IF(ISBLANK($C$2),"&lt;&gt;",$C$2),Consolidado!$Q:$Q,Análise!$B39,Consolidado!$C:$C,IF(ISBLANK($C$3),"&lt;&gt;",$C$3),Consolidado!$AU:$AU,"S")</f>
        <v>0</v>
      </c>
      <c r="H39" s="38">
        <f t="shared" si="3"/>
        <v>0</v>
      </c>
      <c r="I39" s="42">
        <f t="shared" si="1"/>
        <v>0</v>
      </c>
      <c r="S39" s="190" t="s">
        <v>862</v>
      </c>
      <c r="T39" s="78">
        <f>COUNTIFS(Consolidado!$AL:$AL,IF(ISBLANK($C$2),"&lt;&gt;",$C$2),Consolidado!$Q:$Q,Análise!S39,Consolidado!$B:$B,"&lt;="&amp;Análise!$C$10,Consolidado!$B:$B,"&gt;="&amp;Análise!$C$9,Consolidado!$C:$C,IF(ISBLANK($C$3),"&lt;&gt;",$C$3),Consolidado!$AU:$AU,"S")</f>
        <v>0</v>
      </c>
      <c r="U39" s="79">
        <f t="shared" si="0"/>
        <v>0</v>
      </c>
    </row>
    <row r="40" spans="1:31">
      <c r="B40" s="191" t="s">
        <v>862</v>
      </c>
      <c r="C40" s="35">
        <f>COUNTIFS(Consolidado!$AN:$AN,Análise!C$15,Consolidado!$AM:$AM,Análise!$C$7,Consolidado!$AL:$AL,IF(ISBLANK($C$2),"&lt;&gt;",$C$2),Consolidado!$Q:$Q,Análise!$B40,Consolidado!$C:$C,IF(ISBLANK($C$3),"&lt;&gt;",$C$3),Consolidado!$AU:$AU,"S")</f>
        <v>0</v>
      </c>
      <c r="D40" s="35">
        <f>COUNTIFS(Consolidado!$AN:$AN,Análise!D$15,Consolidado!$AM:$AM,Análise!$C$7,Consolidado!$AL:$AL,IF(ISBLANK($C$2),"&lt;&gt;",$C$2),Consolidado!$Q:$Q,Análise!$B40,Consolidado!$C:$C,IF(ISBLANK($C$3),"&lt;&gt;",$C$3),Consolidado!$AU:$AU,"S")</f>
        <v>0</v>
      </c>
      <c r="E40" s="35">
        <f>COUNTIFS(Consolidado!$AN:$AN,Análise!E$15,Consolidado!$AM:$AM,Análise!$C$7,Consolidado!$AL:$AL,IF(ISBLANK($C$2),"&lt;&gt;",$C$2),Consolidado!$Q:$Q,Análise!$B40,Consolidado!$C:$C,IF(ISBLANK($C$3),"&lt;&gt;",$C$3),Consolidado!$AU:$AU,"S")</f>
        <v>0</v>
      </c>
      <c r="F40" s="35">
        <f>COUNTIFS(Consolidado!$AN:$AN,Análise!F$15,Consolidado!$AM:$AM,Análise!$C$7,Consolidado!$AL:$AL,IF(ISBLANK($C$2),"&lt;&gt;",$C$2),Consolidado!$Q:$Q,Análise!$B40,Consolidado!$C:$C,IF(ISBLANK($C$3),"&lt;&gt;",$C$3),Consolidado!$AU:$AU,"S")</f>
        <v>0</v>
      </c>
      <c r="G40" s="35">
        <f>COUNTIFS(Consolidado!$AN:$AN,Análise!G$15,Consolidado!$AM:$AM,Análise!$C$7,Consolidado!$AL:$AL,IF(ISBLANK($C$2),"&lt;&gt;",$C$2),Consolidado!$Q:$Q,Análise!$B40,Consolidado!$C:$C,IF(ISBLANK($C$3),"&lt;&gt;",$C$3),Consolidado!$AU:$AU,"S")</f>
        <v>0</v>
      </c>
      <c r="H40" s="43">
        <f t="shared" si="3"/>
        <v>0</v>
      </c>
      <c r="I40" s="48">
        <f t="shared" si="1"/>
        <v>0</v>
      </c>
      <c r="S40" s="204" t="s">
        <v>831</v>
      </c>
      <c r="T40" s="38">
        <f>SUM(T15:T39)</f>
        <v>258</v>
      </c>
      <c r="U40" s="181">
        <f t="shared" si="0"/>
        <v>1</v>
      </c>
    </row>
    <row r="41" spans="1:31">
      <c r="B41" s="38" t="s">
        <v>831</v>
      </c>
      <c r="C41" s="38">
        <f t="shared" ref="C41:H41" si="7">SUM(C16:C40)</f>
        <v>0</v>
      </c>
      <c r="D41" s="38">
        <f t="shared" si="7"/>
        <v>255</v>
      </c>
      <c r="E41" s="38">
        <f t="shared" si="7"/>
        <v>3</v>
      </c>
      <c r="F41" s="38">
        <f t="shared" si="7"/>
        <v>0</v>
      </c>
      <c r="G41" s="38">
        <f t="shared" si="7"/>
        <v>1</v>
      </c>
      <c r="H41" s="38">
        <f t="shared" si="7"/>
        <v>259</v>
      </c>
      <c r="I41" s="42">
        <f t="shared" si="1"/>
        <v>1</v>
      </c>
    </row>
    <row r="43" spans="1:31" s="216" customFormat="1">
      <c r="A43" s="214"/>
      <c r="B43" s="215" t="s">
        <v>863</v>
      </c>
      <c r="C43" s="214"/>
      <c r="D43" s="214"/>
      <c r="E43" s="214"/>
      <c r="F43" s="214"/>
      <c r="G43" s="214"/>
      <c r="H43" s="214"/>
      <c r="I43" s="214"/>
      <c r="J43" s="214"/>
      <c r="K43" s="214"/>
      <c r="L43" s="214"/>
      <c r="M43" s="214"/>
      <c r="N43" s="214"/>
      <c r="O43" s="214"/>
      <c r="P43" s="214"/>
      <c r="Q43" s="214"/>
      <c r="R43" s="214"/>
      <c r="S43" s="214"/>
      <c r="T43" s="214"/>
      <c r="U43" s="214"/>
      <c r="V43" s="214"/>
      <c r="W43" s="214"/>
      <c r="X43" s="214"/>
      <c r="Y43" s="214"/>
      <c r="Z43" s="214"/>
      <c r="AA43" s="214"/>
      <c r="AB43" s="214"/>
      <c r="AC43" s="214"/>
      <c r="AD43" s="214"/>
      <c r="AE43" s="214"/>
    </row>
    <row r="45" spans="1:31">
      <c r="B45" s="234" t="s">
        <v>16</v>
      </c>
      <c r="C45" s="173" t="s">
        <v>39</v>
      </c>
      <c r="D45" s="173"/>
      <c r="E45" s="173"/>
      <c r="F45" s="173"/>
      <c r="G45" s="173"/>
      <c r="H45" s="235" t="s">
        <v>836</v>
      </c>
    </row>
    <row r="46" spans="1:31">
      <c r="B46" s="234"/>
      <c r="C46" s="36">
        <v>1</v>
      </c>
      <c r="D46" s="173">
        <v>2</v>
      </c>
      <c r="E46" s="173">
        <v>3</v>
      </c>
      <c r="F46" s="173">
        <v>4</v>
      </c>
      <c r="G46" s="173">
        <v>5</v>
      </c>
      <c r="H46" s="236"/>
    </row>
    <row r="47" spans="1:31">
      <c r="B47" s="191" t="s">
        <v>68</v>
      </c>
      <c r="C47" s="35">
        <f>COUNTIFS(Consolidado!$AP:$AP,Análise!C$46,Consolidado!$AO:$AO,Análise!$C$7,Consolidado!$AL:$AL,IF(ISBLANK($C$2),"&lt;&gt;",$C$2),Consolidado!$Q:$Q,Análise!$B47,Consolidado!$C:$C,IF(ISBLANK($C$3),"&lt;&gt;",$C$3),Consolidado!$AU:$AU,"S")</f>
        <v>0</v>
      </c>
      <c r="D47" s="35">
        <f>COUNTIFS(Consolidado!$AP:$AP,Análise!D$46,Consolidado!$AO:$AO,Análise!$C$7,Consolidado!$AL:$AL,IF(ISBLANK($C$2),"&lt;&gt;",$C$2),Consolidado!$Q:$Q,Análise!$B47,Consolidado!$C:$C,IF(ISBLANK($C$3),"&lt;&gt;",$C$3),Consolidado!$AU:$AU,"S")</f>
        <v>0</v>
      </c>
      <c r="E47" s="35">
        <f>COUNTIFS(Consolidado!$AP:$AP,Análise!E$46,Consolidado!$AO:$AO,Análise!$C$7,Consolidado!$AL:$AL,IF(ISBLANK($C$2),"&lt;&gt;",$C$2),Consolidado!$Q:$Q,Análise!$B47,Consolidado!$C:$C,IF(ISBLANK($C$3),"&lt;&gt;",$C$3),Consolidado!$AU:$AU,"S")</f>
        <v>116</v>
      </c>
      <c r="F47" s="35">
        <f>COUNTIFS(Consolidado!$AP:$AP,Análise!F$46,Consolidado!$AO:$AO,Análise!$C$7,Consolidado!$AL:$AL,IF(ISBLANK($C$2),"&lt;&gt;",$C$2),Consolidado!$Q:$Q,Análise!$B47,Consolidado!$C:$C,IF(ISBLANK($C$3),"&lt;&gt;",$C$3),Consolidado!$AU:$AU,"S")</f>
        <v>24</v>
      </c>
      <c r="G47" s="35">
        <f>COUNTIFS(Consolidado!$AP:$AP,Análise!G$46,Consolidado!$AO:$AO,Análise!$C$7,Consolidado!$AL:$AL,IF(ISBLANK($C$2),"&lt;&gt;",$C$2),Consolidado!$Q:$Q,Análise!$B47,Consolidado!$C:$C,IF(ISBLANK($C$3),"&lt;&gt;",$C$3),Consolidado!$AU:$AU,"S")</f>
        <v>13</v>
      </c>
      <c r="H47" s="43">
        <f>SUM(C47:G47)</f>
        <v>153</v>
      </c>
    </row>
    <row r="49" spans="1:31">
      <c r="B49" s="76" t="s">
        <v>16</v>
      </c>
      <c r="C49" s="76" t="s">
        <v>864</v>
      </c>
    </row>
    <row r="50" spans="1:31">
      <c r="B50" s="190" t="s">
        <v>68</v>
      </c>
      <c r="C50" s="78">
        <f>COUNTIFS(Consolidado!$AL:$AL,IF(ISBLANK($C$2),"&lt;&gt;",$C$2),Consolidado!$Q:$Q,B50,Consolidado!$R:$R,"&lt;="&amp;Análise!$C$10,Consolidado!$R:$R,"&gt;="&amp;Análise!$C$9,Consolidado!$C:$C,IF(ISBLANK($C$3),"&lt;&gt;",$C$3),Consolidado!$AU:$AU,"S")</f>
        <v>140</v>
      </c>
    </row>
    <row r="52" spans="1:31" s="216" customFormat="1">
      <c r="A52" s="214"/>
      <c r="B52" s="215" t="s">
        <v>865</v>
      </c>
      <c r="C52" s="214"/>
      <c r="D52" s="214"/>
      <c r="E52" s="214"/>
      <c r="F52" s="214"/>
      <c r="G52" s="214"/>
      <c r="H52" s="214"/>
      <c r="I52" s="214"/>
      <c r="J52" s="214"/>
      <c r="K52" s="214"/>
      <c r="L52" s="214"/>
      <c r="M52" s="214"/>
      <c r="N52" s="214"/>
      <c r="O52" s="214"/>
      <c r="P52" s="214"/>
      <c r="Q52" s="214"/>
      <c r="R52" s="214"/>
      <c r="S52" s="214"/>
      <c r="T52" s="214"/>
      <c r="U52" s="214"/>
      <c r="V52" s="214"/>
      <c r="W52" s="214"/>
      <c r="X52" s="214"/>
      <c r="Y52" s="214"/>
      <c r="Z52" s="214"/>
      <c r="AA52" s="214"/>
      <c r="AB52" s="214"/>
      <c r="AC52" s="214"/>
      <c r="AD52" s="214"/>
      <c r="AE52" s="214"/>
    </row>
    <row r="54" spans="1:31">
      <c r="B54" s="230" t="s">
        <v>866</v>
      </c>
      <c r="C54" s="173" t="s">
        <v>39</v>
      </c>
      <c r="D54" s="173"/>
      <c r="E54" s="173"/>
      <c r="F54" s="173"/>
      <c r="G54" s="173"/>
      <c r="H54" s="173"/>
      <c r="K54" s="231" t="s">
        <v>866</v>
      </c>
      <c r="L54" s="232" t="s">
        <v>864</v>
      </c>
    </row>
    <row r="55" spans="1:31">
      <c r="B55" s="230"/>
      <c r="C55" s="36">
        <v>1</v>
      </c>
      <c r="D55" s="36">
        <v>2</v>
      </c>
      <c r="E55" s="36">
        <v>3</v>
      </c>
      <c r="F55" s="36">
        <v>4</v>
      </c>
      <c r="G55" s="36">
        <v>5</v>
      </c>
      <c r="H55" s="36" t="s">
        <v>831</v>
      </c>
      <c r="K55" s="231"/>
      <c r="L55" s="233"/>
    </row>
    <row r="56" spans="1:31">
      <c r="B56" s="46" t="s">
        <v>867</v>
      </c>
      <c r="C56" s="35">
        <f>COUNTIFS(Consolidado!$AF:$AF,$B56,Consolidado!$AL:$AL,IF(ISBLANK($C$2),"&lt;&gt;",$C$2),Consolidado!$AM:$AM,$C$7,Consolidado!$AN:$AN,Análise!C$55,Consolidado!$C:$C,IF(ISBLANK($C$3),"&lt;&gt;",$C$3),Consolidado!$Q:$Q,"1. Aceitou o programa",Consolidado!$AU:$AU,"S")</f>
        <v>0</v>
      </c>
      <c r="D56" s="35">
        <f>COUNTIFS(Consolidado!$AF:$AF,$B56,Consolidado!$AL:$AL,IF(ISBLANK($C$2),"&lt;&gt;",$C$2),Consolidado!$AM:$AM,$C$7,Consolidado!$AN:$AN,Análise!D$55,Consolidado!$C:$C,IF(ISBLANK($C$3),"&lt;&gt;",$C$3),Consolidado!$Q:$Q,"1. Aceitou o programa",Consolidado!$AU:$AU,"S")</f>
        <v>0</v>
      </c>
      <c r="E56" s="35">
        <f>COUNTIFS(Consolidado!$AF:$AF,$B56,Consolidado!$AL:$AL,IF(ISBLANK($C$2),"&lt;&gt;",$C$2),Consolidado!$AM:$AM,$C$7,Consolidado!$AN:$AN,Análise!E$55,Consolidado!$C:$C,IF(ISBLANK($C$3),"&lt;&gt;",$C$3),Consolidado!$Q:$Q,"1. Aceitou o programa",Consolidado!$AU:$AU,"S")</f>
        <v>0</v>
      </c>
      <c r="F56" s="35">
        <f>COUNTIFS(Consolidado!$AF:$AF,$B56,Consolidado!$AL:$AL,IF(ISBLANK($C$2),"&lt;&gt;",$C$2),Consolidado!$AM:$AM,$C$7,Consolidado!$AN:$AN,Análise!F$55,Consolidado!$C:$C,IF(ISBLANK($C$3),"&lt;&gt;",$C$3),Consolidado!$Q:$Q,"1. Aceitou o programa",Consolidado!$AU:$AU,"S")</f>
        <v>0</v>
      </c>
      <c r="G56" s="35">
        <f>COUNTIFS(Consolidado!$AF:$AF,$B56,Consolidado!$AL:$AL,IF(ISBLANK($C$2),"&lt;&gt;",$C$2),Consolidado!$AM:$AM,$C$7,Consolidado!$AN:$AN,Análise!G$55,Consolidado!$C:$C,IF(ISBLANK($C$3),"&lt;&gt;",$C$3),Consolidado!$Q:$Q,"1. Aceitou o programa",Consolidado!$AU:$AU,"S")</f>
        <v>0</v>
      </c>
      <c r="H56" s="43">
        <f>SUM(C56:G56)</f>
        <v>0</v>
      </c>
      <c r="K56" s="201" t="s">
        <v>867</v>
      </c>
      <c r="L56" s="78">
        <f>COUNTIFS(Consolidado!$AF:$AF,$K56,Consolidado!$AL:$AL,IF(ISBLANK($C$2),"&lt;&gt;",$C$2),Consolidado!$B:$B,"&lt;="&amp;Análise!$C$10,Consolidado!$B:$B,"&gt;="&amp;Análise!$C$9,Consolidado!$C:$C,IF(ISBLANK($C$3),"&lt;&gt;",$C$3),Consolidado!$Q:$Q,"1.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7" spans="1:31">
      <c r="B57" s="47" t="s">
        <v>868</v>
      </c>
      <c r="C57" s="37">
        <f>COUNTIFS(Consolidado!$AF:$AF,$B57,Consolidado!$AL:$AL,IF(ISBLANK($C$2),"&lt;&gt;",$C$2),Consolidado!$AM:$AM,$C$7,Consolidado!$AN:$AN,Análise!C$55,Consolidado!$C:$C,IF(ISBLANK($C$3),"&lt;&gt;",$C$3),Consolidado!$Q:$Q,"1. Aceitou o programa",Consolidado!$AU:$AU,"S")</f>
        <v>0</v>
      </c>
      <c r="D57" s="37">
        <f>COUNTIFS(Consolidado!$AF:$AF,$B57,Consolidado!$AL:$AL,IF(ISBLANK($C$2),"&lt;&gt;",$C$2),Consolidado!$AM:$AM,$C$7,Consolidado!$AN:$AN,Análise!D$55,Consolidado!$C:$C,IF(ISBLANK($C$3),"&lt;&gt;",$C$3),Consolidado!$Q:$Q,"1. Aceitou o programa",Consolidado!$AU:$AU,"S")</f>
        <v>0</v>
      </c>
      <c r="E57" s="37">
        <f>COUNTIFS(Consolidado!$AF:$AF,$B57,Consolidado!$AL:$AL,IF(ISBLANK($C$2),"&lt;&gt;",$C$2),Consolidado!$AM:$AM,$C$7,Consolidado!$AN:$AN,Análise!E$55,Consolidado!$C:$C,IF(ISBLANK($C$3),"&lt;&gt;",$C$3),Consolidado!$Q:$Q,"1. Aceitou o programa",Consolidado!$AU:$AU,"S")</f>
        <v>0</v>
      </c>
      <c r="F57" s="37">
        <f>COUNTIFS(Consolidado!$AF:$AF,$B57,Consolidado!$AL:$AL,IF(ISBLANK($C$2),"&lt;&gt;",$C$2),Consolidado!$AM:$AM,$C$7,Consolidado!$AN:$AN,Análise!F$55,Consolidado!$C:$C,IF(ISBLANK($C$3),"&lt;&gt;",$C$3),Consolidado!$Q:$Q,"1. Aceitou o programa",Consolidado!$AU:$AU,"S")</f>
        <v>0</v>
      </c>
      <c r="G57" s="37">
        <f>COUNTIFS(Consolidado!$AF:$AF,$B57,Consolidado!$AL:$AL,IF(ISBLANK($C$2),"&lt;&gt;",$C$2),Consolidado!$AM:$AM,$C$7,Consolidado!$AN:$AN,Análise!G$55,Consolidado!$C:$C,IF(ISBLANK($C$3),"&lt;&gt;",$C$3),Consolidado!$Q:$Q,"1. Aceitou o programa",Consolidado!$AU:$AU,"S")</f>
        <v>0</v>
      </c>
      <c r="H57" s="38">
        <f t="shared" ref="H57:H62" si="8">SUM(C57:G57)</f>
        <v>0</v>
      </c>
      <c r="K57" s="47" t="s">
        <v>868</v>
      </c>
      <c r="L57" s="37">
        <f>COUNTIFS(Consolidado!$AF:$AF,$K57,Consolidado!$AL:$AL,IF(ISBLANK($C$2),"&lt;&gt;",$C$2),Consolidado!$B:$B,"&lt;="&amp;Análise!$C$10,Consolidado!$B:$B,"&gt;="&amp;Análise!$C$9,Consolidado!$C:$C,IF(ISBLANK($C$3),"&lt;&gt;",$C$3),Consolidado!$Q:$Q,"1.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8" spans="1:31">
      <c r="B58" s="46" t="s">
        <v>869</v>
      </c>
      <c r="C58" s="35">
        <f>COUNTIFS(Consolidado!$AF:$AF,$B58,Consolidado!$AL:$AL,IF(ISBLANK($C$2),"&lt;&gt;",$C$2),Consolidado!$AM:$AM,$C$7,Consolidado!$AN:$AN,Análise!C$55,Consolidado!$C:$C,IF(ISBLANK($C$3),"&lt;&gt;",$C$3),Consolidado!$Q:$Q,"1. Aceitou o programa",Consolidado!$AU:$AU,"S")</f>
        <v>0</v>
      </c>
      <c r="D58" s="35">
        <f>COUNTIFS(Consolidado!$AF:$AF,$B58,Consolidado!$AL:$AL,IF(ISBLANK($C$2),"&lt;&gt;",$C$2),Consolidado!$AM:$AM,$C$7,Consolidado!$AN:$AN,Análise!D$55,Consolidado!$C:$C,IF(ISBLANK($C$3),"&lt;&gt;",$C$3),Consolidado!$Q:$Q,"1. Aceitou o programa",Consolidado!$AU:$AU,"S")</f>
        <v>0</v>
      </c>
      <c r="E58" s="35">
        <f>COUNTIFS(Consolidado!$AF:$AF,$B58,Consolidado!$AL:$AL,IF(ISBLANK($C$2),"&lt;&gt;",$C$2),Consolidado!$AM:$AM,$C$7,Consolidado!$AN:$AN,Análise!E$55,Consolidado!$C:$C,IF(ISBLANK($C$3),"&lt;&gt;",$C$3),Consolidado!$Q:$Q,"1. Aceitou o programa",Consolidado!$AU:$AU,"S")</f>
        <v>0</v>
      </c>
      <c r="F58" s="35">
        <f>COUNTIFS(Consolidado!$AF:$AF,$B58,Consolidado!$AL:$AL,IF(ISBLANK($C$2),"&lt;&gt;",$C$2),Consolidado!$AM:$AM,$C$7,Consolidado!$AN:$AN,Análise!F$55,Consolidado!$C:$C,IF(ISBLANK($C$3),"&lt;&gt;",$C$3),Consolidado!$Q:$Q,"1. Aceitou o programa",Consolidado!$AU:$AU,"S")</f>
        <v>0</v>
      </c>
      <c r="G58" s="35">
        <f>COUNTIFS(Consolidado!$AF:$AF,$B58,Consolidado!$AL:$AL,IF(ISBLANK($C$2),"&lt;&gt;",$C$2),Consolidado!$AM:$AM,$C$7,Consolidado!$AN:$AN,Análise!G$55,Consolidado!$C:$C,IF(ISBLANK($C$3),"&lt;&gt;",$C$3),Consolidado!$Q:$Q,"1. Aceitou o programa",Consolidado!$AU:$AU,"S")</f>
        <v>0</v>
      </c>
      <c r="H58" s="43">
        <f t="shared" si="8"/>
        <v>0</v>
      </c>
      <c r="K58" s="201" t="s">
        <v>869</v>
      </c>
      <c r="L58" s="78">
        <f>COUNTIFS(Consolidado!$AF:$AF,$K58,Consolidado!$AL:$AL,IF(ISBLANK($C$2),"&lt;&gt;",$C$2),Consolidado!$B:$B,"&lt;="&amp;Análise!$C$10,Consolidado!$B:$B,"&gt;="&amp;Análise!$C$9,Consolidado!$C:$C,IF(ISBLANK($C$3),"&lt;&gt;",$C$3),Consolidado!$Q:$Q,"1.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9" spans="1:31">
      <c r="B59" s="47" t="s">
        <v>870</v>
      </c>
      <c r="C59" s="37">
        <f>COUNTIFS(Consolidado!$AF:$AF,$B59,Consolidado!$AL:$AL,IF(ISBLANK($C$2),"&lt;&gt;",$C$2),Consolidado!$AM:$AM,$C$7,Consolidado!$AN:$AN,Análise!C$55,Consolidado!$C:$C,IF(ISBLANK($C$3),"&lt;&gt;",$C$3),Consolidado!$Q:$Q,"1. Aceitou o programa",Consolidado!$AU:$AU,"S")</f>
        <v>0</v>
      </c>
      <c r="D59" s="37">
        <f>COUNTIFS(Consolidado!$AF:$AF,$B59,Consolidado!$AL:$AL,IF(ISBLANK($C$2),"&lt;&gt;",$C$2),Consolidado!$AM:$AM,$C$7,Consolidado!$AN:$AN,Análise!D$55,Consolidado!$C:$C,IF(ISBLANK($C$3),"&lt;&gt;",$C$3),Consolidado!$Q:$Q,"1. Aceitou o programa",Consolidado!$AU:$AU,"S")</f>
        <v>0</v>
      </c>
      <c r="E59" s="37">
        <f>COUNTIFS(Consolidado!$AF:$AF,$B59,Consolidado!$AL:$AL,IF(ISBLANK($C$2),"&lt;&gt;",$C$2),Consolidado!$AM:$AM,$C$7,Consolidado!$AN:$AN,Análise!E$55,Consolidado!$C:$C,IF(ISBLANK($C$3),"&lt;&gt;",$C$3),Consolidado!$Q:$Q,"1. Aceitou o programa",Consolidado!$AU:$AU,"S")</f>
        <v>0</v>
      </c>
      <c r="F59" s="37">
        <f>COUNTIFS(Consolidado!$AF:$AF,$B59,Consolidado!$AL:$AL,IF(ISBLANK($C$2),"&lt;&gt;",$C$2),Consolidado!$AM:$AM,$C$7,Consolidado!$AN:$AN,Análise!F$55,Consolidado!$C:$C,IF(ISBLANK($C$3),"&lt;&gt;",$C$3),Consolidado!$Q:$Q,"1. Aceitou o programa",Consolidado!$AU:$AU,"S")</f>
        <v>0</v>
      </c>
      <c r="G59" s="37">
        <f>COUNTIFS(Consolidado!$AF:$AF,$B59,Consolidado!$AL:$AL,IF(ISBLANK($C$2),"&lt;&gt;",$C$2),Consolidado!$AM:$AM,$C$7,Consolidado!$AN:$AN,Análise!G$55,Consolidado!$C:$C,IF(ISBLANK($C$3),"&lt;&gt;",$C$3),Consolidado!$Q:$Q,"1. Aceitou o programa",Consolidado!$AU:$AU,"S")</f>
        <v>0</v>
      </c>
      <c r="H59" s="38">
        <f t="shared" si="8"/>
        <v>0</v>
      </c>
      <c r="K59" s="47" t="s">
        <v>870</v>
      </c>
      <c r="L59" s="37">
        <f>COUNTIFS(Consolidado!$AF:$AF,$K59,Consolidado!$AL:$AL,IF(ISBLANK($C$2),"&lt;&gt;",$C$2),Consolidado!$B:$B,"&lt;="&amp;Análise!$C$10,Consolidado!$B:$B,"&gt;="&amp;Análise!$C$9,Consolidado!$C:$C,IF(ISBLANK($C$3),"&lt;&gt;",$C$3),Consolidado!$Q:$Q,"1.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60" spans="1:31">
      <c r="B60" s="46" t="s">
        <v>871</v>
      </c>
      <c r="C60" s="35">
        <f>COUNTIFS(Consolidado!$AF:$AF,$B60,Consolidado!$AL:$AL,IF(ISBLANK($C$2),"&lt;&gt;",$C$2),Consolidado!$AM:$AM,$C$7,Consolidado!$AN:$AN,Análise!C$55,Consolidado!$C:$C,IF(ISBLANK($C$3),"&lt;&gt;",$C$3),Consolidado!$Q:$Q,"1. Aceitou o programa",Consolidado!$AU:$AU,"S")</f>
        <v>0</v>
      </c>
      <c r="D60" s="35">
        <f>COUNTIFS(Consolidado!$AF:$AF,$B60,Consolidado!$AL:$AL,IF(ISBLANK($C$2),"&lt;&gt;",$C$2),Consolidado!$AM:$AM,$C$7,Consolidado!$AN:$AN,Análise!D$55,Consolidado!$C:$C,IF(ISBLANK($C$3),"&lt;&gt;",$C$3),Consolidado!$Q:$Q,"1. Aceitou o programa",Consolidado!$AU:$AU,"S")</f>
        <v>0</v>
      </c>
      <c r="E60" s="35">
        <f>COUNTIFS(Consolidado!$AF:$AF,$B60,Consolidado!$AL:$AL,IF(ISBLANK($C$2),"&lt;&gt;",$C$2),Consolidado!$AM:$AM,$C$7,Consolidado!$AN:$AN,Análise!E$55,Consolidado!$C:$C,IF(ISBLANK($C$3),"&lt;&gt;",$C$3),Consolidado!$Q:$Q,"1. Aceitou o programa",Consolidado!$AU:$AU,"S")</f>
        <v>0</v>
      </c>
      <c r="F60" s="35">
        <f>COUNTIFS(Consolidado!$AF:$AF,$B60,Consolidado!$AL:$AL,IF(ISBLANK($C$2),"&lt;&gt;",$C$2),Consolidado!$AM:$AM,$C$7,Consolidado!$AN:$AN,Análise!F$55,Consolidado!$C:$C,IF(ISBLANK($C$3),"&lt;&gt;",$C$3),Consolidado!$Q:$Q,"1. Aceitou o programa",Consolidado!$AU:$AU,"S")</f>
        <v>0</v>
      </c>
      <c r="G60" s="35">
        <f>COUNTIFS(Consolidado!$AF:$AF,$B60,Consolidado!$AL:$AL,IF(ISBLANK($C$2),"&lt;&gt;",$C$2),Consolidado!$AM:$AM,$C$7,Consolidado!$AN:$AN,Análise!G$55,Consolidado!$C:$C,IF(ISBLANK($C$3),"&lt;&gt;",$C$3),Consolidado!$Q:$Q,"1. Aceitou o programa",Consolidado!$AU:$AU,"S")</f>
        <v>0</v>
      </c>
      <c r="H60" s="43">
        <f t="shared" si="8"/>
        <v>0</v>
      </c>
      <c r="K60" s="201" t="s">
        <v>871</v>
      </c>
      <c r="L60" s="78">
        <f>COUNTIFS(Consolidado!$AF:$AF,$K60,Consolidado!$AL:$AL,IF(ISBLANK($C$2),"&lt;&gt;",$C$2),Consolidado!$B:$B,"&lt;="&amp;Análise!$C$10,Consolidado!$B:$B,"&gt;="&amp;Análise!$C$9,Consolidado!$C:$C,IF(ISBLANK($C$3),"&lt;&gt;",$C$3),Consolidado!$Q:$Q,"1.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61" spans="1:31">
      <c r="B61" s="47" t="s">
        <v>517</v>
      </c>
      <c r="C61" s="37">
        <f>COUNTIFS(Consolidado!$AF:$AF,$B61,Consolidado!$AL:$AL,IF(ISBLANK($C$2),"&lt;&gt;",$C$2),Consolidado!$AM:$AM,$C$7,Consolidado!$AN:$AN,Análise!C$55,Consolidado!$C:$C,IF(ISBLANK($C$3),"&lt;&gt;",$C$3),Consolidado!$Q:$Q,"1. Aceitou o programa",Consolidado!$AU:$AU,"S")</f>
        <v>0</v>
      </c>
      <c r="D61" s="37">
        <f>COUNTIFS(Consolidado!$AF:$AF,$B61,Consolidado!$AL:$AL,IF(ISBLANK($C$2),"&lt;&gt;",$C$2),Consolidado!$AM:$AM,$C$7,Consolidado!$AN:$AN,Análise!D$55,Consolidado!$C:$C,IF(ISBLANK($C$3),"&lt;&gt;",$C$3),Consolidado!$Q:$Q,"1. Aceitou o programa",Consolidado!$AU:$AU,"S")</f>
        <v>1</v>
      </c>
      <c r="E61" s="37">
        <f>COUNTIFS(Consolidado!$AF:$AF,$B61,Consolidado!$AL:$AL,IF(ISBLANK($C$2),"&lt;&gt;",$C$2),Consolidado!$AM:$AM,$C$7,Consolidado!$AN:$AN,Análise!E$55,Consolidado!$C:$C,IF(ISBLANK($C$3),"&lt;&gt;",$C$3),Consolidado!$Q:$Q,"1. Aceitou o programa",Consolidado!$AU:$AU,"S")</f>
        <v>0</v>
      </c>
      <c r="F61" s="37">
        <f>COUNTIFS(Consolidado!$AF:$AF,$B61,Consolidado!$AL:$AL,IF(ISBLANK($C$2),"&lt;&gt;",$C$2),Consolidado!$AM:$AM,$C$7,Consolidado!$AN:$AN,Análise!F$55,Consolidado!$C:$C,IF(ISBLANK($C$3),"&lt;&gt;",$C$3),Consolidado!$Q:$Q,"1. Aceitou o programa",Consolidado!$AU:$AU,"S")</f>
        <v>0</v>
      </c>
      <c r="G61" s="37">
        <f>COUNTIFS(Consolidado!$AF:$AF,$B61,Consolidado!$AL:$AL,IF(ISBLANK($C$2),"&lt;&gt;",$C$2),Consolidado!$AM:$AM,$C$7,Consolidado!$AN:$AN,Análise!G$55,Consolidado!$C:$C,IF(ISBLANK($C$3),"&lt;&gt;",$C$3),Consolidado!$Q:$Q,"1. Aceitou o programa",Consolidado!$AU:$AU,"S")</f>
        <v>0</v>
      </c>
      <c r="H61" s="38">
        <f t="shared" si="8"/>
        <v>1</v>
      </c>
      <c r="K61" s="47" t="s">
        <v>517</v>
      </c>
      <c r="L61" s="37">
        <f>COUNTIFS(Consolidado!$AF:$AF,$K61,Consolidado!$AL:$AL,IF(ISBLANK($C$2),"&lt;&gt;",$C$2),Consolidado!$B:$B,"&lt;="&amp;Análise!$C$10,Consolidado!$B:$B,"&gt;="&amp;Análise!$C$9,Consolidado!$C:$C,IF(ISBLANK($C$3),"&lt;&gt;",$C$3),Consolidado!$Q:$Q,"1. Aceitou o programa",Consolidado!$AU:$AU,"S")</f>
        <v>1</v>
      </c>
    </row>
    <row r="62" spans="1:31">
      <c r="B62" s="46" t="s">
        <v>831</v>
      </c>
      <c r="C62" s="43">
        <f>SUM(C56:C61)</f>
        <v>0</v>
      </c>
      <c r="D62" s="43">
        <f>SUM(D56:D61)</f>
        <v>1</v>
      </c>
      <c r="E62" s="43">
        <f>SUM(E56:E61)</f>
        <v>0</v>
      </c>
      <c r="F62" s="43">
        <f>SUM(F56:F61)</f>
        <v>0</v>
      </c>
      <c r="G62" s="43">
        <f>SUM(G56:G61)</f>
        <v>0</v>
      </c>
      <c r="H62" s="43">
        <f t="shared" si="8"/>
        <v>1</v>
      </c>
      <c r="K62" s="201" t="s">
        <v>831</v>
      </c>
      <c r="L62" s="202">
        <f>SUM(L56:L61)</f>
        <v>1</v>
      </c>
    </row>
    <row r="64" spans="1:31">
      <c r="B64" s="230" t="s">
        <v>872</v>
      </c>
      <c r="C64" s="173" t="s">
        <v>39</v>
      </c>
      <c r="D64" s="173"/>
      <c r="E64" s="173"/>
      <c r="F64" s="173"/>
      <c r="G64" s="173"/>
      <c r="H64" s="173"/>
      <c r="K64" s="231" t="s">
        <v>872</v>
      </c>
      <c r="L64" s="232" t="s">
        <v>864</v>
      </c>
    </row>
    <row r="65" spans="1:31">
      <c r="B65" s="230"/>
      <c r="C65" s="36">
        <v>1</v>
      </c>
      <c r="D65" s="36">
        <v>2</v>
      </c>
      <c r="E65" s="36">
        <v>3</v>
      </c>
      <c r="F65" s="36">
        <v>4</v>
      </c>
      <c r="G65" s="36">
        <v>5</v>
      </c>
      <c r="H65" s="36" t="s">
        <v>831</v>
      </c>
      <c r="K65" s="231"/>
      <c r="L65" s="233"/>
    </row>
    <row r="66" spans="1:31">
      <c r="B66" s="46" t="s">
        <v>867</v>
      </c>
      <c r="C66" s="40" t="str">
        <f>IFERROR(COUNTIFS(Consolidado!$AG:$AG,$B66,Consolidado!$AL:$AL,IF(ISBLANK($C$2),"&lt;&gt;",$C$2),Consolidado!$AM:$AM,$C$7,Consolidado!$AN:$AN,Análise!C$65,Consolidado!$C:$C,IF(ISBLANK($C$3),"&lt;&gt;",$C$3),Consolidado!$Q:$Q,"1. Aceitou o programa",Consolidado!$AF:$AF,"&lt;&gt;",Consolidado!$AF:$AF,"&lt;&gt;"&amp;$B66,Consolidado!$AU:$AU,"S")/(C$59+C$60+C$61),"")</f>
        <v/>
      </c>
      <c r="D66" s="40">
        <f>IFERROR(COUNTIFS(Consolidado!$AG:$AG,$B66,Consolidado!$AL:$AL,IF(ISBLANK($C$2),"&lt;&gt;",$C$2),Consolidado!$AM:$AM,$C$7,Consolidado!$AN:$AN,Análise!D$65,Consolidado!$C:$C,IF(ISBLANK($C$3),"&lt;&gt;",$C$3),Consolidado!$Q:$Q,"1. Aceitou o programa",Consolidado!$AF:$AF,"&lt;&gt;",Consolidado!$AF:$AF,"&lt;&gt;"&amp;$B66,Consolidado!$AU:$AU,"S")/(D$59+D$60+D$61),"")</f>
        <v>0</v>
      </c>
      <c r="E66" s="40" t="str">
        <f>IFERROR(COUNTIFS(Consolidado!$AG:$AG,$B66,Consolidado!$AL:$AL,IF(ISBLANK($C$2),"&lt;&gt;",$C$2),Consolidado!$AM:$AM,$C$7,Consolidado!$AN:$AN,Análise!E$65,Consolidado!$C:$C,IF(ISBLANK($C$3),"&lt;&gt;",$C$3),Consolidado!$Q:$Q,"1. Aceitou o programa",Consolidado!$AF:$AF,"&lt;&gt;",Consolidado!$AF:$AF,"&lt;&gt;"&amp;$B66,Consolidado!$AU:$AU,"S")/(E$59+E$60+E$61),"")</f>
        <v/>
      </c>
      <c r="F66" s="40" t="str">
        <f>IFERROR(COUNTIFS(Consolidado!$AG:$AG,$B66,Consolidado!$AL:$AL,IF(ISBLANK($C$2),"&lt;&gt;",$C$2),Consolidado!$AM:$AM,$C$7,Consolidado!$AN:$AN,Análise!F$65,Consolidado!$C:$C,IF(ISBLANK($C$3),"&lt;&gt;",$C$3),Consolidado!$Q:$Q,"1. Aceitou o programa",Consolidado!$AF:$AF,"&lt;&gt;",Consolidado!$AF:$AF,"&lt;&gt;"&amp;$B66,Consolidado!$AU:$AU,"S")/(F$59+F$60+F$61),"")</f>
        <v/>
      </c>
      <c r="G66" s="40" t="str">
        <f>IFERROR(COUNTIFS(Consolidado!$AG:$AG,$B66,Consolidado!$AL:$AL,IF(ISBLANK($C$2),"&lt;&gt;",$C$2),Consolidado!$AM:$AM,$C$7,Consolidado!$AN:$AN,Análise!G$65,Consolidado!$C:$C,IF(ISBLANK($C$3),"&lt;&gt;",$C$3),Consolidado!$Q:$Q,"1. Aceitou o programa",Consolidado!$AF:$AF,"&lt;&gt;",Consolidado!$AF:$AF,"&lt;&gt;"&amp;$B66,Consolidado!$AU:$AU,"S")/(G$59+G$60+G$61),"")</f>
        <v/>
      </c>
      <c r="H66" s="48">
        <f>IFERROR(COUNTIFS(Consolidado!$AG:$AG,$B66,Consolidado!$AL:$AL,IF(ISBLANK($C$2),"&lt;&gt;",$C$2),Consolidado!$AM:$AM,$C$7,Consolidado!$C:$C,IF(ISBLANK($C$3),"&lt;&gt;",$C$3),Consolidado!$Q:$Q,"1. Aceitou o programa",Consolidado!$AF:$AF,"&lt;&gt;",Consolidado!$AF:$AF,"&lt;&gt;"&amp;$B66)/(H$59+H$60+H$61),"")</f>
        <v>0</v>
      </c>
      <c r="K66" s="201" t="s">
        <v>867</v>
      </c>
      <c r="L66" s="79">
        <f>IFERROR(COUNTIFS(Consolidado!$AG:$AG,$K66,Consolidado!$AL:$AL,IF(ISBLANK($C$2),"&lt;&gt;",$C$2),Consolidado!$B:$B,"&lt;="&amp;Análise!$C$10,Consolidado!$B:$B,"&gt;="&amp;Análise!$C$9,Consolidado!$C:$C,IF(ISBLANK($C$3),"&lt;&gt;",$C$3),Consolidado!$Q:$Q,"1.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programa",Consolidado!$AF:$AF,"&lt;&gt;",Consolidado!$AF:$AF,"&lt;&gt;"&amp;$K66,Consolidado!$AU:$AU,"S")/(L$59+L$60+L$61),"")</f>
        <v>0</v>
      </c>
    </row>
    <row r="67" spans="1:31">
      <c r="B67" s="47" t="s">
        <v>868</v>
      </c>
      <c r="C67" s="41" t="str">
        <f>IFERROR(COUNTIFS(Consolidado!$AG:$AG,$B67,Consolidado!$AL:$AL,IF(ISBLANK($C$2),"&lt;&gt;",$C$2),Consolidado!$AM:$AM,$C$7,Consolidado!$AN:$AN,Análise!C$65,Consolidado!$C:$C,IF(ISBLANK($C$3),"&lt;&gt;",$C$3),Consolidado!$Q:$Q,"1. Aceitou o programa",Consolidado!$AF:$AF,"&lt;&gt;",Consolidado!$AF:$AF,"&lt;&gt;"&amp;$B67,Consolidado!$AU:$AU,"S")/(C$59+C$60+C$61),"")</f>
        <v/>
      </c>
      <c r="D67" s="41">
        <f>IFERROR(COUNTIFS(Consolidado!$AG:$AG,$B67,Consolidado!$AL:$AL,IF(ISBLANK($C$2),"&lt;&gt;",$C$2),Consolidado!$AM:$AM,$C$7,Consolidado!$AN:$AN,Análise!D$65,Consolidado!$C:$C,IF(ISBLANK($C$3),"&lt;&gt;",$C$3),Consolidado!$Q:$Q,"1. Aceitou o programa",Consolidado!$AF:$AF,"&lt;&gt;",Consolidado!$AF:$AF,"&lt;&gt;"&amp;$B67,Consolidado!$AU:$AU,"S")/(D$59+D$60+D$61),"")</f>
        <v>0</v>
      </c>
      <c r="E67" s="41" t="str">
        <f>IFERROR(COUNTIFS(Consolidado!$AG:$AG,$B67,Consolidado!$AL:$AL,IF(ISBLANK($C$2),"&lt;&gt;",$C$2),Consolidado!$AM:$AM,$C$7,Consolidado!$AN:$AN,Análise!E$65,Consolidado!$C:$C,IF(ISBLANK($C$3),"&lt;&gt;",$C$3),Consolidado!$Q:$Q,"1. Aceitou o programa",Consolidado!$AF:$AF,"&lt;&gt;",Consolidado!$AF:$AF,"&lt;&gt;"&amp;$B67,Consolidado!$AU:$AU,"S")/(E$59+E$60+E$61),"")</f>
        <v/>
      </c>
      <c r="F67" s="41" t="str">
        <f>IFERROR(COUNTIFS(Consolidado!$AG:$AG,$B67,Consolidado!$AL:$AL,IF(ISBLANK($C$2),"&lt;&gt;",$C$2),Consolidado!$AM:$AM,$C$7,Consolidado!$AN:$AN,Análise!F$65,Consolidado!$C:$C,IF(ISBLANK($C$3),"&lt;&gt;",$C$3),Consolidado!$Q:$Q,"1. Aceitou o programa",Consolidado!$AF:$AF,"&lt;&gt;",Consolidado!$AF:$AF,"&lt;&gt;"&amp;$B67,Consolidado!$AU:$AU,"S")/(F$59+F$60+F$61),"")</f>
        <v/>
      </c>
      <c r="G67" s="41" t="str">
        <f>IFERROR(COUNTIFS(Consolidado!$AG:$AG,$B67,Consolidado!$AL:$AL,IF(ISBLANK($C$2),"&lt;&gt;",$C$2),Consolidado!$AM:$AM,$C$7,Consolidado!$AN:$AN,Análise!G$65,Consolidado!$C:$C,IF(ISBLANK($C$3),"&lt;&gt;",$C$3),Consolidado!$Q:$Q,"1. Aceitou o programa",Consolidado!$AF:$AF,"&lt;&gt;",Consolidado!$AF:$AF,"&lt;&gt;"&amp;$B67,Consolidado!$AU:$AU,"S")/(G$59+G$60+G$61),"")</f>
        <v/>
      </c>
      <c r="H67" s="42">
        <f>IFERROR(COUNTIFS(Consolidado!$AG:$AG,$B67,Consolidado!$AL:$AL,IF(ISBLANK($C$2),"&lt;&gt;",$C$2),Consolidado!$AM:$AM,$C$7,Consolidado!$C:$C,IF(ISBLANK($C$3),"&lt;&gt;",$C$3),Consolidado!$Q:$Q,"1. Aceitou o programa",Consolidado!$AF:$AF,"&lt;&gt;",Consolidado!$AF:$AF,"&lt;&gt;"&amp;$B67)/(H$59+H$60+H$61),"")</f>
        <v>0</v>
      </c>
      <c r="K67" s="47" t="s">
        <v>868</v>
      </c>
      <c r="L67" s="41">
        <f>IFERROR(COUNTIFS(Consolidado!$AG:$AG,$K67,Consolidado!$AL:$AL,IF(ISBLANK($C$2),"&lt;&gt;",$C$2),Consolidado!$B:$B,"&lt;="&amp;Análise!$C$10,Consolidado!$B:$B,"&gt;="&amp;Análise!$C$9,Consolidado!$C:$C,IF(ISBLANK($C$3),"&lt;&gt;",$C$3),Consolidado!$Q:$Q,"1.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programa",Consolidado!$AF:$AF,"&lt;&gt;",Consolidado!$AF:$AF,"&lt;&gt;"&amp;$K67,Consolidado!$AU:$AU,"S")/(L$59+L$60+L$61),"")</f>
        <v>0</v>
      </c>
    </row>
    <row r="68" spans="1:31">
      <c r="B68" s="46" t="s">
        <v>873</v>
      </c>
      <c r="C68" s="40" t="str">
        <f>IFERROR(COUNTIFS(Consolidado!$AG:$AG,$B68,Consolidado!$AL:$AL,IF(ISBLANK($C$2),"&lt;&gt;",$C$2),Consolidado!$AM:$AM,$C$7,Consolidado!$AN:$AN,Análise!C$65,Consolidado!$C:$C,IF(ISBLANK($C$3),"&lt;&gt;",$C$3),Consolidado!$Q:$Q,"1. Aceitou o programa",Consolidado!$AF:$AF,"&lt;&gt;",Consolidado!$AF:$AF,"&lt;&gt;"&amp;$B68,Consolidado!$AU:$AU,"S")/(C$59+C$60+C$61),"")</f>
        <v/>
      </c>
      <c r="D68" s="40">
        <f>IFERROR(COUNTIFS(Consolidado!$AG:$AG,$B68,Consolidado!$AL:$AL,IF(ISBLANK($C$2),"&lt;&gt;",$C$2),Consolidado!$AM:$AM,$C$7,Consolidado!$AN:$AN,Análise!D$65,Consolidado!$C:$C,IF(ISBLANK($C$3),"&lt;&gt;",$C$3),Consolidado!$Q:$Q,"1. Aceitou o programa",Consolidado!$AF:$AF,"&lt;&gt;",Consolidado!$AF:$AF,"&lt;&gt;"&amp;$B68,Consolidado!$AU:$AU,"S")/(D$59+D$60+D$61),"")</f>
        <v>0</v>
      </c>
      <c r="E68" s="40" t="str">
        <f>IFERROR(COUNTIFS(Consolidado!$AG:$AG,$B68,Consolidado!$AL:$AL,IF(ISBLANK($C$2),"&lt;&gt;",$C$2),Consolidado!$AM:$AM,$C$7,Consolidado!$AN:$AN,Análise!E$65,Consolidado!$C:$C,IF(ISBLANK($C$3),"&lt;&gt;",$C$3),Consolidado!$Q:$Q,"1. Aceitou o programa",Consolidado!$AF:$AF,"&lt;&gt;",Consolidado!$AF:$AF,"&lt;&gt;"&amp;$B68,Consolidado!$AU:$AU,"S")/(E$59+E$60+E$61),"")</f>
        <v/>
      </c>
      <c r="F68" s="40" t="str">
        <f>IFERROR(COUNTIFS(Consolidado!$AG:$AG,$B68,Consolidado!$AL:$AL,IF(ISBLANK($C$2),"&lt;&gt;",$C$2),Consolidado!$AM:$AM,$C$7,Consolidado!$AN:$AN,Análise!F$65,Consolidado!$C:$C,IF(ISBLANK($C$3),"&lt;&gt;",$C$3),Consolidado!$Q:$Q,"1. Aceitou o programa",Consolidado!$AF:$AF,"&lt;&gt;",Consolidado!$AF:$AF,"&lt;&gt;"&amp;$B68,Consolidado!$AU:$AU,"S")/(F$59+F$60+F$61),"")</f>
        <v/>
      </c>
      <c r="G68" s="40" t="str">
        <f>IFERROR(COUNTIFS(Consolidado!$AG:$AG,$B68,Consolidado!$AL:$AL,IF(ISBLANK($C$2),"&lt;&gt;",$C$2),Consolidado!$AM:$AM,$C$7,Consolidado!$AN:$AN,Análise!G$65,Consolidado!$C:$C,IF(ISBLANK($C$3),"&lt;&gt;",$C$3),Consolidado!$Q:$Q,"1. Aceitou o programa",Consolidado!$AF:$AF,"&lt;&gt;",Consolidado!$AF:$AF,"&lt;&gt;"&amp;$B68,Consolidado!$AU:$AU,"S")/(G$59+G$60+G$61),"")</f>
        <v/>
      </c>
      <c r="H68" s="48">
        <f>IFERROR(COUNTIFS(Consolidado!$AG:$AG,$B68,Consolidado!$AL:$AL,IF(ISBLANK($C$2),"&lt;&gt;",$C$2),Consolidado!$AM:$AM,$C$7,Consolidado!$C:$C,IF(ISBLANK($C$3),"&lt;&gt;",$C$3),Consolidado!$Q:$Q,"1. Aceitou o programa",Consolidado!$AF:$AF,"&lt;&gt;",Consolidado!$AF:$AF,"&lt;&gt;"&amp;$B68)/(H$59+H$60+H$61),"")</f>
        <v>0</v>
      </c>
      <c r="K68" s="201" t="s">
        <v>873</v>
      </c>
      <c r="L68" s="79">
        <f>IFERROR(COUNTIFS(Consolidado!$AG:$AG,$K68,Consolidado!$AL:$AL,IF(ISBLANK($C$2),"&lt;&gt;",$C$2),Consolidado!$B:$B,"&lt;="&amp;Análise!$C$10,Consolidado!$B:$B,"&gt;="&amp;Análise!$C$9,Consolidado!$C:$C,IF(ISBLANK($C$3),"&lt;&gt;",$C$3),Consolidado!$Q:$Q,"1.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programa",Consolidado!$AF:$AF,"&lt;&gt;",Consolidado!$AF:$AF,"&lt;&gt;"&amp;$K68,Consolidado!$AU:$AU,"S")/(L$59+L$60+L$61),"")</f>
        <v>0</v>
      </c>
    </row>
    <row r="70" spans="1:31" s="216" customFormat="1">
      <c r="A70" s="214"/>
      <c r="B70" s="215" t="s">
        <v>874</v>
      </c>
      <c r="C70" s="214"/>
      <c r="D70" s="214"/>
      <c r="E70" s="214"/>
      <c r="F70" s="214"/>
      <c r="G70" s="214"/>
      <c r="H70" s="214"/>
      <c r="I70" s="214"/>
      <c r="J70" s="214"/>
      <c r="K70" s="214"/>
      <c r="L70" s="214"/>
      <c r="M70" s="214"/>
      <c r="N70" s="214"/>
      <c r="O70" s="214"/>
      <c r="P70" s="214"/>
      <c r="Q70" s="214"/>
      <c r="R70" s="214"/>
      <c r="S70" s="214"/>
      <c r="T70" s="214"/>
      <c r="U70" s="214"/>
      <c r="V70" s="214"/>
      <c r="W70" s="214"/>
      <c r="X70" s="214"/>
      <c r="Y70" s="214"/>
      <c r="Z70" s="214"/>
      <c r="AA70" s="214"/>
      <c r="AB70" s="214"/>
      <c r="AC70" s="214"/>
      <c r="AD70" s="214"/>
      <c r="AE70" s="214"/>
    </row>
    <row r="72" spans="1:31">
      <c r="B72" s="34" t="s">
        <v>875</v>
      </c>
      <c r="C72" s="45">
        <v>1</v>
      </c>
      <c r="D72" s="45">
        <v>2</v>
      </c>
      <c r="E72" s="45">
        <v>3</v>
      </c>
      <c r="F72" s="45">
        <v>4</v>
      </c>
      <c r="G72" s="45">
        <v>5</v>
      </c>
      <c r="H72" s="45" t="s">
        <v>836</v>
      </c>
      <c r="K72" s="75" t="s">
        <v>875</v>
      </c>
      <c r="L72" s="211" t="s">
        <v>864</v>
      </c>
    </row>
    <row r="73" spans="1:31">
      <c r="B73" s="46" t="s">
        <v>152</v>
      </c>
      <c r="C73" s="35">
        <f>COUNTIFS(Consolidado!$AH:$AH,$B73,Consolidado!$AL:$AL,IF(ISBLANK($C$2),"&lt;&gt;",$C$2),Consolidado!$AM:$AM,$C$7,Consolidado!$AN:$AN,Análise!C$55,Consolidado!$C:$C,IF(ISBLANK($C$3),"&lt;&gt;",$C$3),Consolidado!$Q:$Q,"1. Aceitou o programa",Consolidado!$AU:$AU,"S")</f>
        <v>0</v>
      </c>
      <c r="D73" s="35">
        <f>COUNTIFS(Consolidado!$AH:$AH,$B73,Consolidado!$AL:$AL,IF(ISBLANK($C$2),"&lt;&gt;",$C$2),Consolidado!$AM:$AM,$C$7,Consolidado!$AN:$AN,Análise!D$55,Consolidado!$C:$C,IF(ISBLANK($C$3),"&lt;&gt;",$C$3),Consolidado!$Q:$Q,"1. Aceitou o programa",Consolidado!$AU:$AU,"S")</f>
        <v>5</v>
      </c>
      <c r="E73" s="35">
        <f>COUNTIFS(Consolidado!$AH:$AH,$B73,Consolidado!$AL:$AL,IF(ISBLANK($C$2),"&lt;&gt;",$C$2),Consolidado!$AM:$AM,$C$7,Consolidado!$AN:$AN,Análise!E$55,Consolidado!$C:$C,IF(ISBLANK($C$3),"&lt;&gt;",$C$3),Consolidado!$Q:$Q,"1. Aceitou o programa",Consolidado!$AU:$AU,"S")</f>
        <v>0</v>
      </c>
      <c r="F73" s="35">
        <f>COUNTIFS(Consolidado!$AH:$AH,$B73,Consolidado!$AL:$AL,IF(ISBLANK($C$2),"&lt;&gt;",$C$2),Consolidado!$AM:$AM,$C$7,Consolidado!$AN:$AN,Análise!F$55,Consolidado!$C:$C,IF(ISBLANK($C$3),"&lt;&gt;",$C$3),Consolidado!$Q:$Q,"1. Aceitou o programa",Consolidado!$AU:$AU,"S")</f>
        <v>0</v>
      </c>
      <c r="G73" s="35">
        <f>COUNTIFS(Consolidado!$AH:$AH,$B73,Consolidado!$AL:$AL,IF(ISBLANK($C$2),"&lt;&gt;",$C$2),Consolidado!$AM:$AM,$C$7,Consolidado!$AN:$AN,Análise!G$55,Consolidado!$C:$C,IF(ISBLANK($C$3),"&lt;&gt;",$C$3),Consolidado!$Q:$Q,"1. Aceitou o programa",Consolidado!$AU:$AU,"S")</f>
        <v>0</v>
      </c>
      <c r="H73" s="43">
        <f>SUM(C73:G73)</f>
        <v>5</v>
      </c>
      <c r="K73" s="201" t="s">
        <v>152</v>
      </c>
      <c r="L73" s="78">
        <f>COUNTIFS(Consolidado!$AH:$AH,$B73,Consolidado!$AL:$AL,IF(ISBLANK($C$2),"&lt;&gt;",$C$2),Consolidado!$B:$B,"&lt;="&amp;Análise!$C$10,Consolidado!$B:$B,"&gt;="&amp;Análise!$C$9,Consolidado!$C:$C,IF(ISBLANK($C$3),"&lt;&gt;",$C$3),Consolidado!$Q:$Q,"1. Aceitou o programa",Consolidado!$AU:$AU,"S")</f>
        <v>5</v>
      </c>
    </row>
    <row r="74" spans="1:31">
      <c r="B74" s="47" t="s">
        <v>77</v>
      </c>
      <c r="C74" s="37">
        <f>COUNTIFS(Consolidado!$AH:$AH,$B74,Consolidado!$AL:$AL,IF(ISBLANK($C$2),"&lt;&gt;",$C$2),Consolidado!$AM:$AM,$C$7,Consolidado!$AN:$AN,Análise!C$55,Consolidado!$C:$C,IF(ISBLANK($C$3),"&lt;&gt;",$C$3),Consolidado!$Q:$Q,"1. Aceitou o programa",Consolidado!$AU:$AU,"S")</f>
        <v>0</v>
      </c>
      <c r="D74" s="37">
        <f>COUNTIFS(Consolidado!$AH:$AH,$B74,Consolidado!$AL:$AL,IF(ISBLANK($C$2),"&lt;&gt;",$C$2),Consolidado!$AM:$AM,$C$7,Consolidado!$AN:$AN,Análise!D$55,Consolidado!$C:$C,IF(ISBLANK($C$3),"&lt;&gt;",$C$3),Consolidado!$Q:$Q,"1. Aceitou o programa",Consolidado!$AU:$AU,"S")</f>
        <v>49</v>
      </c>
      <c r="E74" s="37">
        <f>COUNTIFS(Consolidado!$AH:$AH,$B74,Consolidado!$AL:$AL,IF(ISBLANK($C$2),"&lt;&gt;",$C$2),Consolidado!$AM:$AM,$C$7,Consolidado!$AN:$AN,Análise!E$55,Consolidado!$C:$C,IF(ISBLANK($C$3),"&lt;&gt;",$C$3),Consolidado!$Q:$Q,"1. Aceitou o programa",Consolidado!$AU:$AU,"S")</f>
        <v>1</v>
      </c>
      <c r="F74" s="37">
        <f>COUNTIFS(Consolidado!$AH:$AH,$B74,Consolidado!$AL:$AL,IF(ISBLANK($C$2),"&lt;&gt;",$C$2),Consolidado!$AM:$AM,$C$7,Consolidado!$AN:$AN,Análise!F$55,Consolidado!$C:$C,IF(ISBLANK($C$3),"&lt;&gt;",$C$3),Consolidado!$Q:$Q,"1. Aceitou o programa",Consolidado!$AU:$AU,"S")</f>
        <v>0</v>
      </c>
      <c r="G74" s="37">
        <f>COUNTIFS(Consolidado!$AH:$AH,$B74,Consolidado!$AL:$AL,IF(ISBLANK($C$2),"&lt;&gt;",$C$2),Consolidado!$AM:$AM,$C$7,Consolidado!$AN:$AN,Análise!G$55,Consolidado!$C:$C,IF(ISBLANK($C$3),"&lt;&gt;",$C$3),Consolidado!$Q:$Q,"1. Aceitou o programa",Consolidado!$AU:$AU,"S")</f>
        <v>0</v>
      </c>
      <c r="H74" s="38">
        <f t="shared" ref="H74:H75" si="9">SUM(C74:G74)</f>
        <v>50</v>
      </c>
      <c r="K74" s="47" t="s">
        <v>77</v>
      </c>
      <c r="L74" s="37">
        <f>COUNTIFS(Consolidado!$AH:$AH,$B74,Consolidado!$AL:$AL,IF(ISBLANK($C$2),"&lt;&gt;",$C$2),Consolidado!$B:$B,"&lt;="&amp;Análise!$C$10,Consolidado!$B:$B,"&gt;="&amp;Análise!$C$9,Consolidado!$C:$C,IF(ISBLANK($C$3),"&lt;&gt;",$C$3),Consolidado!$Q:$Q,"1. Aceitou o programa",Consolidado!$AU:$AU,"S")</f>
        <v>50</v>
      </c>
    </row>
    <row r="75" spans="1:31">
      <c r="B75" s="46" t="s">
        <v>277</v>
      </c>
      <c r="C75" s="35">
        <f>COUNTIFS(Consolidado!$AH:$AH,$B75,Consolidado!$AL:$AL,IF(ISBLANK($C$2),"&lt;&gt;",$C$2),Consolidado!$AM:$AM,$C$7,Consolidado!$AN:$AN,Análise!C$55,Consolidado!$C:$C,IF(ISBLANK($C$3),"&lt;&gt;",$C$3),Consolidado!$Q:$Q,"1. Aceitou o programa",Consolidado!$AU:$AU,"S")</f>
        <v>0</v>
      </c>
      <c r="D75" s="35">
        <f>COUNTIFS(Consolidado!$AH:$AH,$B75,Consolidado!$AL:$AL,IF(ISBLANK($C$2),"&lt;&gt;",$C$2),Consolidado!$AM:$AM,$C$7,Consolidado!$AN:$AN,Análise!D$55,Consolidado!$C:$C,IF(ISBLANK($C$3),"&lt;&gt;",$C$3),Consolidado!$Q:$Q,"1. Aceitou o programa",Consolidado!$AU:$AU,"S")</f>
        <v>0</v>
      </c>
      <c r="E75" s="35">
        <f>COUNTIFS(Consolidado!$AH:$AH,$B75,Consolidado!$AL:$AL,IF(ISBLANK($C$2),"&lt;&gt;",$C$2),Consolidado!$AM:$AM,$C$7,Consolidado!$AN:$AN,Análise!E$55,Consolidado!$C:$C,IF(ISBLANK($C$3),"&lt;&gt;",$C$3),Consolidado!$Q:$Q,"1. Aceitou o programa",Consolidado!$AU:$AU,"S")</f>
        <v>0</v>
      </c>
      <c r="F75" s="35">
        <f>COUNTIFS(Consolidado!$AH:$AH,$B75,Consolidado!$AL:$AL,IF(ISBLANK($C$2),"&lt;&gt;",$C$2),Consolidado!$AM:$AM,$C$7,Consolidado!$AN:$AN,Análise!F$55,Consolidado!$C:$C,IF(ISBLANK($C$3),"&lt;&gt;",$C$3),Consolidado!$Q:$Q,"1. Aceitou o programa",Consolidado!$AU:$AU,"S")</f>
        <v>0</v>
      </c>
      <c r="G75" s="35">
        <f>COUNTIFS(Consolidado!$AH:$AH,$B75,Consolidado!$AL:$AL,IF(ISBLANK($C$2),"&lt;&gt;",$C$2),Consolidado!$AM:$AM,$C$7,Consolidado!$AN:$AN,Análise!G$55,Consolidado!$C:$C,IF(ISBLANK($C$3),"&lt;&gt;",$C$3),Consolidado!$Q:$Q,"1. Aceitou o programa",Consolidado!$AU:$AU,"S")</f>
        <v>0</v>
      </c>
      <c r="H75" s="43">
        <f t="shared" si="9"/>
        <v>0</v>
      </c>
      <c r="K75" s="201" t="s">
        <v>277</v>
      </c>
      <c r="L75" s="78">
        <f>COUNTIFS(Consolidado!$AH:$AH,$B75,Consolidado!$AL:$AL,IF(ISBLANK($C$2),"&lt;&gt;",$C$2),Consolidado!$B:$B,"&lt;="&amp;Análise!$C$10,Consolidado!$B:$B,"&gt;="&amp;Análise!$C$9,Consolidado!$C:$C,IF(ISBLANK($C$3),"&lt;&gt;",$C$3),Consolidado!$Q:$Q,"1.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76" spans="1:31">
      <c r="B76" s="47" t="s">
        <v>831</v>
      </c>
      <c r="C76" s="38">
        <f>SUM(C73:C75)</f>
        <v>0</v>
      </c>
      <c r="D76" s="38">
        <f t="shared" ref="D76:H76" si="10">SUM(D73:D75)</f>
        <v>54</v>
      </c>
      <c r="E76" s="38">
        <f t="shared" si="10"/>
        <v>1</v>
      </c>
      <c r="F76" s="38">
        <f t="shared" si="10"/>
        <v>0</v>
      </c>
      <c r="G76" s="38">
        <f t="shared" si="10"/>
        <v>0</v>
      </c>
      <c r="H76" s="38">
        <f t="shared" si="10"/>
        <v>55</v>
      </c>
      <c r="K76" s="47" t="s">
        <v>831</v>
      </c>
      <c r="L76" s="38">
        <f>SUM(L73:L75)</f>
        <v>55</v>
      </c>
    </row>
    <row r="78" spans="1:31">
      <c r="B78" s="34" t="s">
        <v>876</v>
      </c>
      <c r="C78" s="45" t="s">
        <v>836</v>
      </c>
      <c r="K78" s="75" t="s">
        <v>876</v>
      </c>
      <c r="L78" s="211" t="s">
        <v>864</v>
      </c>
    </row>
    <row r="79" spans="1:31">
      <c r="B79" s="46" t="s">
        <v>152</v>
      </c>
      <c r="C79" s="48">
        <f>IFERROR(H73/$H$76,"")</f>
        <v>9.0909090909090912E-2</v>
      </c>
      <c r="K79" s="201" t="s">
        <v>152</v>
      </c>
      <c r="L79" s="212">
        <f>IFERROR(L73/$L$76,"")</f>
        <v>9.0909090909090912E-2</v>
      </c>
    </row>
    <row r="80" spans="1:31">
      <c r="B80" s="47" t="s">
        <v>77</v>
      </c>
      <c r="C80" s="49">
        <f>IFERROR(H74/$H$76,"")</f>
        <v>0.90909090909090906</v>
      </c>
      <c r="K80" s="47" t="s">
        <v>77</v>
      </c>
      <c r="L80" s="49">
        <f>IFERROR(L74/$L$76,"")</f>
        <v>0.90909090909090906</v>
      </c>
    </row>
    <row r="81" spans="1:31">
      <c r="B81" s="46" t="s">
        <v>277</v>
      </c>
      <c r="C81" s="50">
        <f>IFERROR(H75/$H$76,"")</f>
        <v>0</v>
      </c>
      <c r="K81" s="201" t="s">
        <v>277</v>
      </c>
      <c r="L81" s="213">
        <f>IFERROR(L75/$L$76,"")</f>
        <v>0</v>
      </c>
    </row>
    <row r="83" spans="1:31" s="216" customFormat="1">
      <c r="A83" s="214"/>
      <c r="B83" s="215" t="s">
        <v>877</v>
      </c>
      <c r="C83" s="214"/>
      <c r="D83" s="214"/>
      <c r="E83" s="214"/>
      <c r="F83" s="214"/>
      <c r="G83" s="214"/>
      <c r="H83" s="214"/>
      <c r="I83" s="214"/>
      <c r="J83" s="214"/>
      <c r="K83" s="214"/>
      <c r="L83" s="214"/>
      <c r="M83" s="214"/>
      <c r="N83" s="214"/>
      <c r="O83" s="214"/>
      <c r="P83" s="214"/>
      <c r="Q83" s="214"/>
      <c r="R83" s="214"/>
      <c r="S83" s="214"/>
      <c r="T83" s="214"/>
      <c r="U83" s="214"/>
      <c r="V83" s="214"/>
      <c r="W83" s="214"/>
      <c r="X83" s="214"/>
      <c r="Y83" s="214"/>
      <c r="Z83" s="214"/>
      <c r="AA83" s="214"/>
      <c r="AB83" s="214"/>
      <c r="AC83" s="214"/>
      <c r="AD83" s="214"/>
      <c r="AE83" s="214"/>
    </row>
    <row r="85" spans="1:31">
      <c r="B85" s="34" t="s">
        <v>878</v>
      </c>
      <c r="C85" s="45">
        <v>1</v>
      </c>
      <c r="D85" s="45">
        <v>2</v>
      </c>
      <c r="E85" s="45">
        <v>3</v>
      </c>
      <c r="F85" s="45">
        <v>4</v>
      </c>
      <c r="G85" s="45">
        <v>5</v>
      </c>
      <c r="H85" s="45" t="s">
        <v>836</v>
      </c>
      <c r="K85" s="75" t="s">
        <v>878</v>
      </c>
      <c r="L85" s="211" t="s">
        <v>864</v>
      </c>
    </row>
    <row r="86" spans="1:31">
      <c r="B86" s="46" t="s">
        <v>72</v>
      </c>
      <c r="C86" s="35">
        <f>COUNTIFS(Consolidado!$Z:$Z,$B86,Consolidado!$AL:$AL,IF(ISBLANK($C$2),"&lt;&gt;",$C$2),Consolidado!$AM:$AM,$C$7,Consolidado!$AN:$AN,Análise!C$55,Consolidado!$C:$C,IF(ISBLANK($C$3),"&lt;&gt;",$C$3),Consolidado!$AU:$AU,"S")</f>
        <v>0</v>
      </c>
      <c r="D86" s="35">
        <f>COUNTIFS(Consolidado!$Z:$Z,$B86,Consolidado!$AL:$AL,IF(ISBLANK($C$2),"&lt;&gt;",$C$2),Consolidado!$AM:$AM,$C$7,Consolidado!$AN:$AN,Análise!D$55,Consolidado!$C:$C,IF(ISBLANK($C$3),"&lt;&gt;",$C$3),Consolidado!$AU:$AU,"S")</f>
        <v>163</v>
      </c>
      <c r="E86" s="35">
        <f>COUNTIFS(Consolidado!$Z:$Z,$B86,Consolidado!$AL:$AL,IF(ISBLANK($C$2),"&lt;&gt;",$C$2),Consolidado!$AM:$AM,$C$7,Consolidado!$AN:$AN,Análise!E$55,Consolidado!$C:$C,IF(ISBLANK($C$3),"&lt;&gt;",$C$3),Consolidado!$AU:$AU,"S")</f>
        <v>2</v>
      </c>
      <c r="F86" s="35">
        <f>COUNTIFS(Consolidado!$Z:$Z,$B86,Consolidado!$AL:$AL,IF(ISBLANK($C$2),"&lt;&gt;",$C$2),Consolidado!$AM:$AM,$C$7,Consolidado!$AN:$AN,Análise!F$55,Consolidado!$C:$C,IF(ISBLANK($C$3),"&lt;&gt;",$C$3),Consolidado!$AU:$AU,"S")</f>
        <v>0</v>
      </c>
      <c r="G86" s="35">
        <f>COUNTIFS(Consolidado!$Z:$Z,$B86,Consolidado!$AL:$AL,IF(ISBLANK($C$2),"&lt;&gt;",$C$2),Consolidado!$AM:$AM,$C$7,Consolidado!$AN:$AN,Análise!G$55,Consolidado!$C:$C,IF(ISBLANK($C$3),"&lt;&gt;",$C$3),Consolidado!$AU:$AU,"S")</f>
        <v>0</v>
      </c>
      <c r="H86" s="43">
        <f>SUM(C86:G86)</f>
        <v>165</v>
      </c>
      <c r="K86" s="201" t="s">
        <v>72</v>
      </c>
      <c r="L86" s="78">
        <f>COUNTIFS(Consolidado!$Z:$Z,$B86,Consolidado!$AL:$AL,IF(ISBLANK($C$2),"&lt;&gt;",$C$2),Consolidado!$B:$B,"&lt;="&amp;Análise!$C$10,Consolidado!$B:$B,"&gt;="&amp;Análise!$C$9,Consolidado!$C:$C,IF(ISBLANK($C$3),"&lt;&gt;",$C$3),Consolidado!$AU:$AU,"S")</f>
        <v>165</v>
      </c>
    </row>
    <row r="87" spans="1:31">
      <c r="B87" s="47" t="s">
        <v>879</v>
      </c>
      <c r="C87" s="37">
        <f>COUNTIFS(Consolidado!$Z:$Z,$B87,Consolidado!$AL:$AL,IF(ISBLANK($C$2),"&lt;&gt;",$C$2),Consolidado!$AM:$AM,$C$7,Consolidado!$AN:$AN,Análise!C$55,Consolidado!$C:$C,IF(ISBLANK($C$3),"&lt;&gt;",$C$3),Consolidado!$AU:$AU,"S")</f>
        <v>0</v>
      </c>
      <c r="D87" s="37">
        <f>COUNTIFS(Consolidado!$Z:$Z,$B87,Consolidado!$AL:$AL,IF(ISBLANK($C$2),"&lt;&gt;",$C$2),Consolidado!$AM:$AM,$C$7,Consolidado!$AN:$AN,Análise!D$55,Consolidado!$C:$C,IF(ISBLANK($C$3),"&lt;&gt;",$C$3),Consolidado!$AU:$AU,"S")</f>
        <v>0</v>
      </c>
      <c r="E87" s="37">
        <f>COUNTIFS(Consolidado!$Z:$Z,$B87,Consolidado!$AL:$AL,IF(ISBLANK($C$2),"&lt;&gt;",$C$2),Consolidado!$AM:$AM,$C$7,Consolidado!$AN:$AN,Análise!E$55,Consolidado!$C:$C,IF(ISBLANK($C$3),"&lt;&gt;",$C$3),Consolidado!$AU:$AU,"S")</f>
        <v>0</v>
      </c>
      <c r="F87" s="37">
        <f>COUNTIFS(Consolidado!$Z:$Z,$B87,Consolidado!$AL:$AL,IF(ISBLANK($C$2),"&lt;&gt;",$C$2),Consolidado!$AM:$AM,$C$7,Consolidado!$AN:$AN,Análise!F$55,Consolidado!$C:$C,IF(ISBLANK($C$3),"&lt;&gt;",$C$3),Consolidado!$AU:$AU,"S")</f>
        <v>0</v>
      </c>
      <c r="G87" s="37">
        <f>COUNTIFS(Consolidado!$Z:$Z,$B87,Consolidado!$AL:$AL,IF(ISBLANK($C$2),"&lt;&gt;",$C$2),Consolidado!$AM:$AM,$C$7,Consolidado!$AN:$AN,Análise!G$55,Consolidado!$C:$C,IF(ISBLANK($C$3),"&lt;&gt;",$C$3),Consolidado!$AU:$AU,"S")</f>
        <v>0</v>
      </c>
      <c r="H87" s="38">
        <f t="shared" ref="H87:H88" si="11">SUM(C87:G87)</f>
        <v>0</v>
      </c>
      <c r="K87" s="47" t="s">
        <v>879</v>
      </c>
      <c r="L87" s="37">
        <f>COUNTIFS(Consolidado!$Z:$Z,$B87,Consolidado!$AL:$AL,IF(ISBLANK($C$2),"&lt;&gt;",$C$2),Consolidado!$B:$B,"&lt;="&amp;Análise!$C$10,Consolidado!$B:$B,"&gt;="&amp;Análise!$C$9,Consolidado!$C:$C,IF(ISBLANK($C$3),"&lt;&gt;",$C$3),Consolidado!$AU:$AU,"S")</f>
        <v>0</v>
      </c>
    </row>
    <row r="88" spans="1:31">
      <c r="B88" s="46" t="s">
        <v>482</v>
      </c>
      <c r="C88" s="35">
        <f>COUNTIFS(Consolidado!$Z:$Z,$B88,Consolidado!$AL:$AL,IF(ISBLANK($C$2),"&lt;&gt;",$C$2),Consolidado!$AM:$AM,$C$7,Consolidado!$AN:$AN,Análise!C$55,Consolidado!$C:$C,IF(ISBLANK($C$3),"&lt;&gt;",$C$3),Consolidado!$AU:$AU,"S")</f>
        <v>0</v>
      </c>
      <c r="D88" s="35">
        <f>COUNTIFS(Consolidado!$Z:$Z,$B88,Consolidado!$AL:$AL,IF(ISBLANK($C$2),"&lt;&gt;",$C$2),Consolidado!$AM:$AM,$C$7,Consolidado!$AN:$AN,Análise!D$55,Consolidado!$C:$C,IF(ISBLANK($C$3),"&lt;&gt;",$C$3),Consolidado!$AU:$AU,"S")</f>
        <v>0</v>
      </c>
      <c r="E88" s="35">
        <f>COUNTIFS(Consolidado!$Z:$Z,$B88,Consolidado!$AL:$AL,IF(ISBLANK($C$2),"&lt;&gt;",$C$2),Consolidado!$AM:$AM,$C$7,Consolidado!$AN:$AN,Análise!E$55,Consolidado!$C:$C,IF(ISBLANK($C$3),"&lt;&gt;",$C$3),Consolidado!$AU:$AU,"S")</f>
        <v>0</v>
      </c>
      <c r="F88" s="35">
        <f>COUNTIFS(Consolidado!$Z:$Z,$B88,Consolidado!$AL:$AL,IF(ISBLANK($C$2),"&lt;&gt;",$C$2),Consolidado!$AM:$AM,$C$7,Consolidado!$AN:$AN,Análise!F$55,Consolidado!$C:$C,IF(ISBLANK($C$3),"&lt;&gt;",$C$3),Consolidado!$AU:$AU,"S")</f>
        <v>0</v>
      </c>
      <c r="G88" s="35">
        <f>COUNTIFS(Consolidado!$Z:$Z,$B88,Consolidado!$AL:$AL,IF(ISBLANK($C$2),"&lt;&gt;",$C$2),Consolidado!$AM:$AM,$C$7,Consolidado!$AN:$AN,Análise!G$55,Consolidado!$C:$C,IF(ISBLANK($C$3),"&lt;&gt;",$C$3),Consolidado!$AU:$AU,"S")</f>
        <v>0</v>
      </c>
      <c r="H88" s="43">
        <f t="shared" si="11"/>
        <v>0</v>
      </c>
      <c r="K88" s="201" t="s">
        <v>482</v>
      </c>
      <c r="L88" s="78">
        <f>COUNTIFS(Consolidado!$Z:$Z,$B88,Consolidado!$AL:$AL,IF(ISBLANK($C$2),"&lt;&gt;",$C$2),Consolidado!$B:$B,"&lt;="&amp;Análise!$C$10,Consolidado!$B:$B,"&gt;="&amp;Análise!$C$9,Consolidado!$C:$C,IF(ISBLANK($C$3),"&lt;&gt;",$C$3),Consolidado!$AU:$AU,"S")</f>
        <v>0</v>
      </c>
    </row>
    <row r="89" spans="1:31">
      <c r="B89" s="47" t="s">
        <v>831</v>
      </c>
      <c r="C89" s="38">
        <f>SUM(C86:C88)</f>
        <v>0</v>
      </c>
      <c r="D89" s="38">
        <f t="shared" ref="D89:H89" si="12">SUM(D86:D88)</f>
        <v>163</v>
      </c>
      <c r="E89" s="38">
        <f t="shared" si="12"/>
        <v>2</v>
      </c>
      <c r="F89" s="38">
        <f t="shared" si="12"/>
        <v>0</v>
      </c>
      <c r="G89" s="38">
        <f t="shared" si="12"/>
        <v>0</v>
      </c>
      <c r="H89" s="38">
        <f t="shared" si="12"/>
        <v>165</v>
      </c>
      <c r="K89" s="47" t="s">
        <v>831</v>
      </c>
      <c r="L89" s="38">
        <f>SUM(L86:L88)</f>
        <v>165</v>
      </c>
    </row>
    <row r="91" spans="1:31">
      <c r="B91" s="34" t="s">
        <v>880</v>
      </c>
      <c r="C91" s="45">
        <v>1</v>
      </c>
      <c r="D91" s="45">
        <v>2</v>
      </c>
      <c r="E91" s="45">
        <v>3</v>
      </c>
      <c r="F91" s="45">
        <v>4</v>
      </c>
      <c r="G91" s="45">
        <v>5</v>
      </c>
      <c r="H91" s="45" t="s">
        <v>836</v>
      </c>
      <c r="K91" s="75" t="s">
        <v>880</v>
      </c>
      <c r="L91" s="211" t="s">
        <v>864</v>
      </c>
    </row>
    <row r="92" spans="1:31">
      <c r="B92" s="46" t="s">
        <v>74</v>
      </c>
      <c r="C92" s="35">
        <f>COUNTIFS(Consolidado!$AB:$AB,$B92,Consolidado!$AL:$AL,IF(ISBLANK($C$2),"&lt;&gt;",$C$2),Consolidado!$AM:$AM,$C$7,Consolidado!$AN:$AN,C$91,Consolidado!$C:$C,IF(ISBLANK($C$3),"&lt;&gt;",$C$3),Consolidado!$Z:$Z,"Agendada",Consolidado!$AU:$AU,"S")</f>
        <v>0</v>
      </c>
      <c r="D92" s="35">
        <f>COUNTIFS(Consolidado!$AB:$AB,$B92,Consolidado!$AL:$AL,IF(ISBLANK($C$2),"&lt;&gt;",$C$2),Consolidado!$AM:$AM,$C$7,Consolidado!$AN:$AN,D$91,Consolidado!$C:$C,IF(ISBLANK($C$3),"&lt;&gt;",$C$3),Consolidado!$Z:$Z,"Agendada",Consolidado!$AU:$AU,"S")</f>
        <v>75</v>
      </c>
      <c r="E92" s="35">
        <f>COUNTIFS(Consolidado!$AB:$AB,$B92,Consolidado!$AL:$AL,IF(ISBLANK($C$2),"&lt;&gt;",$C$2),Consolidado!$AM:$AM,$C$7,Consolidado!$AN:$AN,E$91,Consolidado!$C:$C,IF(ISBLANK($C$3),"&lt;&gt;",$C$3),Consolidado!$Z:$Z,"Agendada",Consolidado!$AU:$AU,"S")</f>
        <v>1</v>
      </c>
      <c r="F92" s="35">
        <f>COUNTIFS(Consolidado!$AB:$AB,$B92,Consolidado!$AL:$AL,IF(ISBLANK($C$2),"&lt;&gt;",$C$2),Consolidado!$AM:$AM,$C$7,Consolidado!$AN:$AN,F$91,Consolidado!$C:$C,IF(ISBLANK($C$3),"&lt;&gt;",$C$3),Consolidado!$Z:$Z,"Agendada",Consolidado!$AU:$AU,"S")</f>
        <v>0</v>
      </c>
      <c r="G92" s="35">
        <f>COUNTIFS(Consolidado!$AB:$AB,$B92,Consolidado!$AL:$AL,IF(ISBLANK($C$2),"&lt;&gt;",$C$2),Consolidado!$AM:$AM,$C$7,Consolidado!$AN:$AN,G$91,Consolidado!$C:$C,IF(ISBLANK($C$3),"&lt;&gt;",$C$3),Consolidado!$Z:$Z,"Agendada",Consolidado!$AU:$AU,"S")</f>
        <v>0</v>
      </c>
      <c r="H92" s="43">
        <f t="shared" ref="H92:H97" si="13">SUM(C92:G92)</f>
        <v>76</v>
      </c>
      <c r="K92" s="201" t="s">
        <v>74</v>
      </c>
      <c r="L92" s="78">
        <f>COUNTIFS(Consolidado!$AB:$AB,$B92,Consolidado!$AL:$AL,IF(ISBLANK($C$2),"&lt;&gt;",$C$2),Consolidado!$B:$B,"&lt;="&amp;Análise!$C$10,Consolidado!$B:$B,"&gt;="&amp;Análise!$C$9,Consolidado!$C:$C,IF(ISBLANK($C$3),"&lt;&gt;",$C$3),Consolidado!$Z:$Z,"Agendada",Consolidado!$AU:$AU,"S")</f>
        <v>76</v>
      </c>
    </row>
    <row r="93" spans="1:31">
      <c r="B93" s="47" t="s">
        <v>725</v>
      </c>
      <c r="C93" s="37">
        <f>COUNTIFS(Consolidado!$AB:$AB,$B93,Consolidado!$AL:$AL,IF(ISBLANK($C$2),"&lt;&gt;",$C$2),Consolidado!$AM:$AM,$C$7,Consolidado!$AN:$AN,C$91,Consolidado!$C:$C,IF(ISBLANK($C$3),"&lt;&gt;",$C$3),Consolidado!$Z:$Z,"Agendada",Consolidado!$AU:$AU,"S")</f>
        <v>0</v>
      </c>
      <c r="D93" s="37">
        <f>COUNTIFS(Consolidado!$AB:$AB,$B93,Consolidado!$AL:$AL,IF(ISBLANK($C$2),"&lt;&gt;",$C$2),Consolidado!$AM:$AM,$C$7,Consolidado!$AN:$AN,D$91,Consolidado!$C:$C,IF(ISBLANK($C$3),"&lt;&gt;",$C$3),Consolidado!$Z:$Z,"Agendada",Consolidado!$AU:$AU,"S")</f>
        <v>1</v>
      </c>
      <c r="E93" s="37">
        <f>COUNTIFS(Consolidado!$AB:$AB,$B93,Consolidado!$AL:$AL,IF(ISBLANK($C$2),"&lt;&gt;",$C$2),Consolidado!$AM:$AM,$C$7,Consolidado!$AN:$AN,E$91,Consolidado!$C:$C,IF(ISBLANK($C$3),"&lt;&gt;",$C$3),Consolidado!$Z:$Z,"Agendada",Consolidado!$AU:$AU,"S")</f>
        <v>0</v>
      </c>
      <c r="F93" s="37">
        <f>COUNTIFS(Consolidado!$AB:$AB,$B93,Consolidado!$AL:$AL,IF(ISBLANK($C$2),"&lt;&gt;",$C$2),Consolidado!$AM:$AM,$C$7,Consolidado!$AN:$AN,F$91,Consolidado!$C:$C,IF(ISBLANK($C$3),"&lt;&gt;",$C$3),Consolidado!$Z:$Z,"Agendada",Consolidado!$AU:$AU,"S")</f>
        <v>0</v>
      </c>
      <c r="G93" s="37">
        <f>COUNTIFS(Consolidado!$AB:$AB,$B93,Consolidado!$AL:$AL,IF(ISBLANK($C$2),"&lt;&gt;",$C$2),Consolidado!$AM:$AM,$C$7,Consolidado!$AN:$AN,G$91,Consolidado!$C:$C,IF(ISBLANK($C$3),"&lt;&gt;",$C$3),Consolidado!$Z:$Z,"Agendada",Consolidado!$AU:$AU,"S")</f>
        <v>0</v>
      </c>
      <c r="H93" s="38">
        <f t="shared" si="13"/>
        <v>1</v>
      </c>
      <c r="K93" s="47" t="s">
        <v>725</v>
      </c>
      <c r="L93" s="37">
        <f>COUNTIFS(Consolidado!$AB:$AB,$B93,Consolidado!$AL:$AL,IF(ISBLANK($C$2),"&lt;&gt;",$C$2),Consolidado!$B:$B,"&lt;="&amp;Análise!$C$10,Consolidado!$B:$B,"&gt;="&amp;Análise!$C$9,Consolidado!$C:$C,IF(ISBLANK($C$3),"&lt;&gt;",$C$3),Consolidado!$Z:$Z,"Agendada",Consolidado!$AU:$AU,"S")</f>
        <v>1</v>
      </c>
    </row>
    <row r="94" spans="1:31">
      <c r="B94" s="46" t="s">
        <v>881</v>
      </c>
      <c r="C94" s="35">
        <f>COUNTIFS(Consolidado!$AB:$AB,$B94,Consolidado!$AL:$AL,IF(ISBLANK($C$2),"&lt;&gt;",$C$2),Consolidado!$AM:$AM,$C$7,Consolidado!$AN:$AN,C$91,Consolidado!$C:$C,IF(ISBLANK($C$3),"&lt;&gt;",$C$3),Consolidado!$Z:$Z,"Agendada",Consolidado!$AU:$AU,"S")</f>
        <v>0</v>
      </c>
      <c r="D94" s="35">
        <f>COUNTIFS(Consolidado!$AB:$AB,$B94,Consolidado!$AL:$AL,IF(ISBLANK($C$2),"&lt;&gt;",$C$2),Consolidado!$AM:$AM,$C$7,Consolidado!$AN:$AN,D$91,Consolidado!$C:$C,IF(ISBLANK($C$3),"&lt;&gt;",$C$3),Consolidado!$Z:$Z,"Agendada",Consolidado!$AU:$AU,"S")</f>
        <v>0</v>
      </c>
      <c r="E94" s="35">
        <f>COUNTIFS(Consolidado!$AB:$AB,$B94,Consolidado!$AL:$AL,IF(ISBLANK($C$2),"&lt;&gt;",$C$2),Consolidado!$AM:$AM,$C$7,Consolidado!$AN:$AN,E$91,Consolidado!$C:$C,IF(ISBLANK($C$3),"&lt;&gt;",$C$3),Consolidado!$Z:$Z,"Agendada",Consolidado!$AU:$AU,"S")</f>
        <v>0</v>
      </c>
      <c r="F94" s="35">
        <f>COUNTIFS(Consolidado!$AB:$AB,$B94,Consolidado!$AL:$AL,IF(ISBLANK($C$2),"&lt;&gt;",$C$2),Consolidado!$AM:$AM,$C$7,Consolidado!$AN:$AN,F$91,Consolidado!$C:$C,IF(ISBLANK($C$3),"&lt;&gt;",$C$3),Consolidado!$Z:$Z,"Agendada",Consolidado!$AU:$AU,"S")</f>
        <v>0</v>
      </c>
      <c r="G94" s="35">
        <f>COUNTIFS(Consolidado!$AB:$AB,$B94,Consolidado!$AL:$AL,IF(ISBLANK($C$2),"&lt;&gt;",$C$2),Consolidado!$AM:$AM,$C$7,Consolidado!$AN:$AN,G$91,Consolidado!$C:$C,IF(ISBLANK($C$3),"&lt;&gt;",$C$3),Consolidado!$Z:$Z,"Agendada",Consolidado!$AU:$AU,"S")</f>
        <v>0</v>
      </c>
      <c r="H94" s="43">
        <f t="shared" si="13"/>
        <v>0</v>
      </c>
      <c r="K94" s="201" t="s">
        <v>881</v>
      </c>
      <c r="L94" s="78">
        <f>COUNTIFS(Consolidado!$AB:$AB,$B94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5" spans="1:31">
      <c r="B95" s="47" t="s">
        <v>105</v>
      </c>
      <c r="C95" s="37">
        <f>COUNTIFS(Consolidado!$AB:$AB,$B95,Consolidado!$AL:$AL,IF(ISBLANK($C$2),"&lt;&gt;",$C$2),Consolidado!$AM:$AM,$C$7,Consolidado!$AN:$AN,C$91,Consolidado!$C:$C,IF(ISBLANK($C$3),"&lt;&gt;",$C$3),Consolidado!$Z:$Z,"Agendada",Consolidado!$AU:$AU,"S")</f>
        <v>0</v>
      </c>
      <c r="D95" s="37">
        <f>COUNTIFS(Consolidado!$AB:$AB,$B95,Consolidado!$AL:$AL,IF(ISBLANK($C$2),"&lt;&gt;",$C$2),Consolidado!$AM:$AM,$C$7,Consolidado!$AN:$AN,D$91,Consolidado!$C:$C,IF(ISBLANK($C$3),"&lt;&gt;",$C$3),Consolidado!$Z:$Z,"Agendada",Consolidado!$AU:$AU,"S")</f>
        <v>37</v>
      </c>
      <c r="E95" s="37">
        <f>COUNTIFS(Consolidado!$AB:$AB,$B95,Consolidado!$AL:$AL,IF(ISBLANK($C$2),"&lt;&gt;",$C$2),Consolidado!$AM:$AM,$C$7,Consolidado!$AN:$AN,E$91,Consolidado!$C:$C,IF(ISBLANK($C$3),"&lt;&gt;",$C$3),Consolidado!$Z:$Z,"Agendada",Consolidado!$AU:$AU,"S")</f>
        <v>0</v>
      </c>
      <c r="F95" s="37">
        <f>COUNTIFS(Consolidado!$AB:$AB,$B95,Consolidado!$AL:$AL,IF(ISBLANK($C$2),"&lt;&gt;",$C$2),Consolidado!$AM:$AM,$C$7,Consolidado!$AN:$AN,F$91,Consolidado!$C:$C,IF(ISBLANK($C$3),"&lt;&gt;",$C$3),Consolidado!$Z:$Z,"Agendada",Consolidado!$AU:$AU,"S")</f>
        <v>0</v>
      </c>
      <c r="G95" s="37">
        <f>COUNTIFS(Consolidado!$AB:$AB,$B95,Consolidado!$AL:$AL,IF(ISBLANK($C$2),"&lt;&gt;",$C$2),Consolidado!$AM:$AM,$C$7,Consolidado!$AN:$AN,G$91,Consolidado!$C:$C,IF(ISBLANK($C$3),"&lt;&gt;",$C$3),Consolidado!$Z:$Z,"Agendada",Consolidado!$AU:$AU,"S")</f>
        <v>0</v>
      </c>
      <c r="H95" s="38">
        <f t="shared" si="13"/>
        <v>37</v>
      </c>
      <c r="K95" s="47" t="s">
        <v>105</v>
      </c>
      <c r="L95" s="37">
        <f>COUNTIFS(Consolidado!$AB:$AB,$B95,Consolidado!$AL:$AL,IF(ISBLANK($C$2),"&lt;&gt;",$C$2),Consolidado!$B:$B,"&lt;="&amp;Análise!$C$10,Consolidado!$B:$B,"&gt;="&amp;Análise!$C$9,Consolidado!$C:$C,IF(ISBLANK($C$3),"&lt;&gt;",$C$3),Consolidado!$Z:$Z,"Agendada",Consolidado!$AU:$AU,"S")</f>
        <v>37</v>
      </c>
    </row>
    <row r="96" spans="1:31">
      <c r="B96" s="46" t="s">
        <v>482</v>
      </c>
      <c r="C96" s="35">
        <f>COUNTIFS(Consolidado!$AB:$AB,$B96,Consolidado!$AL:$AL,IF(ISBLANK($C$2),"&lt;&gt;",$C$2),Consolidado!$AM:$AM,$C$7,Consolidado!$AN:$AN,C$91,Consolidado!$C:$C,IF(ISBLANK($C$3),"&lt;&gt;",$C$3),Consolidado!$Z:$Z,"Agendada",Consolidado!$AU:$AU,"S")</f>
        <v>0</v>
      </c>
      <c r="D96" s="35">
        <f>COUNTIFS(Consolidado!$AB:$AB,$B96,Consolidado!$AL:$AL,IF(ISBLANK($C$2),"&lt;&gt;",$C$2),Consolidado!$AM:$AM,$C$7,Consolidado!$AN:$AN,D$91,Consolidado!$C:$C,IF(ISBLANK($C$3),"&lt;&gt;",$C$3),Consolidado!$Z:$Z,"Agendada",Consolidado!$AU:$AU,"S")</f>
        <v>1</v>
      </c>
      <c r="E96" s="35">
        <f>COUNTIFS(Consolidado!$AB:$AB,$B96,Consolidado!$AL:$AL,IF(ISBLANK($C$2),"&lt;&gt;",$C$2),Consolidado!$AM:$AM,$C$7,Consolidado!$AN:$AN,E$91,Consolidado!$C:$C,IF(ISBLANK($C$3),"&lt;&gt;",$C$3),Consolidado!$Z:$Z,"Agendada",Consolidado!$AU:$AU,"S")</f>
        <v>0</v>
      </c>
      <c r="F96" s="35">
        <f>COUNTIFS(Consolidado!$AB:$AB,$B96,Consolidado!$AL:$AL,IF(ISBLANK($C$2),"&lt;&gt;",$C$2),Consolidado!$AM:$AM,$C$7,Consolidado!$AN:$AN,F$91,Consolidado!$C:$C,IF(ISBLANK($C$3),"&lt;&gt;",$C$3),Consolidado!$Z:$Z,"Agendada",Consolidado!$AU:$AU,"S")</f>
        <v>0</v>
      </c>
      <c r="G96" s="35">
        <f>COUNTIFS(Consolidado!$AB:$AB,$B96,Consolidado!$AL:$AL,IF(ISBLANK($C$2),"&lt;&gt;",$C$2),Consolidado!$AM:$AM,$C$7,Consolidado!$AN:$AN,G$91,Consolidado!$C:$C,IF(ISBLANK($C$3),"&lt;&gt;",$C$3),Consolidado!$Z:$Z,"Agendada",Consolidado!$AU:$AU,"S")</f>
        <v>0</v>
      </c>
      <c r="H96" s="43">
        <f t="shared" si="13"/>
        <v>1</v>
      </c>
      <c r="K96" s="201" t="s">
        <v>482</v>
      </c>
      <c r="L96" s="78">
        <f>COUNTIFS(Consolidado!$AB:$AB,$B96,Consolidado!$AL:$AL,IF(ISBLANK($C$2),"&lt;&gt;",$C$2),Consolidado!$B:$B,"&lt;="&amp;Análise!$C$10,Consolidado!$B:$B,"&gt;="&amp;Análise!$C$9,Consolidado!$C:$C,IF(ISBLANK($C$3),"&lt;&gt;",$C$3),Consolidado!$Z:$Z,"Agendada",Consolidado!$AU:$AU,"S")</f>
        <v>1</v>
      </c>
    </row>
    <row r="97" spans="1:31">
      <c r="B97" s="47" t="s">
        <v>882</v>
      </c>
      <c r="C97" s="37">
        <f>COUNTIFS(Consolidado!$AB:$AB,$B97,Consolidado!$AL:$AL,IF(ISBLANK($C$2),"&lt;&gt;",$C$2),Consolidado!$AM:$AM,$C$7,Consolidado!$AN:$AN,C$91,Consolidado!$C:$C,IF(ISBLANK($C$3),"&lt;&gt;",$C$3),Consolidado!$Z:$Z,"Agendada",Consolidado!$AU:$AU,"S")</f>
        <v>0</v>
      </c>
      <c r="D97" s="37">
        <f>COUNTIFS(Consolidado!$AB:$AB,$B97,Consolidado!$AL:$AL,IF(ISBLANK($C$2),"&lt;&gt;",$C$2),Consolidado!$AM:$AM,$C$7,Consolidado!$AN:$AN,D$91,Consolidado!$C:$C,IF(ISBLANK($C$3),"&lt;&gt;",$C$3),Consolidado!$Z:$Z,"Agendada",Consolidado!$AU:$AU,"S")</f>
        <v>0</v>
      </c>
      <c r="E97" s="37">
        <f>COUNTIFS(Consolidado!$AB:$AB,$B97,Consolidado!$AL:$AL,IF(ISBLANK($C$2),"&lt;&gt;",$C$2),Consolidado!$AM:$AM,$C$7,Consolidado!$AN:$AN,E$91,Consolidado!$C:$C,IF(ISBLANK($C$3),"&lt;&gt;",$C$3),Consolidado!$Z:$Z,"Agendada",Consolidado!$AU:$AU,"S")</f>
        <v>0</v>
      </c>
      <c r="F97" s="37">
        <f>COUNTIFS(Consolidado!$AB:$AB,$B97,Consolidado!$AL:$AL,IF(ISBLANK($C$2),"&lt;&gt;",$C$2),Consolidado!$AM:$AM,$C$7,Consolidado!$AN:$AN,F$91,Consolidado!$C:$C,IF(ISBLANK($C$3),"&lt;&gt;",$C$3),Consolidado!$Z:$Z,"Agendada",Consolidado!$AU:$AU,"S")</f>
        <v>0</v>
      </c>
      <c r="G97" s="37">
        <f>COUNTIFS(Consolidado!$AB:$AB,$B97,Consolidado!$AL:$AL,IF(ISBLANK($C$2),"&lt;&gt;",$C$2),Consolidado!$AM:$AM,$C$7,Consolidado!$AN:$AN,G$91,Consolidado!$C:$C,IF(ISBLANK($C$3),"&lt;&gt;",$C$3),Consolidado!$Z:$Z,"Agendada",Consolidado!$AU:$AU,"S")</f>
        <v>0</v>
      </c>
      <c r="H97" s="38">
        <f t="shared" si="13"/>
        <v>0</v>
      </c>
      <c r="K97" s="47" t="s">
        <v>882</v>
      </c>
      <c r="L97" s="37">
        <f>COUNTIFS(Consolidado!$AB:$AB,$B97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8" spans="1:31">
      <c r="B98" s="46" t="s">
        <v>831</v>
      </c>
      <c r="C98" s="43">
        <f t="shared" ref="C98:H98" si="14">SUM(C92:C97)</f>
        <v>0</v>
      </c>
      <c r="D98" s="43">
        <f t="shared" si="14"/>
        <v>114</v>
      </c>
      <c r="E98" s="43">
        <f t="shared" si="14"/>
        <v>1</v>
      </c>
      <c r="F98" s="43">
        <f t="shared" si="14"/>
        <v>0</v>
      </c>
      <c r="G98" s="43">
        <f t="shared" si="14"/>
        <v>0</v>
      </c>
      <c r="H98" s="43">
        <f t="shared" si="14"/>
        <v>115</v>
      </c>
      <c r="K98" s="201" t="s">
        <v>831</v>
      </c>
      <c r="L98" s="202">
        <f>SUM(L92:L97)</f>
        <v>115</v>
      </c>
    </row>
    <row r="100" spans="1:31" s="216" customFormat="1">
      <c r="A100" s="214"/>
      <c r="B100" s="215" t="s">
        <v>883</v>
      </c>
      <c r="C100" s="214"/>
      <c r="D100" s="214"/>
      <c r="E100" s="214"/>
      <c r="F100" s="214"/>
      <c r="G100" s="214"/>
      <c r="H100" s="214"/>
      <c r="I100" s="214"/>
      <c r="J100" s="214"/>
      <c r="K100" s="214"/>
      <c r="L100" s="214"/>
      <c r="M100" s="214"/>
      <c r="N100" s="214"/>
      <c r="O100" s="214"/>
      <c r="P100" s="214"/>
      <c r="Q100" s="214"/>
      <c r="R100" s="214"/>
      <c r="S100" s="214"/>
      <c r="T100" s="214"/>
      <c r="U100" s="214"/>
      <c r="V100" s="214"/>
      <c r="W100" s="214"/>
      <c r="X100" s="214"/>
      <c r="Y100" s="214"/>
      <c r="Z100" s="214"/>
      <c r="AA100" s="214"/>
      <c r="AB100" s="214"/>
      <c r="AC100" s="214"/>
      <c r="AD100" s="214"/>
      <c r="AE100" s="214"/>
    </row>
    <row r="101" spans="1:31">
      <c r="E101" s="39"/>
      <c r="F101" s="39"/>
    </row>
    <row r="102" spans="1:31">
      <c r="B102" s="230" t="s">
        <v>3</v>
      </c>
      <c r="C102" s="173" t="s">
        <v>39</v>
      </c>
      <c r="D102" s="173"/>
      <c r="E102" s="173"/>
      <c r="F102" s="173"/>
      <c r="G102" s="173"/>
      <c r="H102" s="173"/>
      <c r="K102" s="231" t="s">
        <v>3</v>
      </c>
      <c r="L102" s="232" t="s">
        <v>864</v>
      </c>
    </row>
    <row r="103" spans="1:31">
      <c r="B103" s="230"/>
      <c r="C103" s="36">
        <v>1</v>
      </c>
      <c r="D103" s="36">
        <v>2</v>
      </c>
      <c r="E103" s="36">
        <v>3</v>
      </c>
      <c r="F103" s="36">
        <v>4</v>
      </c>
      <c r="G103" s="36">
        <v>5</v>
      </c>
      <c r="H103" s="36" t="s">
        <v>831</v>
      </c>
      <c r="K103" s="231"/>
      <c r="L103" s="233"/>
    </row>
    <row r="104" spans="1:31">
      <c r="B104" s="46" t="s">
        <v>49</v>
      </c>
      <c r="C104" s="35">
        <f>COUNTIFS(Consolidado!$D:$D,$B104,Consolidado!$AL:$AL,IF(ISBLANK($C$2),"&lt;&gt;",$C$2),Consolidado!$AM:$AM,$C$7,Consolidado!$AN:$AN,C$103,Consolidado!$C:$C,IF(ISBLANK($C$3),"&lt;&gt;",$C$3),Consolidado!$AU:$AU,"S")</f>
        <v>0</v>
      </c>
      <c r="D104" s="35">
        <f>COUNTIFS(Consolidado!$D:$D,$B104,Consolidado!$AL:$AL,IF(ISBLANK($C$2),"&lt;&gt;",$C$2),Consolidado!$AM:$AM,$C$7,Consolidado!$AN:$AN,D$103,Consolidado!$C:$C,IF(ISBLANK($C$3),"&lt;&gt;",$C$3),Consolidado!$AU:$AU,"S")</f>
        <v>255</v>
      </c>
      <c r="E104" s="35">
        <f>COUNTIFS(Consolidado!$D:$D,$B104,Consolidado!$AL:$AL,IF(ISBLANK($C$2),"&lt;&gt;",$C$2),Consolidado!$AM:$AM,$C$7,Consolidado!$AN:$AN,E$103,Consolidado!$C:$C,IF(ISBLANK($C$3),"&lt;&gt;",$C$3),Consolidado!$AU:$AU,"S")</f>
        <v>3</v>
      </c>
      <c r="F104" s="35">
        <f>COUNTIFS(Consolidado!$D:$D,$B104,Consolidado!$AL:$AL,IF(ISBLANK($C$2),"&lt;&gt;",$C$2),Consolidado!$AM:$AM,$C$7,Consolidado!$AN:$AN,F$103,Consolidado!$C:$C,IF(ISBLANK($C$3),"&lt;&gt;",$C$3),Consolidado!$AU:$AU,"S")</f>
        <v>0</v>
      </c>
      <c r="G104" s="35">
        <f>COUNTIFS(Consolidado!$D:$D,$B104,Consolidado!$AL:$AL,IF(ISBLANK($C$2),"&lt;&gt;",$C$2),Consolidado!$AM:$AM,$C$7,Consolidado!$AN:$AN,G$103,Consolidado!$C:$C,IF(ISBLANK($C$3),"&lt;&gt;",$C$3),Consolidado!$AU:$AU,"S")</f>
        <v>0</v>
      </c>
      <c r="H104" s="43">
        <f>SUM(C104:G104)</f>
        <v>258</v>
      </c>
      <c r="K104" s="201" t="s">
        <v>49</v>
      </c>
      <c r="L104" s="78">
        <f>COUNTIFS(Consolidado!$D:$D,$K104,Consolidado!$AL:$AL,IF(ISBLANK($C$2),"&lt;&gt;",$C$2),Consolidado!$B:$B,"&lt;="&amp;Análise!$C$10,Consolidado!$B:$B,"&gt;="&amp;Análise!$C$9,Consolidado!$C:$C,IF(ISBLANK($C$3),"&lt;&gt;",$C$3),Consolidado!$AU:$AU,"S")</f>
        <v>258</v>
      </c>
    </row>
    <row r="105" spans="1:31">
      <c r="B105" s="47" t="s">
        <v>884</v>
      </c>
      <c r="C105" s="37">
        <f>COUNTIFS(Consolidado!$D:$D,$B105,Consolidado!$AL:$AL,IF(ISBLANK($C$2),"&lt;&gt;",$C$2),Consolidado!$AM:$AM,$C$7,Consolidado!$AN:$AN,C$103,Consolidado!$C:$C,IF(ISBLANK($C$3),"&lt;&gt;",$C$3),Consolidado!$AU:$AU,"S")</f>
        <v>0</v>
      </c>
      <c r="D105" s="37">
        <f>COUNTIFS(Consolidado!$D:$D,$B105,Consolidado!$AL:$AL,IF(ISBLANK($C$2),"&lt;&gt;",$C$2),Consolidado!$AM:$AM,$C$7,Consolidado!$AN:$AN,D$103,Consolidado!$C:$C,IF(ISBLANK($C$3),"&lt;&gt;",$C$3),Consolidado!$AU:$AU,"S")</f>
        <v>0</v>
      </c>
      <c r="E105" s="37">
        <f>COUNTIFS(Consolidado!$D:$D,$B105,Consolidado!$AL:$AL,IF(ISBLANK($C$2),"&lt;&gt;",$C$2),Consolidado!$AM:$AM,$C$7,Consolidado!$AN:$AN,E$103,Consolidado!$C:$C,IF(ISBLANK($C$3),"&lt;&gt;",$C$3),Consolidado!$AU:$AU,"S")</f>
        <v>0</v>
      </c>
      <c r="F105" s="37">
        <f>COUNTIFS(Consolidado!$D:$D,$B105,Consolidado!$AL:$AL,IF(ISBLANK($C$2),"&lt;&gt;",$C$2),Consolidado!$AM:$AM,$C$7,Consolidado!$AN:$AN,F$103,Consolidado!$C:$C,IF(ISBLANK($C$3),"&lt;&gt;",$C$3),Consolidado!$AU:$AU,"S")</f>
        <v>0</v>
      </c>
      <c r="G105" s="37">
        <f>COUNTIFS(Consolidado!$D:$D,$B105,Consolidado!$AL:$AL,IF(ISBLANK($C$2),"&lt;&gt;",$C$2),Consolidado!$AM:$AM,$C$7,Consolidado!$AN:$AN,G$103,Consolidado!$C:$C,IF(ISBLANK($C$3),"&lt;&gt;",$C$3),Consolidado!$AU:$AU,"S")</f>
        <v>0</v>
      </c>
      <c r="H105" s="38">
        <f t="shared" ref="H105:H111" si="15">SUM(C105:G105)</f>
        <v>0</v>
      </c>
      <c r="K105" s="47" t="s">
        <v>884</v>
      </c>
      <c r="L105" s="37">
        <f>COUNTIFS(Consolidado!$D:$D,$K105,Consolidado!$AL:$AL,IF(ISBLANK($C$2),"&lt;&gt;",$C$2),Consolidado!$B:$B,"&lt;="&amp;Análise!$C$10,Consolidado!$B:$B,"&gt;="&amp;Análise!$C$9,Consolidado!$C:$C,IF(ISBLANK($C$3),"&lt;&gt;",$C$3),Consolidado!$AU:$AU,"S")</f>
        <v>0</v>
      </c>
    </row>
    <row r="106" spans="1:31">
      <c r="B106" s="46" t="s">
        <v>885</v>
      </c>
      <c r="C106" s="35">
        <f>COUNTIFS(Consolidado!$D:$D,$B106,Consolidado!$AL:$AL,IF(ISBLANK($C$2),"&lt;&gt;",$C$2),Consolidado!$AM:$AM,$C$7,Consolidado!$AN:$AN,C$103,Consolidado!$C:$C,IF(ISBLANK($C$3),"&lt;&gt;",$C$3),Consolidado!$AU:$AU,"S")</f>
        <v>0</v>
      </c>
      <c r="D106" s="35">
        <f>COUNTIFS(Consolidado!$D:$D,$B106,Consolidado!$AL:$AL,IF(ISBLANK($C$2),"&lt;&gt;",$C$2),Consolidado!$AM:$AM,$C$7,Consolidado!$AN:$AN,D$103,Consolidado!$C:$C,IF(ISBLANK($C$3),"&lt;&gt;",$C$3),Consolidado!$AU:$AU,"S")</f>
        <v>0</v>
      </c>
      <c r="E106" s="35">
        <f>COUNTIFS(Consolidado!$D:$D,$B106,Consolidado!$AL:$AL,IF(ISBLANK($C$2),"&lt;&gt;",$C$2),Consolidado!$AM:$AM,$C$7,Consolidado!$AN:$AN,E$103,Consolidado!$C:$C,IF(ISBLANK($C$3),"&lt;&gt;",$C$3),Consolidado!$AU:$AU,"S")</f>
        <v>0</v>
      </c>
      <c r="F106" s="35">
        <f>COUNTIFS(Consolidado!$D:$D,$B106,Consolidado!$AL:$AL,IF(ISBLANK($C$2),"&lt;&gt;",$C$2),Consolidado!$AM:$AM,$C$7,Consolidado!$AN:$AN,F$103,Consolidado!$C:$C,IF(ISBLANK($C$3),"&lt;&gt;",$C$3),Consolidado!$AU:$AU,"S")</f>
        <v>0</v>
      </c>
      <c r="G106" s="35">
        <f>COUNTIFS(Consolidado!$D:$D,$B106,Consolidado!$AL:$AL,IF(ISBLANK($C$2),"&lt;&gt;",$C$2),Consolidado!$AM:$AM,$C$7,Consolidado!$AN:$AN,G$103,Consolidado!$C:$C,IF(ISBLANK($C$3),"&lt;&gt;",$C$3),Consolidado!$AU:$AU,"S")</f>
        <v>0</v>
      </c>
      <c r="H106" s="43">
        <f t="shared" si="15"/>
        <v>0</v>
      </c>
      <c r="K106" s="201" t="s">
        <v>885</v>
      </c>
      <c r="L106" s="78">
        <f>COUNTIFS(Consolidado!$D:$D,$K106,Consolidado!$AL:$AL,IF(ISBLANK($C$2),"&lt;&gt;",$C$2),Consolidado!$B:$B,"&lt;="&amp;Análise!$C$10,Consolidado!$B:$B,"&gt;="&amp;Análise!$C$9,Consolidado!$C:$C,IF(ISBLANK($C$3),"&lt;&gt;",$C$3),Consolidado!$AU:$AU,"S")</f>
        <v>0</v>
      </c>
    </row>
    <row r="107" spans="1:31">
      <c r="B107" s="47" t="s">
        <v>886</v>
      </c>
      <c r="C107" s="37">
        <f>COUNTIFS(Consolidado!$D:$D,$B107,Consolidado!$AL:$AL,IF(ISBLANK($C$2),"&lt;&gt;",$C$2),Consolidado!$AM:$AM,$C$7,Consolidado!$AN:$AN,C$103,Consolidado!$C:$C,IF(ISBLANK($C$3),"&lt;&gt;",$C$3),Consolidado!$AU:$AU,"S")</f>
        <v>0</v>
      </c>
      <c r="D107" s="37">
        <f>COUNTIFS(Consolidado!$D:$D,$B107,Consolidado!$AL:$AL,IF(ISBLANK($C$2),"&lt;&gt;",$C$2),Consolidado!$AM:$AM,$C$7,Consolidado!$AN:$AN,D$103,Consolidado!$C:$C,IF(ISBLANK($C$3),"&lt;&gt;",$C$3),Consolidado!$AU:$AU,"S")</f>
        <v>0</v>
      </c>
      <c r="E107" s="37">
        <f>COUNTIFS(Consolidado!$D:$D,$B107,Consolidado!$AL:$AL,IF(ISBLANK($C$2),"&lt;&gt;",$C$2),Consolidado!$AM:$AM,$C$7,Consolidado!$AN:$AN,E$103,Consolidado!$C:$C,IF(ISBLANK($C$3),"&lt;&gt;",$C$3),Consolidado!$AU:$AU,"S")</f>
        <v>0</v>
      </c>
      <c r="F107" s="37">
        <f>COUNTIFS(Consolidado!$D:$D,$B107,Consolidado!$AL:$AL,IF(ISBLANK($C$2),"&lt;&gt;",$C$2),Consolidado!$AM:$AM,$C$7,Consolidado!$AN:$AN,F$103,Consolidado!$C:$C,IF(ISBLANK($C$3),"&lt;&gt;",$C$3),Consolidado!$AU:$AU,"S")</f>
        <v>0</v>
      </c>
      <c r="G107" s="37">
        <f>COUNTIFS(Consolidado!$D:$D,$B107,Consolidado!$AL:$AL,IF(ISBLANK($C$2),"&lt;&gt;",$C$2),Consolidado!$AM:$AM,$C$7,Consolidado!$AN:$AN,G$103,Consolidado!$C:$C,IF(ISBLANK($C$3),"&lt;&gt;",$C$3),Consolidado!$AU:$AU,"S")</f>
        <v>0</v>
      </c>
      <c r="H107" s="38">
        <f t="shared" si="15"/>
        <v>0</v>
      </c>
      <c r="K107" s="47" t="s">
        <v>886</v>
      </c>
      <c r="L107" s="37">
        <f>COUNTIFS(Consolidado!$D:$D,$K107,Consolidado!$AL:$AL,IF(ISBLANK($C$2),"&lt;&gt;",$C$2),Consolidado!$B:$B,"&lt;="&amp;Análise!$C$10,Consolidado!$B:$B,"&gt;="&amp;Análise!$C$9,Consolidado!$C:$C,IF(ISBLANK($C$3),"&lt;&gt;",$C$3),Consolidado!$AU:$AU,"S")</f>
        <v>0</v>
      </c>
    </row>
    <row r="108" spans="1:31">
      <c r="B108" s="46" t="s">
        <v>887</v>
      </c>
      <c r="C108" s="35">
        <f>COUNTIFS(Consolidado!$D:$D,$B108,Consolidado!$AL:$AL,IF(ISBLANK($C$2),"&lt;&gt;",$C$2),Consolidado!$AM:$AM,$C$7,Consolidado!$AN:$AN,C$103,Consolidado!$C:$C,IF(ISBLANK($C$3),"&lt;&gt;",$C$3),Consolidado!$AU:$AU,"S")</f>
        <v>0</v>
      </c>
      <c r="D108" s="35">
        <f>COUNTIFS(Consolidado!$D:$D,$B108,Consolidado!$AL:$AL,IF(ISBLANK($C$2),"&lt;&gt;",$C$2),Consolidado!$AM:$AM,$C$7,Consolidado!$AN:$AN,D$103,Consolidado!$C:$C,IF(ISBLANK($C$3),"&lt;&gt;",$C$3),Consolidado!$AU:$AU,"S")</f>
        <v>0</v>
      </c>
      <c r="E108" s="35">
        <f>COUNTIFS(Consolidado!$D:$D,$B108,Consolidado!$AL:$AL,IF(ISBLANK($C$2),"&lt;&gt;",$C$2),Consolidado!$AM:$AM,$C$7,Consolidado!$AN:$AN,E$103,Consolidado!$C:$C,IF(ISBLANK($C$3),"&lt;&gt;",$C$3),Consolidado!$AU:$AU,"S")</f>
        <v>0</v>
      </c>
      <c r="F108" s="35">
        <f>COUNTIFS(Consolidado!$D:$D,$B108,Consolidado!$AL:$AL,IF(ISBLANK($C$2),"&lt;&gt;",$C$2),Consolidado!$AM:$AM,$C$7,Consolidado!$AN:$AN,F$103,Consolidado!$C:$C,IF(ISBLANK($C$3),"&lt;&gt;",$C$3),Consolidado!$AU:$AU,"S")</f>
        <v>0</v>
      </c>
      <c r="G108" s="35">
        <f>COUNTIFS(Consolidado!$D:$D,$B108,Consolidado!$AL:$AL,IF(ISBLANK($C$2),"&lt;&gt;",$C$2),Consolidado!$AM:$AM,$C$7,Consolidado!$AN:$AN,G$103,Consolidado!$C:$C,IF(ISBLANK($C$3),"&lt;&gt;",$C$3),Consolidado!$AU:$AU,"S")</f>
        <v>0</v>
      </c>
      <c r="H108" s="43">
        <f t="shared" si="15"/>
        <v>0</v>
      </c>
      <c r="K108" s="201" t="s">
        <v>887</v>
      </c>
      <c r="L108" s="78">
        <f>COUNTIFS(Consolidado!$D:$D,$K108,Consolidado!$AL:$AL,IF(ISBLANK($C$2),"&lt;&gt;",$C$2),Consolidado!$B:$B,"&lt;="&amp;Análise!$C$10,Consolidado!$B:$B,"&gt;="&amp;Análise!$C$9,Consolidado!$C:$C,IF(ISBLANK($C$3),"&lt;&gt;",$C$3),Consolidado!$AU:$AU,"S")</f>
        <v>0</v>
      </c>
    </row>
    <row r="109" spans="1:31">
      <c r="B109" s="47" t="s">
        <v>888</v>
      </c>
      <c r="C109" s="37">
        <f>COUNTIFS(Consolidado!$D:$D,$B109,Consolidado!$AL:$AL,IF(ISBLANK($C$2),"&lt;&gt;",$C$2),Consolidado!$AM:$AM,$C$7,Consolidado!$AN:$AN,C$103,Consolidado!$C:$C,IF(ISBLANK($C$3),"&lt;&gt;",$C$3),Consolidado!$AU:$AU,"S")</f>
        <v>0</v>
      </c>
      <c r="D109" s="37">
        <f>COUNTIFS(Consolidado!$D:$D,$B109,Consolidado!$AL:$AL,IF(ISBLANK($C$2),"&lt;&gt;",$C$2),Consolidado!$AM:$AM,$C$7,Consolidado!$AN:$AN,D$103,Consolidado!$C:$C,IF(ISBLANK($C$3),"&lt;&gt;",$C$3),Consolidado!$AU:$AU,"S")</f>
        <v>0</v>
      </c>
      <c r="E109" s="37">
        <f>COUNTIFS(Consolidado!$D:$D,$B109,Consolidado!$AL:$AL,IF(ISBLANK($C$2),"&lt;&gt;",$C$2),Consolidado!$AM:$AM,$C$7,Consolidado!$AN:$AN,E$103,Consolidado!$C:$C,IF(ISBLANK($C$3),"&lt;&gt;",$C$3),Consolidado!$AU:$AU,"S")</f>
        <v>0</v>
      </c>
      <c r="F109" s="37">
        <f>COUNTIFS(Consolidado!$D:$D,$B109,Consolidado!$AL:$AL,IF(ISBLANK($C$2),"&lt;&gt;",$C$2),Consolidado!$AM:$AM,$C$7,Consolidado!$AN:$AN,F$103,Consolidado!$C:$C,IF(ISBLANK($C$3),"&lt;&gt;",$C$3),Consolidado!$AU:$AU,"S")</f>
        <v>0</v>
      </c>
      <c r="G109" s="37">
        <f>COUNTIFS(Consolidado!$D:$D,$B109,Consolidado!$AL:$AL,IF(ISBLANK($C$2),"&lt;&gt;",$C$2),Consolidado!$AM:$AM,$C$7,Consolidado!$AN:$AN,G$103,Consolidado!$C:$C,IF(ISBLANK($C$3),"&lt;&gt;",$C$3),Consolidado!$AU:$AU,"S")</f>
        <v>0</v>
      </c>
      <c r="H109" s="38">
        <f t="shared" si="15"/>
        <v>0</v>
      </c>
      <c r="K109" s="47" t="s">
        <v>888</v>
      </c>
      <c r="L109" s="37">
        <f>COUNTIFS(Consolidado!$D:$D,$K109,Consolidado!$AL:$AL,IF(ISBLANK($C$2),"&lt;&gt;",$C$2),Consolidado!$B:$B,"&lt;="&amp;Análise!$C$10,Consolidado!$B:$B,"&gt;="&amp;Análise!$C$9,Consolidado!$C:$C,IF(ISBLANK($C$3),"&lt;&gt;",$C$3),Consolidado!$AU:$AU,"S")</f>
        <v>0</v>
      </c>
    </row>
    <row r="110" spans="1:31">
      <c r="B110" s="46" t="s">
        <v>889</v>
      </c>
      <c r="C110" s="35">
        <f>COUNTIFS(Consolidado!$D:$D,$B110,Consolidado!$AL:$AL,IF(ISBLANK($C$2),"&lt;&gt;",$C$2),Consolidado!$AM:$AM,$C$7,Consolidado!$AN:$AN,C$103,Consolidado!$C:$C,IF(ISBLANK($C$3),"&lt;&gt;",$C$3),Consolidado!$AU:$AU,"S")</f>
        <v>0</v>
      </c>
      <c r="D110" s="35">
        <f>COUNTIFS(Consolidado!$D:$D,$B110,Consolidado!$AL:$AL,IF(ISBLANK($C$2),"&lt;&gt;",$C$2),Consolidado!$AM:$AM,$C$7,Consolidado!$AN:$AN,D$103,Consolidado!$C:$C,IF(ISBLANK($C$3),"&lt;&gt;",$C$3),Consolidado!$AU:$AU,"S")</f>
        <v>0</v>
      </c>
      <c r="E110" s="35">
        <f>COUNTIFS(Consolidado!$D:$D,$B110,Consolidado!$AL:$AL,IF(ISBLANK($C$2),"&lt;&gt;",$C$2),Consolidado!$AM:$AM,$C$7,Consolidado!$AN:$AN,E$103,Consolidado!$C:$C,IF(ISBLANK($C$3),"&lt;&gt;",$C$3),Consolidado!$AU:$AU,"S")</f>
        <v>0</v>
      </c>
      <c r="F110" s="35">
        <f>COUNTIFS(Consolidado!$D:$D,$B110,Consolidado!$AL:$AL,IF(ISBLANK($C$2),"&lt;&gt;",$C$2),Consolidado!$AM:$AM,$C$7,Consolidado!$AN:$AN,F$103,Consolidado!$C:$C,IF(ISBLANK($C$3),"&lt;&gt;",$C$3),Consolidado!$AU:$AU,"S")</f>
        <v>0</v>
      </c>
      <c r="G110" s="35">
        <f>COUNTIFS(Consolidado!$D:$D,$B110,Consolidado!$AL:$AL,IF(ISBLANK($C$2),"&lt;&gt;",$C$2),Consolidado!$AM:$AM,$C$7,Consolidado!$AN:$AN,G$103,Consolidado!$C:$C,IF(ISBLANK($C$3),"&lt;&gt;",$C$3),Consolidado!$AU:$AU,"S")</f>
        <v>0</v>
      </c>
      <c r="H110" s="43">
        <f t="shared" si="15"/>
        <v>0</v>
      </c>
      <c r="K110" s="201" t="s">
        <v>889</v>
      </c>
      <c r="L110" s="78">
        <f>COUNTIFS(Consolidado!$D:$D,$K110,Consolidado!$AL:$AL,IF(ISBLANK($C$2),"&lt;&gt;",$C$2),Consolidado!$B:$B,"&lt;="&amp;Análise!$C$10,Consolidado!$B:$B,"&gt;="&amp;Análise!$C$9,Consolidado!$C:$C,IF(ISBLANK($C$3),"&lt;&gt;",$C$3),Consolidado!$AU:$AU,"S")</f>
        <v>0</v>
      </c>
    </row>
    <row r="111" spans="1:31">
      <c r="B111" s="47" t="s">
        <v>831</v>
      </c>
      <c r="C111" s="38">
        <f>SUM(C104:C110)</f>
        <v>0</v>
      </c>
      <c r="D111" s="38">
        <f t="shared" ref="D111:G111" si="16">SUM(D104:D110)</f>
        <v>255</v>
      </c>
      <c r="E111" s="38">
        <f t="shared" si="16"/>
        <v>3</v>
      </c>
      <c r="F111" s="38">
        <f t="shared" si="16"/>
        <v>0</v>
      </c>
      <c r="G111" s="38">
        <f t="shared" si="16"/>
        <v>0</v>
      </c>
      <c r="H111" s="38">
        <f t="shared" si="15"/>
        <v>258</v>
      </c>
      <c r="K111" s="47" t="s">
        <v>831</v>
      </c>
      <c r="L111" s="38">
        <f>SUM(L104:L110)</f>
        <v>258</v>
      </c>
    </row>
  </sheetData>
  <mergeCells count="15">
    <mergeCell ref="B102:B103"/>
    <mergeCell ref="K102:K103"/>
    <mergeCell ref="L102:L103"/>
    <mergeCell ref="B14:B15"/>
    <mergeCell ref="K14:K15"/>
    <mergeCell ref="K24:K25"/>
    <mergeCell ref="K29:K30"/>
    <mergeCell ref="B54:B55"/>
    <mergeCell ref="B64:B65"/>
    <mergeCell ref="K54:K55"/>
    <mergeCell ref="L54:L55"/>
    <mergeCell ref="K64:K65"/>
    <mergeCell ref="L64:L65"/>
    <mergeCell ref="B45:B46"/>
    <mergeCell ref="H45:H46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0FF7E9D-CB3E-4B40-A9E5-16FCBD572832}">
          <x14:formula1>
            <xm:f>'Lista Suspensa'!$D$2:$D$10</xm:f>
          </x14:formula1>
          <xm:sqref>C3</xm:sqref>
        </x14:dataValidation>
        <x14:dataValidation type="list" allowBlank="1" showInputMessage="1" showErrorMessage="1" xr:uid="{3813A9AB-2616-4CCF-B7F4-CA3075D70BD7}">
          <x14:formula1>
            <xm:f>'Lista Suspensa'!$R$2:$R$48</xm:f>
          </x14:formula1>
          <xm:sqref>C2</xm:sqref>
        </x14:dataValidation>
        <x14:dataValidation type="list" allowBlank="1" showInputMessage="1" showErrorMessage="1" xr:uid="{78706468-4FE3-4582-B65A-063775584514}">
          <x14:formula1>
            <xm:f>'Lista Suspensa'!$Z$27:$Z$31</xm:f>
          </x14:formula1>
          <xm:sqref>C4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D474E-390A-47C9-8A07-6A6D729E0F89}">
  <sheetPr>
    <tabColor rgb="FF7030A0"/>
  </sheetPr>
  <dimension ref="B1:AN170"/>
  <sheetViews>
    <sheetView showGridLines="0" workbookViewId="0">
      <selection activeCell="I65" sqref="I65"/>
    </sheetView>
  </sheetViews>
  <sheetFormatPr defaultColWidth="9.140625" defaultRowHeight="14.45"/>
  <cols>
    <col min="1" max="1" width="9.140625" style="1"/>
    <col min="2" max="2" width="36.5703125" style="1" bestFit="1" customWidth="1"/>
    <col min="3" max="3" width="9.140625" style="1" customWidth="1"/>
    <col min="4" max="4" width="26.85546875" style="1" bestFit="1" customWidth="1"/>
    <col min="5" max="5" width="9.140625" style="1"/>
    <col min="6" max="6" width="45.7109375" style="1" customWidth="1"/>
    <col min="7" max="7" width="4.7109375" style="1" customWidth="1"/>
    <col min="8" max="8" width="14.28515625" style="1" bestFit="1" customWidth="1"/>
    <col min="9" max="9" width="44.42578125" style="1" bestFit="1" customWidth="1"/>
    <col min="10" max="10" width="9.140625" style="1"/>
    <col min="11" max="11" width="43.42578125" style="65" bestFit="1" customWidth="1"/>
    <col min="12" max="12" width="3.42578125" style="1" customWidth="1"/>
    <col min="13" max="13" width="15" style="1" bestFit="1" customWidth="1"/>
    <col min="14" max="14" width="53.42578125" style="1" bestFit="1" customWidth="1"/>
    <col min="15" max="15" width="9.140625" style="1"/>
    <col min="16" max="16" width="25.28515625" style="1" customWidth="1"/>
    <col min="17" max="17" width="9.140625" style="1"/>
    <col min="18" max="18" width="15" style="1" bestFit="1" customWidth="1"/>
    <col min="19" max="19" width="9.140625" style="1"/>
    <col min="20" max="20" width="15.42578125" style="1" bestFit="1" customWidth="1"/>
    <col min="21" max="21" width="9.140625" style="1"/>
    <col min="22" max="22" width="37.42578125" style="1" bestFit="1" customWidth="1"/>
    <col min="23" max="23" width="9.140625" style="1"/>
    <col min="24" max="24" width="20.140625" style="1" bestFit="1" customWidth="1"/>
    <col min="25" max="25" width="9.140625" style="1"/>
    <col min="26" max="26" width="16.5703125" style="1" customWidth="1"/>
    <col min="27" max="27" width="9.140625" style="1"/>
    <col min="28" max="28" width="25.140625" style="1" bestFit="1" customWidth="1"/>
    <col min="29" max="29" width="9.140625" style="1"/>
    <col min="30" max="30" width="25.85546875" bestFit="1" customWidth="1"/>
    <col min="31" max="31" width="9.140625" style="1"/>
    <col min="32" max="32" width="14" customWidth="1"/>
    <col min="33" max="33" width="9.140625" style="1"/>
    <col min="34" max="34" width="16.140625" customWidth="1"/>
    <col min="35" max="35" width="9.140625" style="1"/>
    <col min="36" max="36" width="10.140625" bestFit="1" customWidth="1"/>
    <col min="38" max="38" width="15.42578125" customWidth="1"/>
    <col min="39" max="39" width="9.140625" style="1"/>
    <col min="40" max="40" width="17.42578125" style="1" customWidth="1"/>
    <col min="41" max="16384" width="9.140625" style="1"/>
  </cols>
  <sheetData>
    <row r="1" spans="2:40" ht="29.45" thickBot="1">
      <c r="D1" s="71" t="s">
        <v>2</v>
      </c>
      <c r="F1" s="66" t="s">
        <v>890</v>
      </c>
      <c r="G1" s="52"/>
      <c r="H1" s="152" t="s">
        <v>37</v>
      </c>
      <c r="I1" s="151" t="s">
        <v>891</v>
      </c>
      <c r="K1" s="70" t="s">
        <v>892</v>
      </c>
      <c r="L1" s="52"/>
      <c r="M1" s="53" t="s">
        <v>37</v>
      </c>
      <c r="N1" s="54" t="s">
        <v>893</v>
      </c>
      <c r="P1" s="155" t="s">
        <v>32</v>
      </c>
      <c r="R1" s="55" t="s">
        <v>894</v>
      </c>
      <c r="T1" s="73" t="s">
        <v>895</v>
      </c>
      <c r="V1" s="167" t="s">
        <v>16</v>
      </c>
      <c r="X1" s="165" t="s">
        <v>19</v>
      </c>
      <c r="Z1" s="223" t="s">
        <v>20</v>
      </c>
      <c r="AB1" s="163" t="s">
        <v>25</v>
      </c>
      <c r="AD1" s="161" t="s">
        <v>27</v>
      </c>
      <c r="AF1" s="161" t="s">
        <v>29</v>
      </c>
      <c r="AH1" s="158" t="s">
        <v>896</v>
      </c>
      <c r="AJ1" s="159" t="s">
        <v>35</v>
      </c>
      <c r="AL1" s="158" t="s">
        <v>36</v>
      </c>
      <c r="AN1" s="170" t="s">
        <v>0</v>
      </c>
    </row>
    <row r="2" spans="2:40" ht="15" thickBot="1">
      <c r="B2" s="51" t="s">
        <v>897</v>
      </c>
      <c r="D2" s="145" t="s">
        <v>898</v>
      </c>
      <c r="F2" s="69" t="str" cm="1">
        <f t="array" ref="F2:F10">IF(COUNTIF(Consolidado!$AL:$AL,"Emagrecimento")&lt;&gt;0,_xlfn._xlws.FILTER($I$2:$I$54,$H$2:$H$54&lt;&gt;""),_xlfn._xlws.FILTER($I$2:$I$54,$H$2:$H$54="Outras"))</f>
        <v>Captado pela Amil/Call Center</v>
      </c>
      <c r="H2" s="78" t="s">
        <v>899</v>
      </c>
      <c r="I2" s="147" t="s">
        <v>49</v>
      </c>
      <c r="K2" s="56" t="str" cm="1">
        <f t="array" ref="K2:K45">IF(COUNTIF(Consolidado!$AL:$AL,"Emagrecimento")&lt;&gt;0,_xlfn._xlws.FILTER($N$2:$N$100,$M$2:$M$100&lt;&gt;""),_xlfn._xlws.FILTER($N$2:$N$100,$M$2:$M$100="Outras"))</f>
        <v>Amil Paulistano</v>
      </c>
      <c r="M2" s="78" t="s">
        <v>899</v>
      </c>
      <c r="N2" s="148" t="s">
        <v>867</v>
      </c>
      <c r="P2" s="156" t="s">
        <v>867</v>
      </c>
      <c r="R2" s="58" t="s">
        <v>900</v>
      </c>
      <c r="T2" s="84" t="s">
        <v>152</v>
      </c>
      <c r="V2" s="168" t="s">
        <v>68</v>
      </c>
      <c r="X2" s="166" t="s">
        <v>69</v>
      </c>
      <c r="Z2" s="224" t="s">
        <v>70</v>
      </c>
      <c r="AB2" s="145" t="s">
        <v>72</v>
      </c>
      <c r="AD2" s="156" t="s">
        <v>74</v>
      </c>
      <c r="AF2" s="156" t="s">
        <v>75</v>
      </c>
      <c r="AH2" s="156" t="s">
        <v>78</v>
      </c>
      <c r="AJ2" s="156" t="s">
        <v>61</v>
      </c>
      <c r="AL2" s="156" t="s">
        <v>78</v>
      </c>
      <c r="AN2" s="171" t="s">
        <v>78</v>
      </c>
    </row>
    <row r="3" spans="2:40" ht="15" thickBot="1">
      <c r="D3" s="145" t="s">
        <v>738</v>
      </c>
      <c r="F3" s="67" t="str">
        <v>Casos Prioritário - E-mail</v>
      </c>
      <c r="H3" s="78" t="s">
        <v>899</v>
      </c>
      <c r="I3" s="147" t="s">
        <v>884</v>
      </c>
      <c r="K3" s="59" t="str">
        <v>Samaritano Higi</v>
      </c>
      <c r="M3" s="78" t="s">
        <v>899</v>
      </c>
      <c r="N3" s="148" t="s">
        <v>868</v>
      </c>
      <c r="P3" s="156" t="s">
        <v>868</v>
      </c>
      <c r="R3" s="58" t="s">
        <v>901</v>
      </c>
      <c r="T3" s="83" t="s">
        <v>77</v>
      </c>
      <c r="V3" s="168" t="s">
        <v>841</v>
      </c>
      <c r="X3" s="145" t="s">
        <v>58</v>
      </c>
      <c r="Z3" s="145" t="s">
        <v>530</v>
      </c>
      <c r="AB3" s="164" t="s">
        <v>193</v>
      </c>
      <c r="AD3" s="156" t="s">
        <v>725</v>
      </c>
      <c r="AF3" s="162" t="s">
        <v>97</v>
      </c>
      <c r="AH3" s="156" t="s">
        <v>47</v>
      </c>
      <c r="AJ3" s="160" t="s">
        <v>60</v>
      </c>
      <c r="AL3" s="156" t="s">
        <v>47</v>
      </c>
      <c r="AN3" s="171" t="s">
        <v>47</v>
      </c>
    </row>
    <row r="4" spans="2:40">
      <c r="D4" s="145" t="s">
        <v>48</v>
      </c>
      <c r="F4" s="67" t="str">
        <v>Forms Total Care</v>
      </c>
      <c r="H4" s="78" t="s">
        <v>899</v>
      </c>
      <c r="I4" s="147" t="s">
        <v>885</v>
      </c>
      <c r="K4" s="59" t="str">
        <v>COI -RJ</v>
      </c>
      <c r="M4" s="78" t="s">
        <v>899</v>
      </c>
      <c r="N4" s="148" t="s">
        <v>869</v>
      </c>
      <c r="P4" s="156" t="s">
        <v>873</v>
      </c>
      <c r="R4" s="58" t="s">
        <v>902</v>
      </c>
      <c r="T4" s="83" t="s">
        <v>277</v>
      </c>
      <c r="V4" s="168" t="s">
        <v>843</v>
      </c>
      <c r="X4" s="164" t="s">
        <v>903</v>
      </c>
      <c r="Z4" s="58" t="s">
        <v>59</v>
      </c>
      <c r="AD4" s="156" t="s">
        <v>881</v>
      </c>
      <c r="AF4" s="162" t="s">
        <v>113</v>
      </c>
      <c r="AH4" s="157"/>
      <c r="AJ4" s="157" t="s">
        <v>462</v>
      </c>
      <c r="AL4" s="156" t="s">
        <v>904</v>
      </c>
      <c r="AN4" s="172"/>
    </row>
    <row r="5" spans="2:40">
      <c r="D5" s="72" t="s">
        <v>905</v>
      </c>
      <c r="F5" s="67" t="str">
        <v>GSC</v>
      </c>
      <c r="H5" s="78" t="s">
        <v>899</v>
      </c>
      <c r="I5" s="147" t="s">
        <v>886</v>
      </c>
      <c r="K5" s="59" t="str">
        <v>Interno - Amil Geral</v>
      </c>
      <c r="M5" s="78" t="s">
        <v>899</v>
      </c>
      <c r="N5" s="148" t="s">
        <v>870</v>
      </c>
      <c r="P5" s="157" t="s">
        <v>367</v>
      </c>
      <c r="R5" s="58" t="s">
        <v>906</v>
      </c>
      <c r="T5" s="85" t="s">
        <v>904</v>
      </c>
      <c r="V5" s="168" t="s">
        <v>845</v>
      </c>
      <c r="Z5" s="58"/>
      <c r="AD5" s="156" t="s">
        <v>105</v>
      </c>
      <c r="AF5" s="157"/>
      <c r="AH5" s="82"/>
      <c r="AJ5" s="157" t="s">
        <v>47</v>
      </c>
      <c r="AL5" s="157"/>
    </row>
    <row r="6" spans="2:40">
      <c r="D6" s="72" t="s">
        <v>761</v>
      </c>
      <c r="F6" s="67" t="str">
        <v>Triggers</v>
      </c>
      <c r="H6" s="78" t="s">
        <v>899</v>
      </c>
      <c r="I6" s="147" t="s">
        <v>887</v>
      </c>
      <c r="K6" s="59" t="str">
        <v>Externo - Geral</v>
      </c>
      <c r="M6" s="78" t="s">
        <v>899</v>
      </c>
      <c r="N6" s="148" t="s">
        <v>871</v>
      </c>
      <c r="R6" s="58" t="s">
        <v>907</v>
      </c>
      <c r="V6" s="168" t="s">
        <v>200</v>
      </c>
      <c r="Z6" s="222"/>
      <c r="AD6" s="157" t="s">
        <v>482</v>
      </c>
      <c r="AF6" s="82"/>
      <c r="AH6" s="82"/>
      <c r="AJ6" s="82"/>
      <c r="AL6" s="82"/>
    </row>
    <row r="7" spans="2:40">
      <c r="D7" s="72"/>
      <c r="F7" s="67" t="str">
        <v xml:space="preserve">Viva Bem </v>
      </c>
      <c r="H7" s="78" t="s">
        <v>899</v>
      </c>
      <c r="I7" s="147" t="s">
        <v>888</v>
      </c>
      <c r="K7" s="59" t="str">
        <v>Não Informou</v>
      </c>
      <c r="M7" s="78" t="s">
        <v>899</v>
      </c>
      <c r="N7" s="148" t="s">
        <v>517</v>
      </c>
      <c r="R7" s="58" t="s">
        <v>908</v>
      </c>
      <c r="V7" s="168" t="s">
        <v>848</v>
      </c>
      <c r="AD7" s="82"/>
      <c r="AF7" s="82"/>
      <c r="AH7" s="82"/>
      <c r="AJ7" s="82"/>
      <c r="AL7" s="82"/>
    </row>
    <row r="8" spans="2:40">
      <c r="D8" s="72"/>
      <c r="F8" s="67" t="str">
        <v>Saúde Ocupacional</v>
      </c>
      <c r="H8" s="78" t="s">
        <v>899</v>
      </c>
      <c r="I8" s="147" t="s">
        <v>889</v>
      </c>
      <c r="K8" s="59" t="str">
        <v>CMDP - Centro Médico Dom Pedro</v>
      </c>
      <c r="M8" s="78" t="s">
        <v>899</v>
      </c>
      <c r="N8" s="148" t="s">
        <v>909</v>
      </c>
      <c r="R8" s="58" t="s">
        <v>910</v>
      </c>
      <c r="V8" s="168" t="s">
        <v>850</v>
      </c>
      <c r="AD8" s="82"/>
      <c r="AF8" s="82"/>
      <c r="AH8" s="82"/>
      <c r="AJ8" s="82"/>
      <c r="AL8" s="82"/>
    </row>
    <row r="9" spans="2:40">
      <c r="D9" s="72"/>
      <c r="F9" s="67" t="str">
        <v>Optin</v>
      </c>
      <c r="H9" s="37" t="s">
        <v>911</v>
      </c>
      <c r="I9" s="149" t="s">
        <v>912</v>
      </c>
      <c r="K9" s="59" t="str">
        <v>Outros</v>
      </c>
      <c r="M9" s="78" t="s">
        <v>899</v>
      </c>
      <c r="N9" s="148" t="s">
        <v>737</v>
      </c>
      <c r="R9" s="58" t="s">
        <v>913</v>
      </c>
      <c r="V9" s="168" t="s">
        <v>851</v>
      </c>
      <c r="Z9" s="1" t="s">
        <v>46</v>
      </c>
      <c r="AA9" s="1" t="s">
        <v>70</v>
      </c>
      <c r="AD9" s="82"/>
      <c r="AF9" s="82"/>
      <c r="AH9" s="82"/>
      <c r="AJ9" s="82"/>
      <c r="AL9" s="82"/>
    </row>
    <row r="10" spans="2:40" ht="15" thickBot="1">
      <c r="D10" s="146"/>
      <c r="F10" s="67" t="str">
        <v>Captado Total Care</v>
      </c>
      <c r="H10" s="37" t="s">
        <v>911</v>
      </c>
      <c r="I10" s="150" t="s">
        <v>914</v>
      </c>
      <c r="K10" s="59" t="str">
        <v>Amil - Hospital Ipiranga Arujá - Ambulatório </v>
      </c>
      <c r="M10" s="78" t="s">
        <v>899</v>
      </c>
      <c r="N10" s="148" t="s">
        <v>915</v>
      </c>
      <c r="R10" s="58" t="s">
        <v>916</v>
      </c>
      <c r="V10" s="168" t="s">
        <v>274</v>
      </c>
      <c r="Z10" s="1" t="s">
        <v>46</v>
      </c>
      <c r="AA10" s="1" t="s">
        <v>530</v>
      </c>
      <c r="AD10" s="82"/>
      <c r="AF10" s="82"/>
      <c r="AJ10" s="82"/>
      <c r="AL10" s="82"/>
    </row>
    <row r="11" spans="2:40">
      <c r="F11" s="67"/>
      <c r="H11" s="37" t="s">
        <v>911</v>
      </c>
      <c r="I11" s="150" t="s">
        <v>917</v>
      </c>
      <c r="K11" s="59" t="str">
        <v>Amil - Hospital Ipiranga Mogi - Ambulatório </v>
      </c>
      <c r="M11" s="78" t="s">
        <v>899</v>
      </c>
      <c r="N11" s="148" t="s">
        <v>918</v>
      </c>
      <c r="R11" s="58" t="s">
        <v>919</v>
      </c>
      <c r="V11" s="168" t="s">
        <v>853</v>
      </c>
      <c r="Z11" s="1" t="s">
        <v>70</v>
      </c>
      <c r="AA11" s="1" t="s">
        <v>70</v>
      </c>
      <c r="AD11" s="82"/>
      <c r="AF11" s="82"/>
      <c r="AH11" s="82"/>
      <c r="AJ11" s="82"/>
      <c r="AL11" s="82"/>
    </row>
    <row r="12" spans="2:40">
      <c r="F12" s="67"/>
      <c r="H12" s="37" t="s">
        <v>911</v>
      </c>
      <c r="I12" s="150" t="s">
        <v>920</v>
      </c>
      <c r="K12" s="59" t="str">
        <v>Amil - Hospital Metropolitano - Centro Médico </v>
      </c>
      <c r="M12" s="78" t="s">
        <v>899</v>
      </c>
      <c r="N12" s="148" t="s">
        <v>921</v>
      </c>
      <c r="R12" s="58" t="s">
        <v>62</v>
      </c>
      <c r="V12" s="168" t="s">
        <v>854</v>
      </c>
      <c r="Z12" s="1" t="s">
        <v>530</v>
      </c>
      <c r="AA12" s="1" t="s">
        <v>530</v>
      </c>
      <c r="AD12" s="82"/>
      <c r="AF12" s="82"/>
      <c r="AH12" s="82"/>
      <c r="AJ12" s="82"/>
      <c r="AL12" s="82"/>
    </row>
    <row r="13" spans="2:40">
      <c r="F13" s="67"/>
      <c r="H13" s="37" t="s">
        <v>911</v>
      </c>
      <c r="I13" s="150" t="s">
        <v>922</v>
      </c>
      <c r="K13" s="59" t="str">
        <v>Amil - Hospital Paulistano - Ambulatório </v>
      </c>
      <c r="M13" s="78" t="s">
        <v>899</v>
      </c>
      <c r="N13" s="148" t="s">
        <v>923</v>
      </c>
      <c r="R13" s="58" t="s">
        <v>924</v>
      </c>
      <c r="V13" s="168" t="s">
        <v>855</v>
      </c>
      <c r="Z13" s="1" t="s">
        <v>59</v>
      </c>
      <c r="AA13" s="1" t="s">
        <v>59</v>
      </c>
      <c r="AD13" s="82"/>
      <c r="AF13" s="82"/>
      <c r="AH13" s="82"/>
      <c r="AJ13" s="82"/>
      <c r="AL13" s="82"/>
    </row>
    <row r="14" spans="2:40">
      <c r="F14" s="67"/>
      <c r="H14" s="37" t="s">
        <v>911</v>
      </c>
      <c r="I14" s="57" t="s">
        <v>925</v>
      </c>
      <c r="K14" s="59" t="str">
        <v>Amil - Ud Cubatão Sp - Hospital Da Luz </v>
      </c>
      <c r="M14" s="78" t="s">
        <v>899</v>
      </c>
      <c r="N14" s="148" t="s">
        <v>102</v>
      </c>
      <c r="R14" s="58" t="s">
        <v>911</v>
      </c>
      <c r="V14" s="168" t="s">
        <v>856</v>
      </c>
      <c r="Z14" s="1" t="s">
        <v>831</v>
      </c>
      <c r="AA14" s="1" t="s">
        <v>70</v>
      </c>
      <c r="AD14" s="82"/>
      <c r="AF14" s="82"/>
      <c r="AH14" s="82"/>
      <c r="AJ14" s="82"/>
      <c r="AL14" s="82"/>
    </row>
    <row r="15" spans="2:40">
      <c r="F15" s="67"/>
      <c r="H15" s="37" t="s">
        <v>911</v>
      </c>
      <c r="I15" s="57" t="s">
        <v>926</v>
      </c>
      <c r="K15" s="59" t="str">
        <v>Amil - Unidade Avançada Carlos Chagas </v>
      </c>
      <c r="M15" s="78" t="s">
        <v>899</v>
      </c>
      <c r="N15" s="148" t="s">
        <v>927</v>
      </c>
      <c r="R15" s="58" t="s">
        <v>928</v>
      </c>
      <c r="V15" s="168" t="s">
        <v>443</v>
      </c>
      <c r="Z15" s="1" t="s">
        <v>831</v>
      </c>
      <c r="AA15" s="1" t="s">
        <v>530</v>
      </c>
      <c r="AD15" s="82"/>
      <c r="AF15" s="82"/>
      <c r="AH15" s="82"/>
      <c r="AJ15" s="82"/>
      <c r="AL15" s="82"/>
    </row>
    <row r="16" spans="2:40">
      <c r="F16" s="67"/>
      <c r="H16" s="37" t="s">
        <v>911</v>
      </c>
      <c r="I16" s="57" t="s">
        <v>929</v>
      </c>
      <c r="K16" s="59" t="str">
        <v>Amil - Unidade Avançada Luz Butantã </v>
      </c>
      <c r="M16" s="78" t="s">
        <v>899</v>
      </c>
      <c r="N16" s="148" t="s">
        <v>930</v>
      </c>
      <c r="R16" s="58" t="s">
        <v>931</v>
      </c>
      <c r="V16" s="168" t="s">
        <v>461</v>
      </c>
      <c r="Z16" s="1" t="s">
        <v>831</v>
      </c>
      <c r="AA16" s="1" t="s">
        <v>59</v>
      </c>
      <c r="AD16" s="82"/>
      <c r="AF16" s="82"/>
      <c r="AH16" s="82"/>
      <c r="AJ16" s="82"/>
      <c r="AL16" s="82"/>
    </row>
    <row r="17" spans="6:38">
      <c r="F17" s="67"/>
      <c r="H17" s="37" t="s">
        <v>911</v>
      </c>
      <c r="I17" s="57" t="s">
        <v>932</v>
      </c>
      <c r="K17" s="59" t="str">
        <v>Amil - Unidade Avançada Luz Joao Dias </v>
      </c>
      <c r="M17" s="78" t="s">
        <v>899</v>
      </c>
      <c r="N17" s="148" t="s">
        <v>76</v>
      </c>
      <c r="R17" s="58" t="s">
        <v>933</v>
      </c>
      <c r="V17" s="168" t="s">
        <v>857</v>
      </c>
      <c r="AD17" s="82"/>
      <c r="AF17" s="82"/>
      <c r="AH17" s="82"/>
      <c r="AJ17" s="82"/>
      <c r="AL17" s="82"/>
    </row>
    <row r="18" spans="6:38">
      <c r="F18" s="67"/>
      <c r="H18" s="37" t="s">
        <v>911</v>
      </c>
      <c r="I18" s="57" t="s">
        <v>934</v>
      </c>
      <c r="K18" s="59" t="str">
        <v>Amil - Unidade Avançada Vitoria </v>
      </c>
      <c r="M18" s="78" t="s">
        <v>899</v>
      </c>
      <c r="N18" s="148" t="s">
        <v>114</v>
      </c>
      <c r="R18" s="58" t="s">
        <v>935</v>
      </c>
      <c r="V18" s="168" t="s">
        <v>858</v>
      </c>
      <c r="AD18" s="82"/>
      <c r="AF18" s="82"/>
      <c r="AH18" s="82"/>
      <c r="AJ18" s="82"/>
      <c r="AL18" s="82"/>
    </row>
    <row r="19" spans="6:38">
      <c r="F19" s="67"/>
      <c r="H19" s="37" t="s">
        <v>911</v>
      </c>
      <c r="I19" s="57" t="s">
        <v>936</v>
      </c>
      <c r="K19" s="59" t="str">
        <v>Amil Espaço Saúde - Ana Rosa </v>
      </c>
      <c r="M19" s="78" t="s">
        <v>899</v>
      </c>
      <c r="N19" s="148" t="s">
        <v>242</v>
      </c>
      <c r="R19" s="58" t="s">
        <v>937</v>
      </c>
      <c r="V19" s="168" t="s">
        <v>859</v>
      </c>
      <c r="AD19" s="82"/>
      <c r="AF19" s="82"/>
      <c r="AH19" s="82"/>
      <c r="AJ19" s="82"/>
      <c r="AL19" s="82"/>
    </row>
    <row r="20" spans="6:38">
      <c r="F20" s="67"/>
      <c r="H20" s="37" t="s">
        <v>911</v>
      </c>
      <c r="I20" s="57" t="s">
        <v>938</v>
      </c>
      <c r="K20" s="59" t="str">
        <v>Amil Espaço Saúde - Botafogo </v>
      </c>
      <c r="M20" s="78" t="s">
        <v>899</v>
      </c>
      <c r="N20" s="148" t="s">
        <v>285</v>
      </c>
      <c r="R20" s="58" t="s">
        <v>939</v>
      </c>
      <c r="V20" s="168" t="s">
        <v>860</v>
      </c>
      <c r="Z20" s="1" t="str">
        <f>+Análise!$C$4</f>
        <v>Total</v>
      </c>
      <c r="AA20" s="1" t="str" cm="1">
        <f t="array" ref="AA20:AA22">_xlfn._xlws.FILTER($AA$9:$AA$16,$Z$9:$Z$16=$Z$20)</f>
        <v>Ativo</v>
      </c>
      <c r="AB20" s="1" t="s">
        <v>940</v>
      </c>
      <c r="AD20" s="82"/>
      <c r="AF20" s="82"/>
      <c r="AH20" s="82"/>
      <c r="AJ20" s="82"/>
      <c r="AL20" s="82"/>
    </row>
    <row r="21" spans="6:38">
      <c r="F21" s="67"/>
      <c r="H21" s="37" t="s">
        <v>911</v>
      </c>
      <c r="I21" s="57" t="s">
        <v>941</v>
      </c>
      <c r="K21" s="59" t="str">
        <v>Amil Espaço Saúde - Campo Grande </v>
      </c>
      <c r="M21" s="78" t="s">
        <v>899</v>
      </c>
      <c r="N21" s="148" t="s">
        <v>151</v>
      </c>
      <c r="R21" s="58" t="s">
        <v>942</v>
      </c>
      <c r="V21" s="168" t="s">
        <v>334</v>
      </c>
      <c r="AA21" s="1" t="str">
        <v>Inativo</v>
      </c>
      <c r="AB21" s="1" t="s">
        <v>940</v>
      </c>
      <c r="AD21" s="82"/>
      <c r="AF21" s="82"/>
      <c r="AH21" s="82"/>
      <c r="AJ21" s="82"/>
      <c r="AL21" s="82"/>
    </row>
    <row r="22" spans="6:38">
      <c r="F22" s="67"/>
      <c r="H22" s="37" t="s">
        <v>911</v>
      </c>
      <c r="I22" s="57" t="s">
        <v>943</v>
      </c>
      <c r="K22" s="59" t="str">
        <v>Amil Espaço Saúde - Caxias </v>
      </c>
      <c r="M22" s="78" t="s">
        <v>899</v>
      </c>
      <c r="N22" s="148" t="s">
        <v>944</v>
      </c>
      <c r="R22" s="58" t="s">
        <v>945</v>
      </c>
      <c r="V22" s="168" t="s">
        <v>861</v>
      </c>
      <c r="AA22" s="1" t="str">
        <v>Fora da Linha</v>
      </c>
      <c r="AB22" s="1" t="s">
        <v>940</v>
      </c>
      <c r="AD22" s="82"/>
      <c r="AF22" s="82"/>
      <c r="AH22" s="82"/>
      <c r="AJ22" s="82"/>
      <c r="AL22" s="82"/>
    </row>
    <row r="23" spans="6:38">
      <c r="F23" s="67"/>
      <c r="H23" s="37" t="s">
        <v>911</v>
      </c>
      <c r="I23" s="57" t="s">
        <v>946</v>
      </c>
      <c r="K23" s="59" t="str">
        <v>Amil Espaço Saúde - Guarulhos </v>
      </c>
      <c r="M23" s="78" t="s">
        <v>899</v>
      </c>
      <c r="N23" s="148" t="s">
        <v>947</v>
      </c>
      <c r="R23" s="58" t="s">
        <v>948</v>
      </c>
      <c r="V23" s="168" t="s">
        <v>57</v>
      </c>
      <c r="AB23" s="1" t="s">
        <v>940</v>
      </c>
      <c r="AD23" s="82"/>
      <c r="AF23" s="82"/>
      <c r="AH23" s="82"/>
      <c r="AJ23" s="82"/>
      <c r="AL23" s="82"/>
    </row>
    <row r="24" spans="6:38" ht="15" thickBot="1">
      <c r="F24" s="67"/>
      <c r="H24" s="37" t="s">
        <v>911</v>
      </c>
      <c r="I24" s="57" t="s">
        <v>949</v>
      </c>
      <c r="K24" s="59" t="str">
        <v>Amil Espaço Saúde - Niterói </v>
      </c>
      <c r="M24" s="78" t="s">
        <v>899</v>
      </c>
      <c r="N24" s="148" t="s">
        <v>950</v>
      </c>
      <c r="R24" s="60" t="s">
        <v>951</v>
      </c>
      <c r="V24" s="168" t="s">
        <v>750</v>
      </c>
      <c r="AD24" s="82"/>
      <c r="AF24" s="82"/>
      <c r="AH24" s="82"/>
      <c r="AJ24" s="82"/>
      <c r="AL24" s="82"/>
    </row>
    <row r="25" spans="6:38">
      <c r="F25" s="67"/>
      <c r="H25" s="37" t="s">
        <v>911</v>
      </c>
      <c r="I25" s="57" t="s">
        <v>952</v>
      </c>
      <c r="K25" s="59" t="str">
        <v>Amil Espaço Saúde - Nova Iguaçu </v>
      </c>
      <c r="M25" s="78" t="s">
        <v>899</v>
      </c>
      <c r="N25" s="148" t="s">
        <v>953</v>
      </c>
      <c r="V25" s="168" t="s">
        <v>766</v>
      </c>
      <c r="AD25" s="82"/>
      <c r="AF25" s="82"/>
      <c r="AH25" s="82"/>
      <c r="AJ25" s="82"/>
      <c r="AL25" s="82"/>
    </row>
    <row r="26" spans="6:38" ht="15" thickBot="1">
      <c r="F26" s="67"/>
      <c r="H26" s="37" t="s">
        <v>911</v>
      </c>
      <c r="I26" s="57" t="s">
        <v>954</v>
      </c>
      <c r="K26" s="59" t="str">
        <v>Amil Espaço Saúde - Osasco </v>
      </c>
      <c r="M26" s="78" t="s">
        <v>899</v>
      </c>
      <c r="N26" s="148" t="s">
        <v>955</v>
      </c>
      <c r="V26" s="169" t="s">
        <v>862</v>
      </c>
      <c r="AD26" s="82"/>
      <c r="AF26" s="82"/>
      <c r="AH26" s="82"/>
      <c r="AJ26" s="82"/>
      <c r="AL26" s="82"/>
    </row>
    <row r="27" spans="6:38">
      <c r="F27" s="67"/>
      <c r="H27" s="37" t="s">
        <v>911</v>
      </c>
      <c r="I27" s="57" t="s">
        <v>956</v>
      </c>
      <c r="K27" s="59" t="str">
        <v>Amil Espaço Saúde - Santana </v>
      </c>
      <c r="M27" s="78" t="s">
        <v>899</v>
      </c>
      <c r="N27" s="148" t="s">
        <v>957</v>
      </c>
      <c r="Z27" s="1" t="s">
        <v>46</v>
      </c>
      <c r="AD27" s="82"/>
      <c r="AF27" s="82"/>
      <c r="AH27" s="82"/>
      <c r="AJ27" s="82"/>
      <c r="AL27" s="82"/>
    </row>
    <row r="28" spans="6:38">
      <c r="F28" s="67"/>
      <c r="H28" s="37" t="s">
        <v>911</v>
      </c>
      <c r="I28" s="57" t="s">
        <v>958</v>
      </c>
      <c r="K28" s="59" t="str">
        <v>Amil Espaço Saúde - Tijuca </v>
      </c>
      <c r="M28" s="78" t="s">
        <v>899</v>
      </c>
      <c r="N28" s="148" t="s">
        <v>85</v>
      </c>
      <c r="Z28" s="1" t="s">
        <v>70</v>
      </c>
    </row>
    <row r="29" spans="6:38">
      <c r="F29" s="67"/>
      <c r="H29" s="37" t="s">
        <v>911</v>
      </c>
      <c r="I29" s="57" t="s">
        <v>959</v>
      </c>
      <c r="K29" s="59" t="str">
        <v>Amil Telemedicina </v>
      </c>
      <c r="M29" s="78" t="s">
        <v>899</v>
      </c>
      <c r="N29" s="148" t="s">
        <v>960</v>
      </c>
      <c r="Z29" s="1" t="s">
        <v>530</v>
      </c>
    </row>
    <row r="30" spans="6:38">
      <c r="F30" s="67"/>
      <c r="H30" s="37" t="s">
        <v>911</v>
      </c>
      <c r="I30" s="57" t="s">
        <v>961</v>
      </c>
      <c r="K30" s="59" t="str">
        <v>Centro Médico Jardim </v>
      </c>
      <c r="M30" s="78" t="s">
        <v>899</v>
      </c>
      <c r="N30" s="148" t="s">
        <v>962</v>
      </c>
      <c r="Z30" s="1" t="s">
        <v>59</v>
      </c>
    </row>
    <row r="31" spans="6:38">
      <c r="F31" s="67"/>
      <c r="H31" s="37" t="s">
        <v>911</v>
      </c>
      <c r="I31" s="57" t="s">
        <v>963</v>
      </c>
      <c r="K31" s="59" t="str">
        <v>Centro Médico Joao Azevedo - Sbc  II</v>
      </c>
      <c r="M31" s="78" t="s">
        <v>899</v>
      </c>
      <c r="N31" s="148" t="s">
        <v>964</v>
      </c>
      <c r="Z31" s="1" t="s">
        <v>831</v>
      </c>
    </row>
    <row r="32" spans="6:38">
      <c r="F32" s="67"/>
      <c r="H32" s="37" t="s">
        <v>911</v>
      </c>
      <c r="I32" s="57" t="s">
        <v>965</v>
      </c>
      <c r="K32" s="59" t="str">
        <v>Centro Médico João Azevedo - Sbc I  </v>
      </c>
      <c r="M32" s="78" t="s">
        <v>899</v>
      </c>
      <c r="N32" s="148" t="s">
        <v>966</v>
      </c>
    </row>
    <row r="33" spans="6:14">
      <c r="F33" s="67"/>
      <c r="H33" s="37" t="s">
        <v>911</v>
      </c>
      <c r="I33" s="57" t="s">
        <v>967</v>
      </c>
      <c r="K33" s="59" t="str">
        <v>Centro Médico Luiz Ferreira - Sbc </v>
      </c>
      <c r="M33" s="78" t="s">
        <v>899</v>
      </c>
      <c r="N33" s="148" t="s">
        <v>968</v>
      </c>
    </row>
    <row r="34" spans="6:14">
      <c r="F34" s="67"/>
      <c r="H34" s="37" t="s">
        <v>911</v>
      </c>
      <c r="I34" s="57" t="s">
        <v>969</v>
      </c>
      <c r="K34" s="59" t="str">
        <v>Centro Médico - Samaritano Higienópolis </v>
      </c>
      <c r="M34" s="78" t="s">
        <v>899</v>
      </c>
      <c r="N34" s="148" t="s">
        <v>970</v>
      </c>
    </row>
    <row r="35" spans="6:14">
      <c r="F35" s="67"/>
      <c r="H35" s="37" t="s">
        <v>911</v>
      </c>
      <c r="I35" s="57" t="s">
        <v>971</v>
      </c>
      <c r="K35" s="59" t="str">
        <v>Centro Médico Hospital São Lucas </v>
      </c>
      <c r="M35" s="78" t="s">
        <v>899</v>
      </c>
      <c r="N35" s="148" t="s">
        <v>972</v>
      </c>
    </row>
    <row r="36" spans="6:14">
      <c r="F36" s="67"/>
      <c r="H36" s="37" t="s">
        <v>911</v>
      </c>
      <c r="I36" s="57" t="s">
        <v>973</v>
      </c>
      <c r="K36" s="59" t="str">
        <v>Hospital Alvorada Ambulatório Arapanés </v>
      </c>
      <c r="M36" s="78" t="s">
        <v>899</v>
      </c>
      <c r="N36" s="148" t="s">
        <v>974</v>
      </c>
    </row>
    <row r="37" spans="6:14">
      <c r="F37" s="67"/>
      <c r="H37" s="37" t="s">
        <v>911</v>
      </c>
      <c r="I37" s="57" t="s">
        <v>975</v>
      </c>
      <c r="K37" s="59" t="str">
        <v>Hospital Alvorada Moema </v>
      </c>
      <c r="M37" s="78" t="s">
        <v>899</v>
      </c>
      <c r="N37" s="148" t="s">
        <v>976</v>
      </c>
    </row>
    <row r="38" spans="6:14">
      <c r="F38" s="67"/>
      <c r="H38" s="37" t="s">
        <v>911</v>
      </c>
      <c r="I38" s="57" t="s">
        <v>977</v>
      </c>
      <c r="K38" s="59" t="str">
        <v>Hospital Américas - Ambulatório </v>
      </c>
      <c r="M38" s="78" t="s">
        <v>899</v>
      </c>
      <c r="N38" s="148" t="s">
        <v>978</v>
      </c>
    </row>
    <row r="39" spans="6:14">
      <c r="F39" s="67"/>
      <c r="H39" s="37" t="s">
        <v>911</v>
      </c>
      <c r="I39" s="57" t="s">
        <v>979</v>
      </c>
      <c r="K39" s="59" t="str">
        <v>Hospital Samaritano Paulista - Ambulatório </v>
      </c>
      <c r="M39" s="78" t="s">
        <v>899</v>
      </c>
      <c r="N39" s="148" t="s">
        <v>980</v>
      </c>
    </row>
    <row r="40" spans="6:14">
      <c r="F40" s="67"/>
      <c r="H40" s="37" t="s">
        <v>911</v>
      </c>
      <c r="I40" s="57" t="s">
        <v>981</v>
      </c>
      <c r="K40" s="59" t="str">
        <v>Amil Espaço Saúde - Tatuapé</v>
      </c>
      <c r="M40" s="37" t="s">
        <v>911</v>
      </c>
      <c r="N40" s="57" t="s">
        <v>982</v>
      </c>
    </row>
    <row r="41" spans="6:14">
      <c r="F41" s="67"/>
      <c r="H41" s="37" t="s">
        <v>911</v>
      </c>
      <c r="I41" s="57" t="s">
        <v>983</v>
      </c>
      <c r="K41" s="59" t="str">
        <v>Amil Espaço Saúde - Santo Amaro</v>
      </c>
      <c r="M41" s="37" t="s">
        <v>911</v>
      </c>
      <c r="N41" s="57" t="s">
        <v>984</v>
      </c>
    </row>
    <row r="42" spans="6:14">
      <c r="F42" s="67"/>
      <c r="H42" s="37" t="s">
        <v>911</v>
      </c>
      <c r="I42" s="57" t="s">
        <v>755</v>
      </c>
      <c r="K42" s="59" t="str">
        <v>Amil Espaço Saúde - Guarulhos</v>
      </c>
      <c r="M42" s="37" t="s">
        <v>911</v>
      </c>
      <c r="N42" s="57" t="s">
        <v>985</v>
      </c>
    </row>
    <row r="43" spans="6:14">
      <c r="F43" s="67"/>
      <c r="H43" s="37" t="s">
        <v>911</v>
      </c>
      <c r="I43" s="57" t="s">
        <v>986</v>
      </c>
      <c r="K43" s="59" t="str">
        <v xml:space="preserve">Amil Espaço Saúde - Santa Helena </v>
      </c>
      <c r="M43" s="37" t="s">
        <v>911</v>
      </c>
      <c r="N43" s="57" t="s">
        <v>987</v>
      </c>
    </row>
    <row r="44" spans="6:14">
      <c r="F44" s="67"/>
      <c r="H44" s="37" t="s">
        <v>911</v>
      </c>
      <c r="I44" s="57" t="s">
        <v>988</v>
      </c>
      <c r="K44" s="59" t="str">
        <v>Hospital Samaritano - Não Especificado</v>
      </c>
      <c r="M44" s="37" t="s">
        <v>911</v>
      </c>
      <c r="N44" s="57" t="s">
        <v>989</v>
      </c>
    </row>
    <row r="45" spans="6:14">
      <c r="F45" s="67"/>
      <c r="H45" s="37" t="s">
        <v>911</v>
      </c>
      <c r="I45" s="57" t="s">
        <v>990</v>
      </c>
      <c r="K45" s="59" t="str">
        <v>SUS</v>
      </c>
      <c r="M45" s="37" t="s">
        <v>911</v>
      </c>
      <c r="N45" s="57" t="s">
        <v>991</v>
      </c>
    </row>
    <row r="46" spans="6:14">
      <c r="F46" s="67"/>
      <c r="H46" s="78" t="s">
        <v>899</v>
      </c>
      <c r="I46" s="147" t="s">
        <v>992</v>
      </c>
      <c r="K46" s="59"/>
      <c r="M46" s="37" t="s">
        <v>911</v>
      </c>
      <c r="N46" s="57" t="s">
        <v>993</v>
      </c>
    </row>
    <row r="47" spans="6:14">
      <c r="F47" s="67"/>
      <c r="H47" s="226" t="s">
        <v>911</v>
      </c>
      <c r="I47" s="227" t="s">
        <v>762</v>
      </c>
      <c r="K47" s="59"/>
      <c r="M47" s="37" t="s">
        <v>911</v>
      </c>
      <c r="N47" s="57" t="s">
        <v>994</v>
      </c>
    </row>
    <row r="48" spans="6:14">
      <c r="F48" s="67"/>
      <c r="H48" s="228" t="s">
        <v>899</v>
      </c>
      <c r="I48" s="229" t="s">
        <v>762</v>
      </c>
      <c r="K48" s="59"/>
      <c r="M48" s="37" t="s">
        <v>911</v>
      </c>
      <c r="N48" s="57" t="s">
        <v>995</v>
      </c>
    </row>
    <row r="49" spans="6:14">
      <c r="F49" s="67"/>
      <c r="I49" s="61"/>
      <c r="K49" s="59"/>
      <c r="M49" s="37" t="s">
        <v>911</v>
      </c>
      <c r="N49" s="57" t="s">
        <v>996</v>
      </c>
    </row>
    <row r="50" spans="6:14">
      <c r="F50" s="67"/>
      <c r="I50" s="61"/>
      <c r="K50" s="59"/>
      <c r="M50" s="37" t="s">
        <v>911</v>
      </c>
      <c r="N50" s="57" t="s">
        <v>997</v>
      </c>
    </row>
    <row r="51" spans="6:14">
      <c r="F51" s="67"/>
      <c r="I51" s="61"/>
      <c r="K51" s="59"/>
      <c r="M51" s="37" t="s">
        <v>911</v>
      </c>
      <c r="N51" s="57" t="s">
        <v>998</v>
      </c>
    </row>
    <row r="52" spans="6:14">
      <c r="F52" s="67"/>
      <c r="I52" s="61"/>
      <c r="K52" s="59"/>
      <c r="M52" s="37" t="s">
        <v>911</v>
      </c>
      <c r="N52" s="57" t="s">
        <v>999</v>
      </c>
    </row>
    <row r="53" spans="6:14">
      <c r="F53" s="67"/>
      <c r="I53" s="61"/>
      <c r="K53" s="59"/>
      <c r="M53" s="37" t="s">
        <v>911</v>
      </c>
      <c r="N53" s="57" t="s">
        <v>1000</v>
      </c>
    </row>
    <row r="54" spans="6:14" ht="15" thickBot="1">
      <c r="F54" s="68"/>
      <c r="G54" s="63"/>
      <c r="H54" s="63"/>
      <c r="I54" s="64"/>
      <c r="K54" s="62"/>
      <c r="L54" s="63"/>
      <c r="M54" s="37" t="s">
        <v>911</v>
      </c>
      <c r="N54" s="57" t="s">
        <v>1001</v>
      </c>
    </row>
    <row r="55" spans="6:14" ht="15" thickBot="1">
      <c r="M55" s="153" t="s">
        <v>911</v>
      </c>
      <c r="N55" s="154" t="s">
        <v>909</v>
      </c>
    </row>
    <row r="56" spans="6:14">
      <c r="M56" s="197" t="s">
        <v>899</v>
      </c>
      <c r="N56" s="198" t="s">
        <v>170</v>
      </c>
    </row>
    <row r="57" spans="6:14">
      <c r="M57" s="197" t="s">
        <v>899</v>
      </c>
      <c r="N57" s="198" t="s">
        <v>1002</v>
      </c>
    </row>
    <row r="58" spans="6:14">
      <c r="M58" s="197" t="s">
        <v>899</v>
      </c>
      <c r="N58" s="198" t="s">
        <v>1003</v>
      </c>
    </row>
    <row r="59" spans="6:14">
      <c r="M59" s="197" t="s">
        <v>899</v>
      </c>
      <c r="N59" s="199" t="s">
        <v>1004</v>
      </c>
    </row>
    <row r="60" spans="6:14">
      <c r="M60" s="197" t="s">
        <v>899</v>
      </c>
      <c r="N60" s="200" t="s">
        <v>1005</v>
      </c>
    </row>
    <row r="61" spans="6:14">
      <c r="M61" s="197" t="s">
        <v>899</v>
      </c>
      <c r="N61" s="200" t="s">
        <v>1006</v>
      </c>
    </row>
    <row r="170" ht="15.75" customHeight="1"/>
  </sheetData>
  <sortState xmlns:xlrd2="http://schemas.microsoft.com/office/spreadsheetml/2017/richdata2" ref="D2:D171">
    <sortCondition ref="D1:D171"/>
  </sortState>
  <conditionalFormatting sqref="AJ1">
    <cfRule type="containsText" dxfId="4" priority="1" operator="containsText" text="Pendente">
      <formula>NOT(ISERROR(SEARCH("Pendente",AJ1)))</formula>
    </cfRule>
    <cfRule type="containsText" dxfId="3" priority="2" operator="containsText" text="Sim">
      <formula>NOT(ISERROR(SEARCH("Sim",AJ1)))</formula>
    </cfRule>
  </conditionalFormatting>
  <dataValidations count="1">
    <dataValidation type="list" allowBlank="1" showInputMessage="1" showErrorMessage="1" sqref="D2:D4" xr:uid="{EA724A56-0F7F-46DC-88F0-C96D4F819CBA}">
      <formula1>$C$2:$C$5</formula1>
    </dataValidation>
  </dataValidation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5549A-8167-44F9-BB19-C08093899877}">
  <dimension ref="A1:AG33"/>
  <sheetViews>
    <sheetView topLeftCell="W4" workbookViewId="0">
      <selection activeCell="AF7" sqref="AF7"/>
    </sheetView>
  </sheetViews>
  <sheetFormatPr defaultRowHeight="14.45"/>
  <cols>
    <col min="3" max="3" width="21.28515625" bestFit="1" customWidth="1"/>
    <col min="4" max="4" width="15.85546875" bestFit="1" customWidth="1"/>
    <col min="5" max="5" width="11.140625" customWidth="1"/>
    <col min="17" max="17" width="35.7109375" bestFit="1" customWidth="1"/>
    <col min="19" max="21" width="17.5703125" customWidth="1"/>
    <col min="22" max="22" width="11.140625" customWidth="1"/>
    <col min="25" max="25" width="12.28515625" customWidth="1"/>
    <col min="26" max="26" width="22.85546875" bestFit="1" customWidth="1"/>
    <col min="27" max="27" width="15.140625" customWidth="1"/>
    <col min="28" max="28" width="26.85546875" customWidth="1"/>
    <col min="29" max="29" width="22.42578125" customWidth="1"/>
    <col min="30" max="31" width="12.5703125" customWidth="1"/>
    <col min="32" max="32" width="33.140625" customWidth="1"/>
  </cols>
  <sheetData>
    <row r="1" spans="1:33" ht="57.6">
      <c r="A1" s="4" t="s">
        <v>0</v>
      </c>
      <c r="B1" s="5" t="s">
        <v>1</v>
      </c>
      <c r="C1" s="6" t="s">
        <v>2</v>
      </c>
      <c r="D1" s="6" t="s">
        <v>3</v>
      </c>
      <c r="E1" s="4" t="s">
        <v>4</v>
      </c>
      <c r="F1" s="7" t="s">
        <v>5</v>
      </c>
      <c r="G1" s="8" t="s">
        <v>6</v>
      </c>
      <c r="H1" s="5" t="s">
        <v>7</v>
      </c>
      <c r="I1" s="7" t="s">
        <v>8</v>
      </c>
      <c r="J1" s="7" t="s">
        <v>9</v>
      </c>
      <c r="K1" s="9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10" t="s">
        <v>15</v>
      </c>
      <c r="Q1" s="11" t="s">
        <v>16</v>
      </c>
      <c r="R1" s="12" t="s">
        <v>17</v>
      </c>
      <c r="S1" s="12" t="s">
        <v>18</v>
      </c>
      <c r="T1" s="12" t="s">
        <v>19</v>
      </c>
      <c r="U1" s="25" t="s">
        <v>20</v>
      </c>
      <c r="V1" s="13" t="s">
        <v>21</v>
      </c>
      <c r="W1" s="14" t="s">
        <v>22</v>
      </c>
      <c r="X1" s="14" t="s">
        <v>23</v>
      </c>
      <c r="Y1" s="26" t="s">
        <v>24</v>
      </c>
      <c r="Z1" s="9" t="s">
        <v>25</v>
      </c>
      <c r="AA1" s="15" t="s">
        <v>26</v>
      </c>
      <c r="AB1" s="9" t="s">
        <v>27</v>
      </c>
      <c r="AC1" s="9" t="s">
        <v>28</v>
      </c>
      <c r="AD1" s="9" t="s">
        <v>29</v>
      </c>
      <c r="AE1" s="9" t="s">
        <v>1007</v>
      </c>
      <c r="AF1" s="15" t="s">
        <v>1008</v>
      </c>
      <c r="AG1" s="16" t="s">
        <v>35</v>
      </c>
    </row>
    <row r="2" spans="1:33">
      <c r="A2" s="17" t="s">
        <v>78</v>
      </c>
      <c r="B2" s="3"/>
      <c r="C2" s="3" t="s">
        <v>1009</v>
      </c>
      <c r="D2" s="18" t="s">
        <v>917</v>
      </c>
      <c r="E2" s="3"/>
      <c r="F2" s="3"/>
      <c r="G2" s="3"/>
      <c r="H2" s="3"/>
      <c r="I2" s="3"/>
      <c r="J2" s="3"/>
      <c r="K2" s="3"/>
      <c r="L2" s="3"/>
      <c r="M2" s="17"/>
      <c r="N2" s="3"/>
      <c r="O2" s="17"/>
      <c r="P2" s="3"/>
      <c r="Q2" s="19" t="s">
        <v>68</v>
      </c>
      <c r="R2" s="20"/>
      <c r="S2" s="20"/>
      <c r="T2" s="20" t="s">
        <v>69</v>
      </c>
      <c r="U2" s="20" t="s">
        <v>70</v>
      </c>
      <c r="V2" s="20"/>
      <c r="W2" s="20"/>
      <c r="X2" s="20"/>
      <c r="Y2" s="20"/>
      <c r="Z2" s="3" t="s">
        <v>72</v>
      </c>
      <c r="AA2" s="20"/>
      <c r="AB2" s="3" t="s">
        <v>725</v>
      </c>
      <c r="AC2" s="3"/>
      <c r="AD2" s="3" t="s">
        <v>75</v>
      </c>
      <c r="AE2" s="3"/>
      <c r="AF2" s="3" t="s">
        <v>1010</v>
      </c>
      <c r="AG2" s="17" t="s">
        <v>61</v>
      </c>
    </row>
    <row r="3" spans="1:33">
      <c r="A3" s="17" t="s">
        <v>47</v>
      </c>
      <c r="B3" s="3"/>
      <c r="C3" s="3" t="s">
        <v>755</v>
      </c>
      <c r="D3" s="18" t="s">
        <v>885</v>
      </c>
      <c r="E3" s="3"/>
      <c r="F3" s="3"/>
      <c r="G3" s="3"/>
      <c r="H3" s="3"/>
      <c r="I3" s="3"/>
      <c r="J3" s="3"/>
      <c r="K3" s="3"/>
      <c r="L3" s="3"/>
      <c r="M3" s="17"/>
      <c r="N3" s="3"/>
      <c r="O3" s="17"/>
      <c r="P3" s="3"/>
      <c r="Q3" s="19" t="s">
        <v>841</v>
      </c>
      <c r="R3" s="3"/>
      <c r="S3" s="3"/>
      <c r="T3" s="3" t="s">
        <v>58</v>
      </c>
      <c r="U3" s="3" t="s">
        <v>530</v>
      </c>
      <c r="V3" s="3"/>
      <c r="W3" s="3"/>
      <c r="X3" s="3"/>
      <c r="Y3" s="3"/>
      <c r="Z3" s="3" t="s">
        <v>193</v>
      </c>
      <c r="AA3" s="3"/>
      <c r="AB3" s="3" t="s">
        <v>881</v>
      </c>
      <c r="AC3" s="3"/>
      <c r="AD3" s="3" t="s">
        <v>97</v>
      </c>
      <c r="AE3" s="3"/>
      <c r="AF3" s="3" t="s">
        <v>1011</v>
      </c>
      <c r="AG3" s="17" t="s">
        <v>462</v>
      </c>
    </row>
    <row r="4" spans="1:33">
      <c r="A4" s="3"/>
      <c r="B4" s="3"/>
      <c r="C4" s="3" t="s">
        <v>1012</v>
      </c>
      <c r="D4" s="18" t="s">
        <v>887</v>
      </c>
      <c r="E4" s="3"/>
      <c r="F4" s="3"/>
      <c r="G4" s="3"/>
      <c r="H4" s="3"/>
      <c r="I4" s="3"/>
      <c r="J4" s="3"/>
      <c r="K4" s="3"/>
      <c r="L4" s="3"/>
      <c r="M4" s="17"/>
      <c r="N4" s="3"/>
      <c r="O4" s="17"/>
      <c r="P4" s="3"/>
      <c r="Q4" s="19" t="s">
        <v>843</v>
      </c>
      <c r="R4" s="3"/>
      <c r="S4" s="3"/>
      <c r="T4" s="3" t="s">
        <v>903</v>
      </c>
      <c r="U4" s="3"/>
      <c r="V4" s="3"/>
      <c r="W4" s="3"/>
      <c r="X4" s="3"/>
      <c r="Y4" s="3"/>
      <c r="Z4" s="3" t="s">
        <v>74</v>
      </c>
      <c r="AA4" s="3"/>
      <c r="AB4" s="21" t="s">
        <v>105</v>
      </c>
      <c r="AC4" s="3"/>
      <c r="AD4" s="3" t="s">
        <v>113</v>
      </c>
      <c r="AE4" s="3"/>
      <c r="AF4" s="3" t="s">
        <v>1013</v>
      </c>
      <c r="AG4" s="17" t="s">
        <v>47</v>
      </c>
    </row>
    <row r="5" spans="1:33">
      <c r="M5" s="1"/>
      <c r="O5" s="1"/>
      <c r="Q5" s="22" t="s">
        <v>845</v>
      </c>
      <c r="AB5" s="3" t="s">
        <v>74</v>
      </c>
      <c r="AF5" t="s">
        <v>1014</v>
      </c>
    </row>
    <row r="6" spans="1:33">
      <c r="M6" s="1"/>
      <c r="O6" s="1"/>
      <c r="Q6" s="23" t="s">
        <v>200</v>
      </c>
      <c r="AF6" t="s">
        <v>1015</v>
      </c>
    </row>
    <row r="7" spans="1:33">
      <c r="M7" s="1"/>
      <c r="O7" s="1"/>
      <c r="Q7" s="23" t="s">
        <v>848</v>
      </c>
      <c r="AF7" t="s">
        <v>1016</v>
      </c>
    </row>
    <row r="8" spans="1:33">
      <c r="M8" s="1"/>
      <c r="O8" s="1"/>
      <c r="Q8" s="23" t="s">
        <v>850</v>
      </c>
      <c r="AF8" t="s">
        <v>1017</v>
      </c>
    </row>
    <row r="9" spans="1:33">
      <c r="M9" s="1"/>
      <c r="O9" s="1"/>
      <c r="Q9" s="23" t="s">
        <v>851</v>
      </c>
      <c r="AF9" t="s">
        <v>1018</v>
      </c>
    </row>
    <row r="10" spans="1:33">
      <c r="M10" s="1"/>
      <c r="O10" s="1"/>
      <c r="Q10" s="23" t="s">
        <v>274</v>
      </c>
      <c r="AF10" t="s">
        <v>1019</v>
      </c>
      <c r="AG10" t="s">
        <v>1020</v>
      </c>
    </row>
    <row r="11" spans="1:33">
      <c r="M11" s="1"/>
      <c r="O11" s="1"/>
      <c r="Q11" s="23" t="s">
        <v>853</v>
      </c>
      <c r="AF11" t="s">
        <v>1021</v>
      </c>
    </row>
    <row r="12" spans="1:33">
      <c r="M12" s="1"/>
      <c r="O12" s="1"/>
      <c r="Q12" s="23" t="s">
        <v>854</v>
      </c>
    </row>
    <row r="13" spans="1:33">
      <c r="M13" s="1"/>
      <c r="O13" s="1"/>
      <c r="Q13" s="23" t="s">
        <v>855</v>
      </c>
    </row>
    <row r="14" spans="1:33">
      <c r="M14" s="1"/>
      <c r="O14" s="1"/>
      <c r="Q14" s="23" t="s">
        <v>856</v>
      </c>
    </row>
    <row r="15" spans="1:33">
      <c r="M15" s="1"/>
      <c r="O15" s="1"/>
      <c r="Q15" s="23" t="s">
        <v>443</v>
      </c>
    </row>
    <row r="16" spans="1:33">
      <c r="M16" s="1"/>
      <c r="O16" s="1"/>
      <c r="Q16" s="23" t="s">
        <v>461</v>
      </c>
    </row>
    <row r="17" spans="13:33">
      <c r="M17" s="1"/>
      <c r="O17" s="1"/>
      <c r="Q17" s="23" t="s">
        <v>857</v>
      </c>
      <c r="AF17" t="s">
        <v>1022</v>
      </c>
    </row>
    <row r="18" spans="13:33" ht="43.15">
      <c r="M18" s="1"/>
      <c r="O18" s="1"/>
      <c r="Q18" s="23" t="s">
        <v>858</v>
      </c>
      <c r="AF18" s="24" t="s">
        <v>1008</v>
      </c>
      <c r="AG18" s="24" t="s">
        <v>895</v>
      </c>
    </row>
    <row r="19" spans="13:33">
      <c r="M19" s="1"/>
      <c r="O19" s="1"/>
      <c r="Q19" s="23" t="s">
        <v>859</v>
      </c>
      <c r="AF19" t="s">
        <v>1023</v>
      </c>
      <c r="AG19" t="s">
        <v>78</v>
      </c>
    </row>
    <row r="20" spans="13:33">
      <c r="M20" s="1"/>
      <c r="O20" s="1"/>
      <c r="Q20" s="23" t="s">
        <v>860</v>
      </c>
      <c r="AF20" t="s">
        <v>1024</v>
      </c>
      <c r="AG20" t="s">
        <v>47</v>
      </c>
    </row>
    <row r="21" spans="13:33">
      <c r="M21" s="1"/>
      <c r="O21" s="1"/>
      <c r="Q21" s="23" t="s">
        <v>334</v>
      </c>
      <c r="AG21" t="s">
        <v>1025</v>
      </c>
    </row>
    <row r="22" spans="13:33">
      <c r="M22" s="1"/>
      <c r="O22" s="1"/>
      <c r="Q22" s="23" t="s">
        <v>861</v>
      </c>
    </row>
    <row r="23" spans="13:33">
      <c r="M23" s="1"/>
      <c r="O23" s="1"/>
      <c r="Q23" s="23" t="s">
        <v>57</v>
      </c>
    </row>
    <row r="24" spans="13:33">
      <c r="M24" s="1"/>
      <c r="O24" s="1"/>
      <c r="Q24" s="23" t="s">
        <v>750</v>
      </c>
    </row>
    <row r="25" spans="13:33">
      <c r="M25" s="1"/>
      <c r="O25" s="1"/>
      <c r="Q25" s="23" t="s">
        <v>766</v>
      </c>
    </row>
    <row r="26" spans="13:33">
      <c r="M26" s="1"/>
      <c r="O26" s="1"/>
      <c r="Q26" s="23" t="s">
        <v>862</v>
      </c>
    </row>
    <row r="27" spans="13:33">
      <c r="M27" s="1"/>
      <c r="O27" s="1"/>
      <c r="Q27" s="2"/>
    </row>
    <row r="28" spans="13:33">
      <c r="M28" s="1"/>
      <c r="O28" s="1"/>
      <c r="Q28" s="2"/>
    </row>
    <row r="29" spans="13:33">
      <c r="M29" s="1"/>
      <c r="O29" s="1"/>
      <c r="Q29" s="2"/>
    </row>
    <row r="30" spans="13:33">
      <c r="M30" s="1"/>
      <c r="O30" s="1"/>
      <c r="Q30" s="2"/>
    </row>
    <row r="31" spans="13:33">
      <c r="M31" s="1"/>
      <c r="O31" s="1"/>
      <c r="Q31" s="2"/>
    </row>
    <row r="32" spans="13:33">
      <c r="M32" s="1"/>
      <c r="O32" s="1"/>
    </row>
    <row r="33" spans="13:15">
      <c r="M33" s="1"/>
      <c r="O33" s="1"/>
    </row>
  </sheetData>
  <conditionalFormatting sqref="E1:F1">
    <cfRule type="duplicateValues" dxfId="2" priority="1"/>
    <cfRule type="duplicateValues" dxfId="1" priority="2"/>
    <cfRule type="duplicateValues" dxfId="0" priority="3"/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9f1a61-222e-42b3-980e-c03b4142086e">
      <Terms xmlns="http://schemas.microsoft.com/office/infopath/2007/PartnerControls"/>
    </lcf76f155ced4ddcb4097134ff3c332f>
    <TaxCatchAll xmlns="245f25f3-ef55-4cde-9cd4-e19c029b0701" xsi:nil="true"/>
    <_Flow_SignoffStatus xmlns="f89f1a61-222e-42b3-980e-c03b4142086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7C980CA93E054E939C59CBF8DCCA7B" ma:contentTypeVersion="15" ma:contentTypeDescription="Crie um novo documento." ma:contentTypeScope="" ma:versionID="17a152ab00c190a4dea0369caab8215c">
  <xsd:schema xmlns:xsd="http://www.w3.org/2001/XMLSchema" xmlns:xs="http://www.w3.org/2001/XMLSchema" xmlns:p="http://schemas.microsoft.com/office/2006/metadata/properties" xmlns:ns2="f89f1a61-222e-42b3-980e-c03b4142086e" xmlns:ns3="245f25f3-ef55-4cde-9cd4-e19c029b0701" targetNamespace="http://schemas.microsoft.com/office/2006/metadata/properties" ma:root="true" ma:fieldsID="5bb54a9478fd58f65db69e3e81781d4c" ns2:_="" ns3:_="">
    <xsd:import namespace="f89f1a61-222e-42b3-980e-c03b4142086e"/>
    <xsd:import namespace="245f25f3-ef55-4cde-9cd4-e19c029b07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9f1a61-222e-42b3-980e-c03b414208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b7cf9645-ebf6-4302-b8dd-678b4b24b7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5f25f3-ef55-4cde-9cd4-e19c029b070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9e6fe4f-040a-46ef-81f2-4533fc413ba5}" ma:internalName="TaxCatchAll" ma:showField="CatchAllData" ma:web="245f25f3-ef55-4cde-9cd4-e19c029b0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C7276F3-723F-45C7-96FF-74194C59BEA3}"/>
</file>

<file path=customXml/itemProps2.xml><?xml version="1.0" encoding="utf-8"?>
<ds:datastoreItem xmlns:ds="http://schemas.openxmlformats.org/officeDocument/2006/customXml" ds:itemID="{DDEE90B0-5810-4985-9892-603D6D77939D}"/>
</file>

<file path=customXml/itemProps3.xml><?xml version="1.0" encoding="utf-8"?>
<ds:datastoreItem xmlns:ds="http://schemas.openxmlformats.org/officeDocument/2006/customXml" ds:itemID="{70F7B7A9-923F-47C9-B035-F75FFDCA5F1C}"/>
</file>

<file path=docMetadata/LabelInfo.xml><?xml version="1.0" encoding="utf-8"?>
<clbl:labelList xmlns:clbl="http://schemas.microsoft.com/office/2020/mipLabelMetadata">
  <clbl:label id="{defa4170-0d19-0005-0001-bc88714345d2}" enabled="1" method="Standard" siteId="{8e8f0aa3-d081-4ed4-9250-0b489a4c8b6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Renata Cavalheiro</dc:creator>
  <cp:keywords/>
  <dc:description/>
  <cp:lastModifiedBy>Usuário Convidado</cp:lastModifiedBy>
  <cp:revision/>
  <dcterms:created xsi:type="dcterms:W3CDTF">2025-04-02T18:38:02Z</dcterms:created>
  <dcterms:modified xsi:type="dcterms:W3CDTF">2026-06-19T12:36:27Z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0x010100BE7C980CA93E054E939C59CBF8DCCA7B</vt:lpwstr>
  </property>
  <property fmtid="{D5CDD505-2E9C-101B-9397-08002B2CF9AE}" pid="3" name="MediaServiceImageTags">
    <vt:lpwstr/>
  </property>
  <property fmtid="{D5CDD505-2E9C-101B-9397-08002B2CF9AE}" pid="4" name="MSIP_Label_2d8b0667-0416-4939-b829-9a083fc335bd_Enabled">
    <vt:lpwstr>true</vt:lpwstr>
  </property>
  <property fmtid="{D5CDD505-2E9C-101B-9397-08002B2CF9AE}" pid="5" name="MSIP_Label_2d8b0667-0416-4939-b829-9a083fc335bd_SetDate">
    <vt:lpwstr>2026-03-25T21:19:59Z</vt:lpwstr>
  </property>
  <property fmtid="{D5CDD505-2E9C-101B-9397-08002B2CF9AE}" pid="6" name="MSIP_Label_2d8b0667-0416-4939-b829-9a083fc335bd_Method">
    <vt:lpwstr>Standard</vt:lpwstr>
  </property>
  <property fmtid="{D5CDD505-2E9C-101B-9397-08002B2CF9AE}" pid="7" name="MSIP_Label_2d8b0667-0416-4939-b829-9a083fc335bd_Name">
    <vt:lpwstr>Informações Internas</vt:lpwstr>
  </property>
  <property fmtid="{D5CDD505-2E9C-101B-9397-08002B2CF9AE}" pid="8" name="MSIP_Label_2d8b0667-0416-4939-b829-9a083fc335bd_SiteId">
    <vt:lpwstr>e79034b6-c14f-4d3e-a08f-d8d7d4643271</vt:lpwstr>
  </property>
  <property fmtid="{D5CDD505-2E9C-101B-9397-08002B2CF9AE}" pid="9" name="MSIP_Label_2d8b0667-0416-4939-b829-9a083fc335bd_ActionId">
    <vt:lpwstr>f5876d7a-35b8-44b8-ad12-d380a75f8d2a</vt:lpwstr>
  </property>
  <property fmtid="{D5CDD505-2E9C-101B-9397-08002B2CF9AE}" pid="10" name="MSIP_Label_2d8b0667-0416-4939-b829-9a083fc335bd_ContentBits">
    <vt:lpwstr>0</vt:lpwstr>
  </property>
  <property fmtid="{D5CDD505-2E9C-101B-9397-08002B2CF9AE}" pid="11" name="MSIP_Label_2d8b0667-0416-4939-b829-9a083fc335bd_Tag">
    <vt:lpwstr>10, 3, 0, 1</vt:lpwstr>
  </property>
</Properties>
</file>